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9" codeName="{51196F13-6AD0-C1B8-E2B4-A1F9AE17003E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/Users/david/Google Drive/iQRM/SubjectFiles/"/>
    </mc:Choice>
  </mc:AlternateContent>
  <xr:revisionPtr revIDLastSave="0" documentId="13_ncr:1_{24E6144D-DC24-1145-A6F2-DB24D31C8A00}" xr6:coauthVersionLast="40" xr6:coauthVersionMax="40" xr10:uidLastSave="{00000000-0000-0000-0000-000000000000}"/>
  <bookViews>
    <workbookView xWindow="0" yWindow="460" windowWidth="28800" windowHeight="17540" firstSheet="2" activeTab="2" xr2:uid="{00000000-000D-0000-FFFF-FFFF00000000}"/>
  </bookViews>
  <sheets>
    <sheet name="BEF" sheetId="4" r:id="rId1"/>
    <sheet name="Eigen test" sheetId="1" r:id="rId2"/>
    <sheet name="Intro" sheetId="7" r:id="rId3"/>
    <sheet name="PCA" sheetId="6" r:id="rId4"/>
    <sheet name="Daily swap data" sheetId="3" r:id="rId5"/>
  </sheets>
  <functionGroups builtInGroupCount="19"/>
  <definedNames>
    <definedName name="anscount" hidden="1">2</definedName>
    <definedName name="Lambda">'Eigen test'!$A$10:$F$15</definedName>
    <definedName name="limcount" hidden="1">1</definedName>
    <definedName name="M">'Eigen test'!$A$2:$F$7</definedName>
    <definedName name="sencount" hidden="1">2</definedName>
    <definedName name="tranmat">'Daily swap data'!#REF!</definedName>
    <definedName name="TransMat">#REF!</definedName>
    <definedName name="Vec">'Eigen test'!$A$18:$F$23</definedName>
    <definedName name="VecTrans">'Eigen test'!$A$26:$F$31</definedName>
  </definedNames>
  <calcPr calcId="191029" calcMode="autoNoTable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46" i="6" l="1" a="1"/>
  <c r="C46" i="6" s="1"/>
  <c r="F46" i="6"/>
  <c r="B46" i="6"/>
  <c r="I34" i="6"/>
  <c r="H34" i="6"/>
  <c r="G34" i="6"/>
  <c r="F34" i="6"/>
  <c r="E34" i="6"/>
  <c r="D34" i="6"/>
  <c r="C34" i="6"/>
  <c r="B34" i="6"/>
  <c r="K5" i="3"/>
  <c r="L5" i="3"/>
  <c r="M5" i="3"/>
  <c r="N5" i="3"/>
  <c r="O5" i="3"/>
  <c r="P5" i="3"/>
  <c r="Q5" i="3"/>
  <c r="R5" i="3"/>
  <c r="K6" i="3"/>
  <c r="L6" i="3"/>
  <c r="M6" i="3"/>
  <c r="N6" i="3"/>
  <c r="O6" i="3"/>
  <c r="P6" i="3"/>
  <c r="Q6" i="3"/>
  <c r="R6" i="3"/>
  <c r="K7" i="3"/>
  <c r="L7" i="3"/>
  <c r="M7" i="3"/>
  <c r="N7" i="3"/>
  <c r="O7" i="3"/>
  <c r="P7" i="3"/>
  <c r="Q7" i="3"/>
  <c r="R7" i="3"/>
  <c r="K8" i="3"/>
  <c r="L8" i="3"/>
  <c r="M8" i="3"/>
  <c r="N8" i="3"/>
  <c r="O8" i="3"/>
  <c r="P8" i="3"/>
  <c r="Q8" i="3"/>
  <c r="R8" i="3"/>
  <c r="K9" i="3"/>
  <c r="L9" i="3"/>
  <c r="M9" i="3"/>
  <c r="N9" i="3"/>
  <c r="O9" i="3"/>
  <c r="P9" i="3"/>
  <c r="Q9" i="3"/>
  <c r="R9" i="3"/>
  <c r="K10" i="3"/>
  <c r="L10" i="3"/>
  <c r="M10" i="3"/>
  <c r="N10" i="3"/>
  <c r="O10" i="3"/>
  <c r="P10" i="3"/>
  <c r="Q10" i="3"/>
  <c r="R10" i="3"/>
  <c r="K11" i="3"/>
  <c r="L11" i="3"/>
  <c r="M11" i="3"/>
  <c r="N11" i="3"/>
  <c r="O11" i="3"/>
  <c r="P11" i="3"/>
  <c r="Q11" i="3"/>
  <c r="R11" i="3"/>
  <c r="K12" i="3"/>
  <c r="L12" i="3"/>
  <c r="M12" i="3"/>
  <c r="N12" i="3"/>
  <c r="O12" i="3"/>
  <c r="P12" i="3"/>
  <c r="Q12" i="3"/>
  <c r="R12" i="3"/>
  <c r="K13" i="3"/>
  <c r="L13" i="3"/>
  <c r="M13" i="3"/>
  <c r="N13" i="3"/>
  <c r="O13" i="3"/>
  <c r="P13" i="3"/>
  <c r="Q13" i="3"/>
  <c r="R13" i="3"/>
  <c r="K14" i="3"/>
  <c r="L14" i="3"/>
  <c r="M14" i="3"/>
  <c r="N14" i="3"/>
  <c r="O14" i="3"/>
  <c r="P14" i="3"/>
  <c r="Q14" i="3"/>
  <c r="R14" i="3"/>
  <c r="K15" i="3"/>
  <c r="L15" i="3"/>
  <c r="M15" i="3"/>
  <c r="N15" i="3"/>
  <c r="O15" i="3"/>
  <c r="P15" i="3"/>
  <c r="Q15" i="3"/>
  <c r="R15" i="3"/>
  <c r="K16" i="3"/>
  <c r="L16" i="3"/>
  <c r="M16" i="3"/>
  <c r="N16" i="3"/>
  <c r="O16" i="3"/>
  <c r="P16" i="3"/>
  <c r="Q16" i="3"/>
  <c r="R16" i="3"/>
  <c r="K17" i="3"/>
  <c r="L17" i="3"/>
  <c r="M17" i="3"/>
  <c r="N17" i="3"/>
  <c r="O17" i="3"/>
  <c r="P17" i="3"/>
  <c r="Q17" i="3"/>
  <c r="R17" i="3"/>
  <c r="K18" i="3"/>
  <c r="L18" i="3"/>
  <c r="M18" i="3"/>
  <c r="N18" i="3"/>
  <c r="O18" i="3"/>
  <c r="P18" i="3"/>
  <c r="Q18" i="3"/>
  <c r="R18" i="3"/>
  <c r="K19" i="3"/>
  <c r="L19" i="3"/>
  <c r="M19" i="3"/>
  <c r="N19" i="3"/>
  <c r="O19" i="3"/>
  <c r="P19" i="3"/>
  <c r="Q19" i="3"/>
  <c r="R19" i="3"/>
  <c r="K20" i="3"/>
  <c r="L20" i="3"/>
  <c r="M20" i="3"/>
  <c r="N20" i="3"/>
  <c r="O20" i="3"/>
  <c r="P20" i="3"/>
  <c r="Q20" i="3"/>
  <c r="R20" i="3"/>
  <c r="K21" i="3"/>
  <c r="L21" i="3"/>
  <c r="M21" i="3"/>
  <c r="N21" i="3"/>
  <c r="O21" i="3"/>
  <c r="P21" i="3"/>
  <c r="Q21" i="3"/>
  <c r="R21" i="3"/>
  <c r="K22" i="3"/>
  <c r="L22" i="3"/>
  <c r="M22" i="3"/>
  <c r="N22" i="3"/>
  <c r="O22" i="3"/>
  <c r="P22" i="3"/>
  <c r="Q22" i="3"/>
  <c r="R22" i="3"/>
  <c r="K23" i="3"/>
  <c r="L23" i="3"/>
  <c r="M23" i="3"/>
  <c r="N23" i="3"/>
  <c r="O23" i="3"/>
  <c r="P23" i="3"/>
  <c r="Q23" i="3"/>
  <c r="R23" i="3"/>
  <c r="K24" i="3"/>
  <c r="L24" i="3"/>
  <c r="M24" i="3"/>
  <c r="N24" i="3"/>
  <c r="O24" i="3"/>
  <c r="P24" i="3"/>
  <c r="Q24" i="3"/>
  <c r="R24" i="3"/>
  <c r="K25" i="3"/>
  <c r="L25" i="3"/>
  <c r="M25" i="3"/>
  <c r="N25" i="3"/>
  <c r="O25" i="3"/>
  <c r="P25" i="3"/>
  <c r="Q25" i="3"/>
  <c r="R25" i="3"/>
  <c r="K26" i="3"/>
  <c r="L26" i="3"/>
  <c r="M26" i="3"/>
  <c r="N26" i="3"/>
  <c r="O26" i="3"/>
  <c r="P26" i="3"/>
  <c r="Q26" i="3"/>
  <c r="R26" i="3"/>
  <c r="K27" i="3"/>
  <c r="L27" i="3"/>
  <c r="M27" i="3"/>
  <c r="N27" i="3"/>
  <c r="O27" i="3"/>
  <c r="P27" i="3"/>
  <c r="Q27" i="3"/>
  <c r="R27" i="3"/>
  <c r="K28" i="3"/>
  <c r="L28" i="3"/>
  <c r="M28" i="3"/>
  <c r="N28" i="3"/>
  <c r="O28" i="3"/>
  <c r="P28" i="3"/>
  <c r="Q28" i="3"/>
  <c r="R28" i="3"/>
  <c r="K29" i="3"/>
  <c r="L29" i="3"/>
  <c r="M29" i="3"/>
  <c r="N29" i="3"/>
  <c r="O29" i="3"/>
  <c r="P29" i="3"/>
  <c r="Q29" i="3"/>
  <c r="R29" i="3"/>
  <c r="K30" i="3"/>
  <c r="L30" i="3"/>
  <c r="M30" i="3"/>
  <c r="N30" i="3"/>
  <c r="O30" i="3"/>
  <c r="P30" i="3"/>
  <c r="Q30" i="3"/>
  <c r="R30" i="3"/>
  <c r="K31" i="3"/>
  <c r="L31" i="3"/>
  <c r="M31" i="3"/>
  <c r="N31" i="3"/>
  <c r="O31" i="3"/>
  <c r="P31" i="3"/>
  <c r="Q31" i="3"/>
  <c r="R31" i="3"/>
  <c r="K32" i="3"/>
  <c r="L32" i="3"/>
  <c r="M32" i="3"/>
  <c r="N32" i="3"/>
  <c r="O32" i="3"/>
  <c r="P32" i="3"/>
  <c r="Q32" i="3"/>
  <c r="R32" i="3"/>
  <c r="K33" i="3"/>
  <c r="L33" i="3"/>
  <c r="M33" i="3"/>
  <c r="N33" i="3"/>
  <c r="O33" i="3"/>
  <c r="P33" i="3"/>
  <c r="Q33" i="3"/>
  <c r="R33" i="3"/>
  <c r="K34" i="3"/>
  <c r="L34" i="3"/>
  <c r="M34" i="3"/>
  <c r="N34" i="3"/>
  <c r="O34" i="3"/>
  <c r="P34" i="3"/>
  <c r="Q34" i="3"/>
  <c r="R34" i="3"/>
  <c r="K35" i="3"/>
  <c r="L35" i="3"/>
  <c r="M35" i="3"/>
  <c r="N35" i="3"/>
  <c r="O35" i="3"/>
  <c r="P35" i="3"/>
  <c r="Q35" i="3"/>
  <c r="R35" i="3"/>
  <c r="K36" i="3"/>
  <c r="L36" i="3"/>
  <c r="M36" i="3"/>
  <c r="N36" i="3"/>
  <c r="O36" i="3"/>
  <c r="P36" i="3"/>
  <c r="Q36" i="3"/>
  <c r="R36" i="3"/>
  <c r="K37" i="3"/>
  <c r="L37" i="3"/>
  <c r="M37" i="3"/>
  <c r="N37" i="3"/>
  <c r="O37" i="3"/>
  <c r="P37" i="3"/>
  <c r="Q37" i="3"/>
  <c r="R37" i="3"/>
  <c r="K38" i="3"/>
  <c r="L38" i="3"/>
  <c r="M38" i="3"/>
  <c r="N38" i="3"/>
  <c r="O38" i="3"/>
  <c r="P38" i="3"/>
  <c r="Q38" i="3"/>
  <c r="R38" i="3"/>
  <c r="K39" i="3"/>
  <c r="L39" i="3"/>
  <c r="M39" i="3"/>
  <c r="N39" i="3"/>
  <c r="O39" i="3"/>
  <c r="P39" i="3"/>
  <c r="Q39" i="3"/>
  <c r="R39" i="3"/>
  <c r="K40" i="3"/>
  <c r="L40" i="3"/>
  <c r="M40" i="3"/>
  <c r="N40" i="3"/>
  <c r="O40" i="3"/>
  <c r="P40" i="3"/>
  <c r="Q40" i="3"/>
  <c r="R40" i="3"/>
  <c r="K41" i="3"/>
  <c r="L41" i="3"/>
  <c r="M41" i="3"/>
  <c r="N41" i="3"/>
  <c r="O41" i="3"/>
  <c r="P41" i="3"/>
  <c r="Q41" i="3"/>
  <c r="R41" i="3"/>
  <c r="K42" i="3"/>
  <c r="L42" i="3"/>
  <c r="M42" i="3"/>
  <c r="N42" i="3"/>
  <c r="O42" i="3"/>
  <c r="P42" i="3"/>
  <c r="Q42" i="3"/>
  <c r="R42" i="3"/>
  <c r="K43" i="3"/>
  <c r="L43" i="3"/>
  <c r="M43" i="3"/>
  <c r="N43" i="3"/>
  <c r="O43" i="3"/>
  <c r="P43" i="3"/>
  <c r="Q43" i="3"/>
  <c r="R43" i="3"/>
  <c r="K44" i="3"/>
  <c r="L44" i="3"/>
  <c r="M44" i="3"/>
  <c r="N44" i="3"/>
  <c r="O44" i="3"/>
  <c r="P44" i="3"/>
  <c r="Q44" i="3"/>
  <c r="R44" i="3"/>
  <c r="K45" i="3"/>
  <c r="L45" i="3"/>
  <c r="M45" i="3"/>
  <c r="N45" i="3"/>
  <c r="O45" i="3"/>
  <c r="P45" i="3"/>
  <c r="Q45" i="3"/>
  <c r="R45" i="3"/>
  <c r="K46" i="3"/>
  <c r="L46" i="3"/>
  <c r="M46" i="3"/>
  <c r="N46" i="3"/>
  <c r="O46" i="3"/>
  <c r="P46" i="3"/>
  <c r="Q46" i="3"/>
  <c r="R46" i="3"/>
  <c r="K47" i="3"/>
  <c r="L47" i="3"/>
  <c r="M47" i="3"/>
  <c r="N47" i="3"/>
  <c r="O47" i="3"/>
  <c r="P47" i="3"/>
  <c r="Q47" i="3"/>
  <c r="R47" i="3"/>
  <c r="K48" i="3"/>
  <c r="L48" i="3"/>
  <c r="M48" i="3"/>
  <c r="N48" i="3"/>
  <c r="O48" i="3"/>
  <c r="P48" i="3"/>
  <c r="Q48" i="3"/>
  <c r="R48" i="3"/>
  <c r="K49" i="3"/>
  <c r="L49" i="3"/>
  <c r="M49" i="3"/>
  <c r="N49" i="3"/>
  <c r="O49" i="3"/>
  <c r="P49" i="3"/>
  <c r="Q49" i="3"/>
  <c r="R49" i="3"/>
  <c r="K50" i="3"/>
  <c r="L50" i="3"/>
  <c r="M50" i="3"/>
  <c r="N50" i="3"/>
  <c r="O50" i="3"/>
  <c r="P50" i="3"/>
  <c r="Q50" i="3"/>
  <c r="R50" i="3"/>
  <c r="K51" i="3"/>
  <c r="L51" i="3"/>
  <c r="M51" i="3"/>
  <c r="N51" i="3"/>
  <c r="O51" i="3"/>
  <c r="P51" i="3"/>
  <c r="Q51" i="3"/>
  <c r="R51" i="3"/>
  <c r="K52" i="3"/>
  <c r="L52" i="3"/>
  <c r="M52" i="3"/>
  <c r="N52" i="3"/>
  <c r="O52" i="3"/>
  <c r="P52" i="3"/>
  <c r="Q52" i="3"/>
  <c r="R52" i="3"/>
  <c r="K53" i="3"/>
  <c r="L53" i="3"/>
  <c r="M53" i="3"/>
  <c r="N53" i="3"/>
  <c r="O53" i="3"/>
  <c r="P53" i="3"/>
  <c r="Q53" i="3"/>
  <c r="R53" i="3"/>
  <c r="K54" i="3"/>
  <c r="L54" i="3"/>
  <c r="M54" i="3"/>
  <c r="N54" i="3"/>
  <c r="O54" i="3"/>
  <c r="P54" i="3"/>
  <c r="Q54" i="3"/>
  <c r="R54" i="3"/>
  <c r="K55" i="3"/>
  <c r="L55" i="3"/>
  <c r="M55" i="3"/>
  <c r="N55" i="3"/>
  <c r="O55" i="3"/>
  <c r="P55" i="3"/>
  <c r="Q55" i="3"/>
  <c r="R55" i="3"/>
  <c r="K56" i="3"/>
  <c r="L56" i="3"/>
  <c r="M56" i="3"/>
  <c r="N56" i="3"/>
  <c r="O56" i="3"/>
  <c r="P56" i="3"/>
  <c r="Q56" i="3"/>
  <c r="R56" i="3"/>
  <c r="K57" i="3"/>
  <c r="L57" i="3"/>
  <c r="M57" i="3"/>
  <c r="N57" i="3"/>
  <c r="O57" i="3"/>
  <c r="P57" i="3"/>
  <c r="Q57" i="3"/>
  <c r="R57" i="3"/>
  <c r="K58" i="3"/>
  <c r="L58" i="3"/>
  <c r="M58" i="3"/>
  <c r="N58" i="3"/>
  <c r="O58" i="3"/>
  <c r="P58" i="3"/>
  <c r="Q58" i="3"/>
  <c r="R58" i="3"/>
  <c r="K59" i="3"/>
  <c r="L59" i="3"/>
  <c r="M59" i="3"/>
  <c r="N59" i="3"/>
  <c r="O59" i="3"/>
  <c r="P59" i="3"/>
  <c r="Q59" i="3"/>
  <c r="R59" i="3"/>
  <c r="K60" i="3"/>
  <c r="L60" i="3"/>
  <c r="M60" i="3"/>
  <c r="N60" i="3"/>
  <c r="O60" i="3"/>
  <c r="P60" i="3"/>
  <c r="Q60" i="3"/>
  <c r="R60" i="3"/>
  <c r="K61" i="3"/>
  <c r="L61" i="3"/>
  <c r="M61" i="3"/>
  <c r="N61" i="3"/>
  <c r="O61" i="3"/>
  <c r="P61" i="3"/>
  <c r="Q61" i="3"/>
  <c r="R61" i="3"/>
  <c r="K62" i="3"/>
  <c r="L62" i="3"/>
  <c r="M62" i="3"/>
  <c r="N62" i="3"/>
  <c r="O62" i="3"/>
  <c r="P62" i="3"/>
  <c r="Q62" i="3"/>
  <c r="R62" i="3"/>
  <c r="K63" i="3"/>
  <c r="L63" i="3"/>
  <c r="M63" i="3"/>
  <c r="N63" i="3"/>
  <c r="O63" i="3"/>
  <c r="P63" i="3"/>
  <c r="Q63" i="3"/>
  <c r="R63" i="3"/>
  <c r="K64" i="3"/>
  <c r="L64" i="3"/>
  <c r="M64" i="3"/>
  <c r="N64" i="3"/>
  <c r="O64" i="3"/>
  <c r="P64" i="3"/>
  <c r="Q64" i="3"/>
  <c r="R64" i="3"/>
  <c r="K65" i="3"/>
  <c r="L65" i="3"/>
  <c r="M65" i="3"/>
  <c r="N65" i="3"/>
  <c r="O65" i="3"/>
  <c r="P65" i="3"/>
  <c r="Q65" i="3"/>
  <c r="R65" i="3"/>
  <c r="K66" i="3"/>
  <c r="L66" i="3"/>
  <c r="M66" i="3"/>
  <c r="N66" i="3"/>
  <c r="O66" i="3"/>
  <c r="P66" i="3"/>
  <c r="Q66" i="3"/>
  <c r="R66" i="3"/>
  <c r="K67" i="3"/>
  <c r="L67" i="3"/>
  <c r="M67" i="3"/>
  <c r="N67" i="3"/>
  <c r="O67" i="3"/>
  <c r="P67" i="3"/>
  <c r="Q67" i="3"/>
  <c r="R67" i="3"/>
  <c r="K68" i="3"/>
  <c r="L68" i="3"/>
  <c r="M68" i="3"/>
  <c r="N68" i="3"/>
  <c r="O68" i="3"/>
  <c r="P68" i="3"/>
  <c r="Q68" i="3"/>
  <c r="R68" i="3"/>
  <c r="K69" i="3"/>
  <c r="L69" i="3"/>
  <c r="M69" i="3"/>
  <c r="N69" i="3"/>
  <c r="O69" i="3"/>
  <c r="P69" i="3"/>
  <c r="Q69" i="3"/>
  <c r="R69" i="3"/>
  <c r="K70" i="3"/>
  <c r="L70" i="3"/>
  <c r="M70" i="3"/>
  <c r="N70" i="3"/>
  <c r="O70" i="3"/>
  <c r="P70" i="3"/>
  <c r="Q70" i="3"/>
  <c r="R70" i="3"/>
  <c r="K71" i="3"/>
  <c r="L71" i="3"/>
  <c r="M71" i="3"/>
  <c r="N71" i="3"/>
  <c r="O71" i="3"/>
  <c r="P71" i="3"/>
  <c r="Q71" i="3"/>
  <c r="R71" i="3"/>
  <c r="K72" i="3"/>
  <c r="L72" i="3"/>
  <c r="M72" i="3"/>
  <c r="N72" i="3"/>
  <c r="O72" i="3"/>
  <c r="P72" i="3"/>
  <c r="Q72" i="3"/>
  <c r="R72" i="3"/>
  <c r="K73" i="3"/>
  <c r="L73" i="3"/>
  <c r="M73" i="3"/>
  <c r="N73" i="3"/>
  <c r="O73" i="3"/>
  <c r="P73" i="3"/>
  <c r="Q73" i="3"/>
  <c r="R73" i="3"/>
  <c r="K74" i="3"/>
  <c r="L74" i="3"/>
  <c r="M74" i="3"/>
  <c r="N74" i="3"/>
  <c r="O74" i="3"/>
  <c r="P74" i="3"/>
  <c r="Q74" i="3"/>
  <c r="R74" i="3"/>
  <c r="K75" i="3"/>
  <c r="L75" i="3"/>
  <c r="M75" i="3"/>
  <c r="N75" i="3"/>
  <c r="O75" i="3"/>
  <c r="P75" i="3"/>
  <c r="Q75" i="3"/>
  <c r="R75" i="3"/>
  <c r="K76" i="3"/>
  <c r="L76" i="3"/>
  <c r="M76" i="3"/>
  <c r="N76" i="3"/>
  <c r="O76" i="3"/>
  <c r="P76" i="3"/>
  <c r="Q76" i="3"/>
  <c r="R76" i="3"/>
  <c r="K77" i="3"/>
  <c r="L77" i="3"/>
  <c r="M77" i="3"/>
  <c r="N77" i="3"/>
  <c r="O77" i="3"/>
  <c r="P77" i="3"/>
  <c r="Q77" i="3"/>
  <c r="R77" i="3"/>
  <c r="K78" i="3"/>
  <c r="L78" i="3"/>
  <c r="M78" i="3"/>
  <c r="N78" i="3"/>
  <c r="O78" i="3"/>
  <c r="P78" i="3"/>
  <c r="Q78" i="3"/>
  <c r="R78" i="3"/>
  <c r="K79" i="3"/>
  <c r="L79" i="3"/>
  <c r="M79" i="3"/>
  <c r="N79" i="3"/>
  <c r="O79" i="3"/>
  <c r="P79" i="3"/>
  <c r="Q79" i="3"/>
  <c r="R79" i="3"/>
  <c r="K80" i="3"/>
  <c r="L80" i="3"/>
  <c r="M80" i="3"/>
  <c r="N80" i="3"/>
  <c r="O80" i="3"/>
  <c r="P80" i="3"/>
  <c r="Q80" i="3"/>
  <c r="R80" i="3"/>
  <c r="K81" i="3"/>
  <c r="L81" i="3"/>
  <c r="M81" i="3"/>
  <c r="N81" i="3"/>
  <c r="O81" i="3"/>
  <c r="P81" i="3"/>
  <c r="Q81" i="3"/>
  <c r="R81" i="3"/>
  <c r="K82" i="3"/>
  <c r="L82" i="3"/>
  <c r="M82" i="3"/>
  <c r="N82" i="3"/>
  <c r="O82" i="3"/>
  <c r="P82" i="3"/>
  <c r="Q82" i="3"/>
  <c r="R82" i="3"/>
  <c r="K83" i="3"/>
  <c r="L83" i="3"/>
  <c r="M83" i="3"/>
  <c r="N83" i="3"/>
  <c r="O83" i="3"/>
  <c r="P83" i="3"/>
  <c r="Q83" i="3"/>
  <c r="R83" i="3"/>
  <c r="K84" i="3"/>
  <c r="L84" i="3"/>
  <c r="M84" i="3"/>
  <c r="N84" i="3"/>
  <c r="O84" i="3"/>
  <c r="P84" i="3"/>
  <c r="Q84" i="3"/>
  <c r="R84" i="3"/>
  <c r="K85" i="3"/>
  <c r="L85" i="3"/>
  <c r="M85" i="3"/>
  <c r="N85" i="3"/>
  <c r="O85" i="3"/>
  <c r="P85" i="3"/>
  <c r="Q85" i="3"/>
  <c r="R85" i="3"/>
  <c r="K86" i="3"/>
  <c r="L86" i="3"/>
  <c r="M86" i="3"/>
  <c r="N86" i="3"/>
  <c r="O86" i="3"/>
  <c r="P86" i="3"/>
  <c r="Q86" i="3"/>
  <c r="R86" i="3"/>
  <c r="K87" i="3"/>
  <c r="L87" i="3"/>
  <c r="M87" i="3"/>
  <c r="N87" i="3"/>
  <c r="O87" i="3"/>
  <c r="P87" i="3"/>
  <c r="Q87" i="3"/>
  <c r="R87" i="3"/>
  <c r="K88" i="3"/>
  <c r="L88" i="3"/>
  <c r="M88" i="3"/>
  <c r="N88" i="3"/>
  <c r="O88" i="3"/>
  <c r="P88" i="3"/>
  <c r="Q88" i="3"/>
  <c r="R88" i="3"/>
  <c r="K89" i="3"/>
  <c r="L89" i="3"/>
  <c r="M89" i="3"/>
  <c r="N89" i="3"/>
  <c r="O89" i="3"/>
  <c r="P89" i="3"/>
  <c r="Q89" i="3"/>
  <c r="R89" i="3"/>
  <c r="K90" i="3"/>
  <c r="L90" i="3"/>
  <c r="M90" i="3"/>
  <c r="N90" i="3"/>
  <c r="O90" i="3"/>
  <c r="P90" i="3"/>
  <c r="Q90" i="3"/>
  <c r="R90" i="3"/>
  <c r="K91" i="3"/>
  <c r="L91" i="3"/>
  <c r="M91" i="3"/>
  <c r="N91" i="3"/>
  <c r="O91" i="3"/>
  <c r="P91" i="3"/>
  <c r="Q91" i="3"/>
  <c r="R91" i="3"/>
  <c r="K92" i="3"/>
  <c r="L92" i="3"/>
  <c r="M92" i="3"/>
  <c r="N92" i="3"/>
  <c r="O92" i="3"/>
  <c r="P92" i="3"/>
  <c r="Q92" i="3"/>
  <c r="R92" i="3"/>
  <c r="K93" i="3"/>
  <c r="L93" i="3"/>
  <c r="M93" i="3"/>
  <c r="N93" i="3"/>
  <c r="O93" i="3"/>
  <c r="P93" i="3"/>
  <c r="Q93" i="3"/>
  <c r="R93" i="3"/>
  <c r="K94" i="3"/>
  <c r="L94" i="3"/>
  <c r="M94" i="3"/>
  <c r="N94" i="3"/>
  <c r="O94" i="3"/>
  <c r="P94" i="3"/>
  <c r="Q94" i="3"/>
  <c r="R94" i="3"/>
  <c r="K95" i="3"/>
  <c r="L95" i="3"/>
  <c r="M95" i="3"/>
  <c r="N95" i="3"/>
  <c r="O95" i="3"/>
  <c r="P95" i="3"/>
  <c r="Q95" i="3"/>
  <c r="R95" i="3"/>
  <c r="K96" i="3"/>
  <c r="L96" i="3"/>
  <c r="M96" i="3"/>
  <c r="N96" i="3"/>
  <c r="O96" i="3"/>
  <c r="P96" i="3"/>
  <c r="Q96" i="3"/>
  <c r="R96" i="3"/>
  <c r="K97" i="3"/>
  <c r="L97" i="3"/>
  <c r="M97" i="3"/>
  <c r="N97" i="3"/>
  <c r="O97" i="3"/>
  <c r="P97" i="3"/>
  <c r="Q97" i="3"/>
  <c r="R97" i="3"/>
  <c r="K98" i="3"/>
  <c r="L98" i="3"/>
  <c r="M98" i="3"/>
  <c r="N98" i="3"/>
  <c r="O98" i="3"/>
  <c r="P98" i="3"/>
  <c r="Q98" i="3"/>
  <c r="R98" i="3"/>
  <c r="K99" i="3"/>
  <c r="L99" i="3"/>
  <c r="M99" i="3"/>
  <c r="N99" i="3"/>
  <c r="O99" i="3"/>
  <c r="P99" i="3"/>
  <c r="Q99" i="3"/>
  <c r="R99" i="3"/>
  <c r="K100" i="3"/>
  <c r="L100" i="3"/>
  <c r="M100" i="3"/>
  <c r="N100" i="3"/>
  <c r="O100" i="3"/>
  <c r="P100" i="3"/>
  <c r="Q100" i="3"/>
  <c r="R100" i="3"/>
  <c r="K101" i="3"/>
  <c r="L101" i="3"/>
  <c r="M101" i="3"/>
  <c r="N101" i="3"/>
  <c r="O101" i="3"/>
  <c r="P101" i="3"/>
  <c r="Q101" i="3"/>
  <c r="R101" i="3"/>
  <c r="K102" i="3"/>
  <c r="L102" i="3"/>
  <c r="M102" i="3"/>
  <c r="N102" i="3"/>
  <c r="O102" i="3"/>
  <c r="P102" i="3"/>
  <c r="Q102" i="3"/>
  <c r="R102" i="3"/>
  <c r="K103" i="3"/>
  <c r="L103" i="3"/>
  <c r="M103" i="3"/>
  <c r="N103" i="3"/>
  <c r="O103" i="3"/>
  <c r="P103" i="3"/>
  <c r="Q103" i="3"/>
  <c r="R103" i="3"/>
  <c r="K104" i="3"/>
  <c r="L104" i="3"/>
  <c r="M104" i="3"/>
  <c r="N104" i="3"/>
  <c r="O104" i="3"/>
  <c r="P104" i="3"/>
  <c r="Q104" i="3"/>
  <c r="R104" i="3"/>
  <c r="K105" i="3"/>
  <c r="L105" i="3"/>
  <c r="M105" i="3"/>
  <c r="N105" i="3"/>
  <c r="O105" i="3"/>
  <c r="P105" i="3"/>
  <c r="Q105" i="3"/>
  <c r="R105" i="3"/>
  <c r="K106" i="3"/>
  <c r="L106" i="3"/>
  <c r="M106" i="3"/>
  <c r="N106" i="3"/>
  <c r="O106" i="3"/>
  <c r="P106" i="3"/>
  <c r="Q106" i="3"/>
  <c r="R106" i="3"/>
  <c r="K107" i="3"/>
  <c r="L107" i="3"/>
  <c r="M107" i="3"/>
  <c r="N107" i="3"/>
  <c r="O107" i="3"/>
  <c r="P107" i="3"/>
  <c r="Q107" i="3"/>
  <c r="R107" i="3"/>
  <c r="K108" i="3"/>
  <c r="L108" i="3"/>
  <c r="M108" i="3"/>
  <c r="N108" i="3"/>
  <c r="O108" i="3"/>
  <c r="P108" i="3"/>
  <c r="Q108" i="3"/>
  <c r="R108" i="3"/>
  <c r="K109" i="3"/>
  <c r="L109" i="3"/>
  <c r="M109" i="3"/>
  <c r="N109" i="3"/>
  <c r="O109" i="3"/>
  <c r="P109" i="3"/>
  <c r="Q109" i="3"/>
  <c r="R109" i="3"/>
  <c r="K110" i="3"/>
  <c r="L110" i="3"/>
  <c r="M110" i="3"/>
  <c r="N110" i="3"/>
  <c r="O110" i="3"/>
  <c r="P110" i="3"/>
  <c r="Q110" i="3"/>
  <c r="R110" i="3"/>
  <c r="K111" i="3"/>
  <c r="L111" i="3"/>
  <c r="M111" i="3"/>
  <c r="N111" i="3"/>
  <c r="O111" i="3"/>
  <c r="P111" i="3"/>
  <c r="Q111" i="3"/>
  <c r="R111" i="3"/>
  <c r="K112" i="3"/>
  <c r="L112" i="3"/>
  <c r="M112" i="3"/>
  <c r="N112" i="3"/>
  <c r="O112" i="3"/>
  <c r="P112" i="3"/>
  <c r="Q112" i="3"/>
  <c r="R112" i="3"/>
  <c r="K113" i="3"/>
  <c r="L113" i="3"/>
  <c r="M113" i="3"/>
  <c r="N113" i="3"/>
  <c r="O113" i="3"/>
  <c r="P113" i="3"/>
  <c r="Q113" i="3"/>
  <c r="R113" i="3"/>
  <c r="K114" i="3"/>
  <c r="L114" i="3"/>
  <c r="M114" i="3"/>
  <c r="N114" i="3"/>
  <c r="O114" i="3"/>
  <c r="P114" i="3"/>
  <c r="Q114" i="3"/>
  <c r="R114" i="3"/>
  <c r="K115" i="3"/>
  <c r="L115" i="3"/>
  <c r="M115" i="3"/>
  <c r="N115" i="3"/>
  <c r="O115" i="3"/>
  <c r="P115" i="3"/>
  <c r="Q115" i="3"/>
  <c r="R115" i="3"/>
  <c r="K116" i="3"/>
  <c r="L116" i="3"/>
  <c r="M116" i="3"/>
  <c r="N116" i="3"/>
  <c r="O116" i="3"/>
  <c r="P116" i="3"/>
  <c r="Q116" i="3"/>
  <c r="R116" i="3"/>
  <c r="K117" i="3"/>
  <c r="L117" i="3"/>
  <c r="M117" i="3"/>
  <c r="N117" i="3"/>
  <c r="O117" i="3"/>
  <c r="P117" i="3"/>
  <c r="Q117" i="3"/>
  <c r="R117" i="3"/>
  <c r="K118" i="3"/>
  <c r="L118" i="3"/>
  <c r="M118" i="3"/>
  <c r="N118" i="3"/>
  <c r="O118" i="3"/>
  <c r="P118" i="3"/>
  <c r="Q118" i="3"/>
  <c r="R118" i="3"/>
  <c r="K119" i="3"/>
  <c r="L119" i="3"/>
  <c r="M119" i="3"/>
  <c r="N119" i="3"/>
  <c r="O119" i="3"/>
  <c r="P119" i="3"/>
  <c r="Q119" i="3"/>
  <c r="R119" i="3"/>
  <c r="K120" i="3"/>
  <c r="L120" i="3"/>
  <c r="M120" i="3"/>
  <c r="N120" i="3"/>
  <c r="O120" i="3"/>
  <c r="P120" i="3"/>
  <c r="Q120" i="3"/>
  <c r="R120" i="3"/>
  <c r="K121" i="3"/>
  <c r="L121" i="3"/>
  <c r="M121" i="3"/>
  <c r="N121" i="3"/>
  <c r="O121" i="3"/>
  <c r="P121" i="3"/>
  <c r="Q121" i="3"/>
  <c r="R121" i="3"/>
  <c r="K122" i="3"/>
  <c r="L122" i="3"/>
  <c r="M122" i="3"/>
  <c r="N122" i="3"/>
  <c r="O122" i="3"/>
  <c r="P122" i="3"/>
  <c r="Q122" i="3"/>
  <c r="R122" i="3"/>
  <c r="K123" i="3"/>
  <c r="L123" i="3"/>
  <c r="M123" i="3"/>
  <c r="N123" i="3"/>
  <c r="O123" i="3"/>
  <c r="P123" i="3"/>
  <c r="Q123" i="3"/>
  <c r="R123" i="3"/>
  <c r="K124" i="3"/>
  <c r="L124" i="3"/>
  <c r="M124" i="3"/>
  <c r="N124" i="3"/>
  <c r="O124" i="3"/>
  <c r="P124" i="3"/>
  <c r="Q124" i="3"/>
  <c r="R124" i="3"/>
  <c r="K125" i="3"/>
  <c r="L125" i="3"/>
  <c r="M125" i="3"/>
  <c r="N125" i="3"/>
  <c r="O125" i="3"/>
  <c r="P125" i="3"/>
  <c r="Q125" i="3"/>
  <c r="R125" i="3"/>
  <c r="K126" i="3"/>
  <c r="L126" i="3"/>
  <c r="M126" i="3"/>
  <c r="N126" i="3"/>
  <c r="O126" i="3"/>
  <c r="P126" i="3"/>
  <c r="Q126" i="3"/>
  <c r="R126" i="3"/>
  <c r="K127" i="3"/>
  <c r="L127" i="3"/>
  <c r="M127" i="3"/>
  <c r="N127" i="3"/>
  <c r="O127" i="3"/>
  <c r="P127" i="3"/>
  <c r="Q127" i="3"/>
  <c r="R127" i="3"/>
  <c r="K128" i="3"/>
  <c r="L128" i="3"/>
  <c r="M128" i="3"/>
  <c r="N128" i="3"/>
  <c r="O128" i="3"/>
  <c r="P128" i="3"/>
  <c r="Q128" i="3"/>
  <c r="R128" i="3"/>
  <c r="K129" i="3"/>
  <c r="L129" i="3"/>
  <c r="M129" i="3"/>
  <c r="N129" i="3"/>
  <c r="O129" i="3"/>
  <c r="P129" i="3"/>
  <c r="Q129" i="3"/>
  <c r="R129" i="3"/>
  <c r="K130" i="3"/>
  <c r="L130" i="3"/>
  <c r="M130" i="3"/>
  <c r="N130" i="3"/>
  <c r="O130" i="3"/>
  <c r="P130" i="3"/>
  <c r="Q130" i="3"/>
  <c r="R130" i="3"/>
  <c r="K131" i="3"/>
  <c r="L131" i="3"/>
  <c r="M131" i="3"/>
  <c r="N131" i="3"/>
  <c r="O131" i="3"/>
  <c r="P131" i="3"/>
  <c r="Q131" i="3"/>
  <c r="R131" i="3"/>
  <c r="K132" i="3"/>
  <c r="L132" i="3"/>
  <c r="M132" i="3"/>
  <c r="N132" i="3"/>
  <c r="O132" i="3"/>
  <c r="P132" i="3"/>
  <c r="Q132" i="3"/>
  <c r="R132" i="3"/>
  <c r="K133" i="3"/>
  <c r="L133" i="3"/>
  <c r="M133" i="3"/>
  <c r="N133" i="3"/>
  <c r="O133" i="3"/>
  <c r="P133" i="3"/>
  <c r="Q133" i="3"/>
  <c r="R133" i="3"/>
  <c r="K134" i="3"/>
  <c r="L134" i="3"/>
  <c r="M134" i="3"/>
  <c r="N134" i="3"/>
  <c r="O134" i="3"/>
  <c r="P134" i="3"/>
  <c r="Q134" i="3"/>
  <c r="R134" i="3"/>
  <c r="K135" i="3"/>
  <c r="L135" i="3"/>
  <c r="M135" i="3"/>
  <c r="N135" i="3"/>
  <c r="O135" i="3"/>
  <c r="P135" i="3"/>
  <c r="Q135" i="3"/>
  <c r="R135" i="3"/>
  <c r="K136" i="3"/>
  <c r="L136" i="3"/>
  <c r="M136" i="3"/>
  <c r="N136" i="3"/>
  <c r="O136" i="3"/>
  <c r="P136" i="3"/>
  <c r="Q136" i="3"/>
  <c r="R136" i="3"/>
  <c r="K137" i="3"/>
  <c r="L137" i="3"/>
  <c r="M137" i="3"/>
  <c r="N137" i="3"/>
  <c r="O137" i="3"/>
  <c r="P137" i="3"/>
  <c r="Q137" i="3"/>
  <c r="R137" i="3"/>
  <c r="K138" i="3"/>
  <c r="L138" i="3"/>
  <c r="M138" i="3"/>
  <c r="N138" i="3"/>
  <c r="O138" i="3"/>
  <c r="P138" i="3"/>
  <c r="Q138" i="3"/>
  <c r="R138" i="3"/>
  <c r="K139" i="3"/>
  <c r="L139" i="3"/>
  <c r="M139" i="3"/>
  <c r="N139" i="3"/>
  <c r="O139" i="3"/>
  <c r="P139" i="3"/>
  <c r="Q139" i="3"/>
  <c r="R139" i="3"/>
  <c r="K140" i="3"/>
  <c r="L140" i="3"/>
  <c r="M140" i="3"/>
  <c r="N140" i="3"/>
  <c r="O140" i="3"/>
  <c r="P140" i="3"/>
  <c r="Q140" i="3"/>
  <c r="R140" i="3"/>
  <c r="K141" i="3"/>
  <c r="L141" i="3"/>
  <c r="M141" i="3"/>
  <c r="N141" i="3"/>
  <c r="O141" i="3"/>
  <c r="P141" i="3"/>
  <c r="Q141" i="3"/>
  <c r="R141" i="3"/>
  <c r="K142" i="3"/>
  <c r="L142" i="3"/>
  <c r="M142" i="3"/>
  <c r="N142" i="3"/>
  <c r="O142" i="3"/>
  <c r="P142" i="3"/>
  <c r="Q142" i="3"/>
  <c r="R142" i="3"/>
  <c r="K143" i="3"/>
  <c r="L143" i="3"/>
  <c r="M143" i="3"/>
  <c r="N143" i="3"/>
  <c r="O143" i="3"/>
  <c r="P143" i="3"/>
  <c r="Q143" i="3"/>
  <c r="R143" i="3"/>
  <c r="K144" i="3"/>
  <c r="L144" i="3"/>
  <c r="M144" i="3"/>
  <c r="N144" i="3"/>
  <c r="O144" i="3"/>
  <c r="P144" i="3"/>
  <c r="Q144" i="3"/>
  <c r="R144" i="3"/>
  <c r="K145" i="3"/>
  <c r="L145" i="3"/>
  <c r="M145" i="3"/>
  <c r="N145" i="3"/>
  <c r="O145" i="3"/>
  <c r="P145" i="3"/>
  <c r="Q145" i="3"/>
  <c r="R145" i="3"/>
  <c r="K146" i="3"/>
  <c r="L146" i="3"/>
  <c r="M146" i="3"/>
  <c r="N146" i="3"/>
  <c r="O146" i="3"/>
  <c r="P146" i="3"/>
  <c r="Q146" i="3"/>
  <c r="R146" i="3"/>
  <c r="K147" i="3"/>
  <c r="L147" i="3"/>
  <c r="M147" i="3"/>
  <c r="N147" i="3"/>
  <c r="O147" i="3"/>
  <c r="P147" i="3"/>
  <c r="Q147" i="3"/>
  <c r="R147" i="3"/>
  <c r="K148" i="3"/>
  <c r="L148" i="3"/>
  <c r="M148" i="3"/>
  <c r="N148" i="3"/>
  <c r="O148" i="3"/>
  <c r="P148" i="3"/>
  <c r="Q148" i="3"/>
  <c r="R148" i="3"/>
  <c r="K149" i="3"/>
  <c r="L149" i="3"/>
  <c r="M149" i="3"/>
  <c r="N149" i="3"/>
  <c r="O149" i="3"/>
  <c r="P149" i="3"/>
  <c r="Q149" i="3"/>
  <c r="R149" i="3"/>
  <c r="K150" i="3"/>
  <c r="L150" i="3"/>
  <c r="M150" i="3"/>
  <c r="N150" i="3"/>
  <c r="O150" i="3"/>
  <c r="P150" i="3"/>
  <c r="Q150" i="3"/>
  <c r="R150" i="3"/>
  <c r="K151" i="3"/>
  <c r="L151" i="3"/>
  <c r="M151" i="3"/>
  <c r="N151" i="3"/>
  <c r="O151" i="3"/>
  <c r="P151" i="3"/>
  <c r="Q151" i="3"/>
  <c r="R151" i="3"/>
  <c r="K152" i="3"/>
  <c r="L152" i="3"/>
  <c r="M152" i="3"/>
  <c r="N152" i="3"/>
  <c r="O152" i="3"/>
  <c r="P152" i="3"/>
  <c r="Q152" i="3"/>
  <c r="R152" i="3"/>
  <c r="K153" i="3"/>
  <c r="L153" i="3"/>
  <c r="M153" i="3"/>
  <c r="N153" i="3"/>
  <c r="O153" i="3"/>
  <c r="P153" i="3"/>
  <c r="Q153" i="3"/>
  <c r="R153" i="3"/>
  <c r="K154" i="3"/>
  <c r="L154" i="3"/>
  <c r="M154" i="3"/>
  <c r="N154" i="3"/>
  <c r="O154" i="3"/>
  <c r="P154" i="3"/>
  <c r="Q154" i="3"/>
  <c r="R154" i="3"/>
  <c r="K155" i="3"/>
  <c r="L155" i="3"/>
  <c r="M155" i="3"/>
  <c r="N155" i="3"/>
  <c r="O155" i="3"/>
  <c r="P155" i="3"/>
  <c r="Q155" i="3"/>
  <c r="R155" i="3"/>
  <c r="K156" i="3"/>
  <c r="L156" i="3"/>
  <c r="M156" i="3"/>
  <c r="N156" i="3"/>
  <c r="O156" i="3"/>
  <c r="P156" i="3"/>
  <c r="Q156" i="3"/>
  <c r="R156" i="3"/>
  <c r="K157" i="3"/>
  <c r="L157" i="3"/>
  <c r="M157" i="3"/>
  <c r="N157" i="3"/>
  <c r="O157" i="3"/>
  <c r="P157" i="3"/>
  <c r="Q157" i="3"/>
  <c r="R157" i="3"/>
  <c r="K158" i="3"/>
  <c r="L158" i="3"/>
  <c r="M158" i="3"/>
  <c r="N158" i="3"/>
  <c r="O158" i="3"/>
  <c r="P158" i="3"/>
  <c r="Q158" i="3"/>
  <c r="R158" i="3"/>
  <c r="K159" i="3"/>
  <c r="L159" i="3"/>
  <c r="M159" i="3"/>
  <c r="N159" i="3"/>
  <c r="O159" i="3"/>
  <c r="P159" i="3"/>
  <c r="Q159" i="3"/>
  <c r="R159" i="3"/>
  <c r="K160" i="3"/>
  <c r="L160" i="3"/>
  <c r="M160" i="3"/>
  <c r="N160" i="3"/>
  <c r="O160" i="3"/>
  <c r="P160" i="3"/>
  <c r="Q160" i="3"/>
  <c r="R160" i="3"/>
  <c r="K161" i="3"/>
  <c r="L161" i="3"/>
  <c r="M161" i="3"/>
  <c r="N161" i="3"/>
  <c r="O161" i="3"/>
  <c r="P161" i="3"/>
  <c r="Q161" i="3"/>
  <c r="R161" i="3"/>
  <c r="K162" i="3"/>
  <c r="L162" i="3"/>
  <c r="M162" i="3"/>
  <c r="N162" i="3"/>
  <c r="O162" i="3"/>
  <c r="P162" i="3"/>
  <c r="Q162" i="3"/>
  <c r="R162" i="3"/>
  <c r="K163" i="3"/>
  <c r="L163" i="3"/>
  <c r="M163" i="3"/>
  <c r="N163" i="3"/>
  <c r="O163" i="3"/>
  <c r="P163" i="3"/>
  <c r="Q163" i="3"/>
  <c r="R163" i="3"/>
  <c r="K164" i="3"/>
  <c r="L164" i="3"/>
  <c r="M164" i="3"/>
  <c r="N164" i="3"/>
  <c r="O164" i="3"/>
  <c r="P164" i="3"/>
  <c r="Q164" i="3"/>
  <c r="R164" i="3"/>
  <c r="K165" i="3"/>
  <c r="L165" i="3"/>
  <c r="M165" i="3"/>
  <c r="N165" i="3"/>
  <c r="O165" i="3"/>
  <c r="P165" i="3"/>
  <c r="Q165" i="3"/>
  <c r="R165" i="3"/>
  <c r="K166" i="3"/>
  <c r="L166" i="3"/>
  <c r="M166" i="3"/>
  <c r="N166" i="3"/>
  <c r="O166" i="3"/>
  <c r="P166" i="3"/>
  <c r="Q166" i="3"/>
  <c r="R166" i="3"/>
  <c r="K167" i="3"/>
  <c r="L167" i="3"/>
  <c r="M167" i="3"/>
  <c r="N167" i="3"/>
  <c r="O167" i="3"/>
  <c r="P167" i="3"/>
  <c r="Q167" i="3"/>
  <c r="R167" i="3"/>
  <c r="K168" i="3"/>
  <c r="L168" i="3"/>
  <c r="M168" i="3"/>
  <c r="N168" i="3"/>
  <c r="O168" i="3"/>
  <c r="P168" i="3"/>
  <c r="Q168" i="3"/>
  <c r="R168" i="3"/>
  <c r="K169" i="3"/>
  <c r="L169" i="3"/>
  <c r="M169" i="3"/>
  <c r="N169" i="3"/>
  <c r="O169" i="3"/>
  <c r="P169" i="3"/>
  <c r="Q169" i="3"/>
  <c r="R169" i="3"/>
  <c r="K170" i="3"/>
  <c r="L170" i="3"/>
  <c r="M170" i="3"/>
  <c r="N170" i="3"/>
  <c r="O170" i="3"/>
  <c r="P170" i="3"/>
  <c r="Q170" i="3"/>
  <c r="R170" i="3"/>
  <c r="K171" i="3"/>
  <c r="L171" i="3"/>
  <c r="M171" i="3"/>
  <c r="N171" i="3"/>
  <c r="O171" i="3"/>
  <c r="P171" i="3"/>
  <c r="Q171" i="3"/>
  <c r="R171" i="3"/>
  <c r="K172" i="3"/>
  <c r="L172" i="3"/>
  <c r="M172" i="3"/>
  <c r="N172" i="3"/>
  <c r="O172" i="3"/>
  <c r="P172" i="3"/>
  <c r="Q172" i="3"/>
  <c r="R172" i="3"/>
  <c r="K173" i="3"/>
  <c r="L173" i="3"/>
  <c r="M173" i="3"/>
  <c r="N173" i="3"/>
  <c r="O173" i="3"/>
  <c r="P173" i="3"/>
  <c r="Q173" i="3"/>
  <c r="R173" i="3"/>
  <c r="K174" i="3"/>
  <c r="L174" i="3"/>
  <c r="M174" i="3"/>
  <c r="N174" i="3"/>
  <c r="O174" i="3"/>
  <c r="P174" i="3"/>
  <c r="Q174" i="3"/>
  <c r="R174" i="3"/>
  <c r="K175" i="3"/>
  <c r="L175" i="3"/>
  <c r="M175" i="3"/>
  <c r="N175" i="3"/>
  <c r="O175" i="3"/>
  <c r="P175" i="3"/>
  <c r="Q175" i="3"/>
  <c r="R175" i="3"/>
  <c r="K176" i="3"/>
  <c r="L176" i="3"/>
  <c r="M176" i="3"/>
  <c r="N176" i="3"/>
  <c r="O176" i="3"/>
  <c r="P176" i="3"/>
  <c r="Q176" i="3"/>
  <c r="R176" i="3"/>
  <c r="K177" i="3"/>
  <c r="L177" i="3"/>
  <c r="M177" i="3"/>
  <c r="N177" i="3"/>
  <c r="O177" i="3"/>
  <c r="P177" i="3"/>
  <c r="Q177" i="3"/>
  <c r="R177" i="3"/>
  <c r="K178" i="3"/>
  <c r="L178" i="3"/>
  <c r="M178" i="3"/>
  <c r="N178" i="3"/>
  <c r="O178" i="3"/>
  <c r="P178" i="3"/>
  <c r="Q178" i="3"/>
  <c r="R178" i="3"/>
  <c r="K179" i="3"/>
  <c r="L179" i="3"/>
  <c r="M179" i="3"/>
  <c r="N179" i="3"/>
  <c r="O179" i="3"/>
  <c r="P179" i="3"/>
  <c r="Q179" i="3"/>
  <c r="R179" i="3"/>
  <c r="K180" i="3"/>
  <c r="L180" i="3"/>
  <c r="M180" i="3"/>
  <c r="N180" i="3"/>
  <c r="O180" i="3"/>
  <c r="P180" i="3"/>
  <c r="Q180" i="3"/>
  <c r="R180" i="3"/>
  <c r="K181" i="3"/>
  <c r="L181" i="3"/>
  <c r="M181" i="3"/>
  <c r="N181" i="3"/>
  <c r="O181" i="3"/>
  <c r="P181" i="3"/>
  <c r="Q181" i="3"/>
  <c r="R181" i="3"/>
  <c r="K182" i="3"/>
  <c r="L182" i="3"/>
  <c r="M182" i="3"/>
  <c r="N182" i="3"/>
  <c r="O182" i="3"/>
  <c r="P182" i="3"/>
  <c r="Q182" i="3"/>
  <c r="R182" i="3"/>
  <c r="K183" i="3"/>
  <c r="L183" i="3"/>
  <c r="M183" i="3"/>
  <c r="N183" i="3"/>
  <c r="O183" i="3"/>
  <c r="P183" i="3"/>
  <c r="Q183" i="3"/>
  <c r="R183" i="3"/>
  <c r="K184" i="3"/>
  <c r="L184" i="3"/>
  <c r="M184" i="3"/>
  <c r="N184" i="3"/>
  <c r="O184" i="3"/>
  <c r="P184" i="3"/>
  <c r="Q184" i="3"/>
  <c r="R184" i="3"/>
  <c r="K185" i="3"/>
  <c r="L185" i="3"/>
  <c r="M185" i="3"/>
  <c r="N185" i="3"/>
  <c r="O185" i="3"/>
  <c r="P185" i="3"/>
  <c r="Q185" i="3"/>
  <c r="R185" i="3"/>
  <c r="K186" i="3"/>
  <c r="L186" i="3"/>
  <c r="M186" i="3"/>
  <c r="N186" i="3"/>
  <c r="O186" i="3"/>
  <c r="P186" i="3"/>
  <c r="Q186" i="3"/>
  <c r="R186" i="3"/>
  <c r="K187" i="3"/>
  <c r="L187" i="3"/>
  <c r="M187" i="3"/>
  <c r="N187" i="3"/>
  <c r="O187" i="3"/>
  <c r="P187" i="3"/>
  <c r="Q187" i="3"/>
  <c r="R187" i="3"/>
  <c r="K188" i="3"/>
  <c r="L188" i="3"/>
  <c r="M188" i="3"/>
  <c r="N188" i="3"/>
  <c r="O188" i="3"/>
  <c r="P188" i="3"/>
  <c r="Q188" i="3"/>
  <c r="R188" i="3"/>
  <c r="K189" i="3"/>
  <c r="L189" i="3"/>
  <c r="M189" i="3"/>
  <c r="N189" i="3"/>
  <c r="O189" i="3"/>
  <c r="P189" i="3"/>
  <c r="Q189" i="3"/>
  <c r="R189" i="3"/>
  <c r="K190" i="3"/>
  <c r="L190" i="3"/>
  <c r="M190" i="3"/>
  <c r="N190" i="3"/>
  <c r="O190" i="3"/>
  <c r="P190" i="3"/>
  <c r="Q190" i="3"/>
  <c r="R190" i="3"/>
  <c r="K191" i="3"/>
  <c r="L191" i="3"/>
  <c r="M191" i="3"/>
  <c r="N191" i="3"/>
  <c r="O191" i="3"/>
  <c r="P191" i="3"/>
  <c r="Q191" i="3"/>
  <c r="R191" i="3"/>
  <c r="K192" i="3"/>
  <c r="L192" i="3"/>
  <c r="M192" i="3"/>
  <c r="N192" i="3"/>
  <c r="O192" i="3"/>
  <c r="P192" i="3"/>
  <c r="Q192" i="3"/>
  <c r="R192" i="3"/>
  <c r="K193" i="3"/>
  <c r="L193" i="3"/>
  <c r="M193" i="3"/>
  <c r="N193" i="3"/>
  <c r="O193" i="3"/>
  <c r="P193" i="3"/>
  <c r="Q193" i="3"/>
  <c r="R193" i="3"/>
  <c r="K194" i="3"/>
  <c r="L194" i="3"/>
  <c r="M194" i="3"/>
  <c r="N194" i="3"/>
  <c r="O194" i="3"/>
  <c r="P194" i="3"/>
  <c r="Q194" i="3"/>
  <c r="R194" i="3"/>
  <c r="K195" i="3"/>
  <c r="L195" i="3"/>
  <c r="M195" i="3"/>
  <c r="N195" i="3"/>
  <c r="O195" i="3"/>
  <c r="P195" i="3"/>
  <c r="Q195" i="3"/>
  <c r="R195" i="3"/>
  <c r="K196" i="3"/>
  <c r="L196" i="3"/>
  <c r="M196" i="3"/>
  <c r="N196" i="3"/>
  <c r="O196" i="3"/>
  <c r="P196" i="3"/>
  <c r="Q196" i="3"/>
  <c r="R196" i="3"/>
  <c r="K197" i="3"/>
  <c r="L197" i="3"/>
  <c r="M197" i="3"/>
  <c r="N197" i="3"/>
  <c r="O197" i="3"/>
  <c r="P197" i="3"/>
  <c r="Q197" i="3"/>
  <c r="R197" i="3"/>
  <c r="K198" i="3"/>
  <c r="L198" i="3"/>
  <c r="M198" i="3"/>
  <c r="N198" i="3"/>
  <c r="O198" i="3"/>
  <c r="P198" i="3"/>
  <c r="Q198" i="3"/>
  <c r="R198" i="3"/>
  <c r="K199" i="3"/>
  <c r="L199" i="3"/>
  <c r="M199" i="3"/>
  <c r="N199" i="3"/>
  <c r="O199" i="3"/>
  <c r="P199" i="3"/>
  <c r="Q199" i="3"/>
  <c r="R199" i="3"/>
  <c r="K200" i="3"/>
  <c r="L200" i="3"/>
  <c r="M200" i="3"/>
  <c r="N200" i="3"/>
  <c r="O200" i="3"/>
  <c r="P200" i="3"/>
  <c r="Q200" i="3"/>
  <c r="R200" i="3"/>
  <c r="K201" i="3"/>
  <c r="L201" i="3"/>
  <c r="M201" i="3"/>
  <c r="N201" i="3"/>
  <c r="O201" i="3"/>
  <c r="P201" i="3"/>
  <c r="Q201" i="3"/>
  <c r="R201" i="3"/>
  <c r="K202" i="3"/>
  <c r="L202" i="3"/>
  <c r="M202" i="3"/>
  <c r="N202" i="3"/>
  <c r="O202" i="3"/>
  <c r="P202" i="3"/>
  <c r="Q202" i="3"/>
  <c r="R202" i="3"/>
  <c r="K203" i="3"/>
  <c r="L203" i="3"/>
  <c r="M203" i="3"/>
  <c r="N203" i="3"/>
  <c r="O203" i="3"/>
  <c r="P203" i="3"/>
  <c r="Q203" i="3"/>
  <c r="R203" i="3"/>
  <c r="K204" i="3"/>
  <c r="L204" i="3"/>
  <c r="M204" i="3"/>
  <c r="N204" i="3"/>
  <c r="O204" i="3"/>
  <c r="P204" i="3"/>
  <c r="Q204" i="3"/>
  <c r="R204" i="3"/>
  <c r="K205" i="3"/>
  <c r="L205" i="3"/>
  <c r="M205" i="3"/>
  <c r="N205" i="3"/>
  <c r="O205" i="3"/>
  <c r="P205" i="3"/>
  <c r="Q205" i="3"/>
  <c r="R205" i="3"/>
  <c r="K206" i="3"/>
  <c r="L206" i="3"/>
  <c r="M206" i="3"/>
  <c r="N206" i="3"/>
  <c r="O206" i="3"/>
  <c r="P206" i="3"/>
  <c r="Q206" i="3"/>
  <c r="R206" i="3"/>
  <c r="K207" i="3"/>
  <c r="L207" i="3"/>
  <c r="M207" i="3"/>
  <c r="N207" i="3"/>
  <c r="O207" i="3"/>
  <c r="P207" i="3"/>
  <c r="Q207" i="3"/>
  <c r="R207" i="3"/>
  <c r="K208" i="3"/>
  <c r="L208" i="3"/>
  <c r="M208" i="3"/>
  <c r="N208" i="3"/>
  <c r="O208" i="3"/>
  <c r="P208" i="3"/>
  <c r="Q208" i="3"/>
  <c r="R208" i="3"/>
  <c r="K209" i="3"/>
  <c r="L209" i="3"/>
  <c r="M209" i="3"/>
  <c r="N209" i="3"/>
  <c r="O209" i="3"/>
  <c r="P209" i="3"/>
  <c r="Q209" i="3"/>
  <c r="R209" i="3"/>
  <c r="K210" i="3"/>
  <c r="L210" i="3"/>
  <c r="M210" i="3"/>
  <c r="N210" i="3"/>
  <c r="O210" i="3"/>
  <c r="P210" i="3"/>
  <c r="Q210" i="3"/>
  <c r="R210" i="3"/>
  <c r="K211" i="3"/>
  <c r="L211" i="3"/>
  <c r="M211" i="3"/>
  <c r="N211" i="3"/>
  <c r="O211" i="3"/>
  <c r="P211" i="3"/>
  <c r="Q211" i="3"/>
  <c r="R211" i="3"/>
  <c r="K212" i="3"/>
  <c r="L212" i="3"/>
  <c r="M212" i="3"/>
  <c r="N212" i="3"/>
  <c r="O212" i="3"/>
  <c r="P212" i="3"/>
  <c r="Q212" i="3"/>
  <c r="R212" i="3"/>
  <c r="K213" i="3"/>
  <c r="L213" i="3"/>
  <c r="M213" i="3"/>
  <c r="N213" i="3"/>
  <c r="O213" i="3"/>
  <c r="P213" i="3"/>
  <c r="Q213" i="3"/>
  <c r="R213" i="3"/>
  <c r="K214" i="3"/>
  <c r="L214" i="3"/>
  <c r="M214" i="3"/>
  <c r="N214" i="3"/>
  <c r="O214" i="3"/>
  <c r="P214" i="3"/>
  <c r="Q214" i="3"/>
  <c r="R214" i="3"/>
  <c r="K215" i="3"/>
  <c r="L215" i="3"/>
  <c r="M215" i="3"/>
  <c r="N215" i="3"/>
  <c r="O215" i="3"/>
  <c r="P215" i="3"/>
  <c r="Q215" i="3"/>
  <c r="R215" i="3"/>
  <c r="K216" i="3"/>
  <c r="L216" i="3"/>
  <c r="M216" i="3"/>
  <c r="N216" i="3"/>
  <c r="O216" i="3"/>
  <c r="P216" i="3"/>
  <c r="Q216" i="3"/>
  <c r="R216" i="3"/>
  <c r="K217" i="3"/>
  <c r="L217" i="3"/>
  <c r="M217" i="3"/>
  <c r="N217" i="3"/>
  <c r="O217" i="3"/>
  <c r="P217" i="3"/>
  <c r="Q217" i="3"/>
  <c r="R217" i="3"/>
  <c r="K218" i="3"/>
  <c r="L218" i="3"/>
  <c r="M218" i="3"/>
  <c r="N218" i="3"/>
  <c r="O218" i="3"/>
  <c r="P218" i="3"/>
  <c r="Q218" i="3"/>
  <c r="R218" i="3"/>
  <c r="K219" i="3"/>
  <c r="L219" i="3"/>
  <c r="M219" i="3"/>
  <c r="N219" i="3"/>
  <c r="O219" i="3"/>
  <c r="P219" i="3"/>
  <c r="Q219" i="3"/>
  <c r="R219" i="3"/>
  <c r="K220" i="3"/>
  <c r="L220" i="3"/>
  <c r="M220" i="3"/>
  <c r="N220" i="3"/>
  <c r="O220" i="3"/>
  <c r="P220" i="3"/>
  <c r="Q220" i="3"/>
  <c r="R220" i="3"/>
  <c r="K221" i="3"/>
  <c r="L221" i="3"/>
  <c r="M221" i="3"/>
  <c r="N221" i="3"/>
  <c r="O221" i="3"/>
  <c r="P221" i="3"/>
  <c r="Q221" i="3"/>
  <c r="R221" i="3"/>
  <c r="K222" i="3"/>
  <c r="L222" i="3"/>
  <c r="M222" i="3"/>
  <c r="N222" i="3"/>
  <c r="O222" i="3"/>
  <c r="P222" i="3"/>
  <c r="Q222" i="3"/>
  <c r="R222" i="3"/>
  <c r="K223" i="3"/>
  <c r="L223" i="3"/>
  <c r="M223" i="3"/>
  <c r="N223" i="3"/>
  <c r="O223" i="3"/>
  <c r="P223" i="3"/>
  <c r="Q223" i="3"/>
  <c r="R223" i="3"/>
  <c r="K224" i="3"/>
  <c r="L224" i="3"/>
  <c r="M224" i="3"/>
  <c r="N224" i="3"/>
  <c r="O224" i="3"/>
  <c r="P224" i="3"/>
  <c r="Q224" i="3"/>
  <c r="R224" i="3"/>
  <c r="K225" i="3"/>
  <c r="L225" i="3"/>
  <c r="M225" i="3"/>
  <c r="N225" i="3"/>
  <c r="O225" i="3"/>
  <c r="P225" i="3"/>
  <c r="Q225" i="3"/>
  <c r="R225" i="3"/>
  <c r="K226" i="3"/>
  <c r="L226" i="3"/>
  <c r="M226" i="3"/>
  <c r="N226" i="3"/>
  <c r="O226" i="3"/>
  <c r="P226" i="3"/>
  <c r="Q226" i="3"/>
  <c r="R226" i="3"/>
  <c r="K227" i="3"/>
  <c r="L227" i="3"/>
  <c r="M227" i="3"/>
  <c r="N227" i="3"/>
  <c r="O227" i="3"/>
  <c r="P227" i="3"/>
  <c r="Q227" i="3"/>
  <c r="R227" i="3"/>
  <c r="K228" i="3"/>
  <c r="L228" i="3"/>
  <c r="M228" i="3"/>
  <c r="N228" i="3"/>
  <c r="O228" i="3"/>
  <c r="P228" i="3"/>
  <c r="Q228" i="3"/>
  <c r="R228" i="3"/>
  <c r="K229" i="3"/>
  <c r="L229" i="3"/>
  <c r="M229" i="3"/>
  <c r="N229" i="3"/>
  <c r="O229" i="3"/>
  <c r="P229" i="3"/>
  <c r="Q229" i="3"/>
  <c r="R229" i="3"/>
  <c r="K230" i="3"/>
  <c r="L230" i="3"/>
  <c r="M230" i="3"/>
  <c r="N230" i="3"/>
  <c r="O230" i="3"/>
  <c r="P230" i="3"/>
  <c r="Q230" i="3"/>
  <c r="R230" i="3"/>
  <c r="K231" i="3"/>
  <c r="L231" i="3"/>
  <c r="M231" i="3"/>
  <c r="N231" i="3"/>
  <c r="O231" i="3"/>
  <c r="P231" i="3"/>
  <c r="Q231" i="3"/>
  <c r="R231" i="3"/>
  <c r="K232" i="3"/>
  <c r="L232" i="3"/>
  <c r="M232" i="3"/>
  <c r="N232" i="3"/>
  <c r="O232" i="3"/>
  <c r="P232" i="3"/>
  <c r="Q232" i="3"/>
  <c r="R232" i="3"/>
  <c r="K233" i="3"/>
  <c r="L233" i="3"/>
  <c r="M233" i="3"/>
  <c r="N233" i="3"/>
  <c r="O233" i="3"/>
  <c r="P233" i="3"/>
  <c r="Q233" i="3"/>
  <c r="R233" i="3"/>
  <c r="K234" i="3"/>
  <c r="L234" i="3"/>
  <c r="M234" i="3"/>
  <c r="N234" i="3"/>
  <c r="O234" i="3"/>
  <c r="P234" i="3"/>
  <c r="Q234" i="3"/>
  <c r="R234" i="3"/>
  <c r="K235" i="3"/>
  <c r="L235" i="3"/>
  <c r="M235" i="3"/>
  <c r="N235" i="3"/>
  <c r="O235" i="3"/>
  <c r="P235" i="3"/>
  <c r="Q235" i="3"/>
  <c r="R235" i="3"/>
  <c r="K236" i="3"/>
  <c r="L236" i="3"/>
  <c r="M236" i="3"/>
  <c r="N236" i="3"/>
  <c r="O236" i="3"/>
  <c r="P236" i="3"/>
  <c r="Q236" i="3"/>
  <c r="R236" i="3"/>
  <c r="K237" i="3"/>
  <c r="L237" i="3"/>
  <c r="M237" i="3"/>
  <c r="N237" i="3"/>
  <c r="O237" i="3"/>
  <c r="P237" i="3"/>
  <c r="Q237" i="3"/>
  <c r="R237" i="3"/>
  <c r="K238" i="3"/>
  <c r="L238" i="3"/>
  <c r="M238" i="3"/>
  <c r="N238" i="3"/>
  <c r="O238" i="3"/>
  <c r="P238" i="3"/>
  <c r="Q238" i="3"/>
  <c r="R238" i="3"/>
  <c r="K239" i="3"/>
  <c r="L239" i="3"/>
  <c r="M239" i="3"/>
  <c r="N239" i="3"/>
  <c r="O239" i="3"/>
  <c r="P239" i="3"/>
  <c r="Q239" i="3"/>
  <c r="R239" i="3"/>
  <c r="K240" i="3"/>
  <c r="L240" i="3"/>
  <c r="M240" i="3"/>
  <c r="N240" i="3"/>
  <c r="O240" i="3"/>
  <c r="P240" i="3"/>
  <c r="Q240" i="3"/>
  <c r="R240" i="3"/>
  <c r="K241" i="3"/>
  <c r="L241" i="3"/>
  <c r="M241" i="3"/>
  <c r="N241" i="3"/>
  <c r="O241" i="3"/>
  <c r="P241" i="3"/>
  <c r="Q241" i="3"/>
  <c r="R241" i="3"/>
  <c r="K242" i="3"/>
  <c r="L242" i="3"/>
  <c r="M242" i="3"/>
  <c r="N242" i="3"/>
  <c r="O242" i="3"/>
  <c r="P242" i="3"/>
  <c r="Q242" i="3"/>
  <c r="R242" i="3"/>
  <c r="K243" i="3"/>
  <c r="L243" i="3"/>
  <c r="M243" i="3"/>
  <c r="N243" i="3"/>
  <c r="O243" i="3"/>
  <c r="P243" i="3"/>
  <c r="Q243" i="3"/>
  <c r="R243" i="3"/>
  <c r="K244" i="3"/>
  <c r="L244" i="3"/>
  <c r="M244" i="3"/>
  <c r="N244" i="3"/>
  <c r="O244" i="3"/>
  <c r="P244" i="3"/>
  <c r="Q244" i="3"/>
  <c r="R244" i="3"/>
  <c r="K245" i="3"/>
  <c r="L245" i="3"/>
  <c r="M245" i="3"/>
  <c r="N245" i="3"/>
  <c r="O245" i="3"/>
  <c r="P245" i="3"/>
  <c r="Q245" i="3"/>
  <c r="R245" i="3"/>
  <c r="K246" i="3"/>
  <c r="L246" i="3"/>
  <c r="M246" i="3"/>
  <c r="N246" i="3"/>
  <c r="O246" i="3"/>
  <c r="P246" i="3"/>
  <c r="Q246" i="3"/>
  <c r="R246" i="3"/>
  <c r="K247" i="3"/>
  <c r="L247" i="3"/>
  <c r="M247" i="3"/>
  <c r="N247" i="3"/>
  <c r="O247" i="3"/>
  <c r="P247" i="3"/>
  <c r="Q247" i="3"/>
  <c r="R247" i="3"/>
  <c r="K248" i="3"/>
  <c r="L248" i="3"/>
  <c r="M248" i="3"/>
  <c r="N248" i="3"/>
  <c r="O248" i="3"/>
  <c r="P248" i="3"/>
  <c r="Q248" i="3"/>
  <c r="R248" i="3"/>
  <c r="K249" i="3"/>
  <c r="L249" i="3"/>
  <c r="M249" i="3"/>
  <c r="N249" i="3"/>
  <c r="O249" i="3"/>
  <c r="P249" i="3"/>
  <c r="Q249" i="3"/>
  <c r="R249" i="3"/>
  <c r="K250" i="3"/>
  <c r="L250" i="3"/>
  <c r="M250" i="3"/>
  <c r="N250" i="3"/>
  <c r="O250" i="3"/>
  <c r="P250" i="3"/>
  <c r="Q250" i="3"/>
  <c r="R250" i="3"/>
  <c r="K251" i="3"/>
  <c r="L251" i="3"/>
  <c r="M251" i="3"/>
  <c r="N251" i="3"/>
  <c r="O251" i="3"/>
  <c r="P251" i="3"/>
  <c r="Q251" i="3"/>
  <c r="R251" i="3"/>
  <c r="K252" i="3"/>
  <c r="L252" i="3"/>
  <c r="M252" i="3"/>
  <c r="N252" i="3"/>
  <c r="O252" i="3"/>
  <c r="P252" i="3"/>
  <c r="Q252" i="3"/>
  <c r="R252" i="3"/>
  <c r="K253" i="3"/>
  <c r="L253" i="3"/>
  <c r="M253" i="3"/>
  <c r="N253" i="3"/>
  <c r="O253" i="3"/>
  <c r="P253" i="3"/>
  <c r="Q253" i="3"/>
  <c r="R253" i="3"/>
  <c r="K254" i="3"/>
  <c r="L254" i="3"/>
  <c r="M254" i="3"/>
  <c r="N254" i="3"/>
  <c r="O254" i="3"/>
  <c r="P254" i="3"/>
  <c r="Q254" i="3"/>
  <c r="R254" i="3"/>
  <c r="K255" i="3"/>
  <c r="L255" i="3"/>
  <c r="M255" i="3"/>
  <c r="N255" i="3"/>
  <c r="O255" i="3"/>
  <c r="P255" i="3"/>
  <c r="Q255" i="3"/>
  <c r="R255" i="3"/>
  <c r="K256" i="3"/>
  <c r="L256" i="3"/>
  <c r="M256" i="3"/>
  <c r="N256" i="3"/>
  <c r="O256" i="3"/>
  <c r="P256" i="3"/>
  <c r="Q256" i="3"/>
  <c r="R256" i="3"/>
  <c r="K257" i="3"/>
  <c r="L257" i="3"/>
  <c r="M257" i="3"/>
  <c r="N257" i="3"/>
  <c r="O257" i="3"/>
  <c r="P257" i="3"/>
  <c r="Q257" i="3"/>
  <c r="R257" i="3"/>
  <c r="K258" i="3"/>
  <c r="L258" i="3"/>
  <c r="M258" i="3"/>
  <c r="N258" i="3"/>
  <c r="O258" i="3"/>
  <c r="P258" i="3"/>
  <c r="Q258" i="3"/>
  <c r="R258" i="3"/>
  <c r="K259" i="3"/>
  <c r="L259" i="3"/>
  <c r="M259" i="3"/>
  <c r="N259" i="3"/>
  <c r="O259" i="3"/>
  <c r="P259" i="3"/>
  <c r="Q259" i="3"/>
  <c r="R259" i="3"/>
  <c r="K260" i="3"/>
  <c r="L260" i="3"/>
  <c r="M260" i="3"/>
  <c r="N260" i="3"/>
  <c r="O260" i="3"/>
  <c r="P260" i="3"/>
  <c r="Q260" i="3"/>
  <c r="R260" i="3"/>
  <c r="K261" i="3"/>
  <c r="L261" i="3"/>
  <c r="M261" i="3"/>
  <c r="N261" i="3"/>
  <c r="O261" i="3"/>
  <c r="P261" i="3"/>
  <c r="Q261" i="3"/>
  <c r="R261" i="3"/>
  <c r="K262" i="3"/>
  <c r="L262" i="3"/>
  <c r="M262" i="3"/>
  <c r="N262" i="3"/>
  <c r="O262" i="3"/>
  <c r="P262" i="3"/>
  <c r="Q262" i="3"/>
  <c r="R262" i="3"/>
  <c r="K263" i="3"/>
  <c r="L263" i="3"/>
  <c r="M263" i="3"/>
  <c r="N263" i="3"/>
  <c r="O263" i="3"/>
  <c r="P263" i="3"/>
  <c r="Q263" i="3"/>
  <c r="R263" i="3"/>
  <c r="K264" i="3"/>
  <c r="L264" i="3"/>
  <c r="M264" i="3"/>
  <c r="N264" i="3"/>
  <c r="O264" i="3"/>
  <c r="P264" i="3"/>
  <c r="Q264" i="3"/>
  <c r="R264" i="3"/>
  <c r="K265" i="3"/>
  <c r="L265" i="3"/>
  <c r="M265" i="3"/>
  <c r="N265" i="3"/>
  <c r="O265" i="3"/>
  <c r="P265" i="3"/>
  <c r="Q265" i="3"/>
  <c r="R265" i="3"/>
  <c r="K266" i="3"/>
  <c r="L266" i="3"/>
  <c r="M266" i="3"/>
  <c r="N266" i="3"/>
  <c r="O266" i="3"/>
  <c r="P266" i="3"/>
  <c r="Q266" i="3"/>
  <c r="R266" i="3"/>
  <c r="K267" i="3"/>
  <c r="L267" i="3"/>
  <c r="M267" i="3"/>
  <c r="N267" i="3"/>
  <c r="O267" i="3"/>
  <c r="P267" i="3"/>
  <c r="Q267" i="3"/>
  <c r="R267" i="3"/>
  <c r="K268" i="3"/>
  <c r="L268" i="3"/>
  <c r="M268" i="3"/>
  <c r="N268" i="3"/>
  <c r="O268" i="3"/>
  <c r="P268" i="3"/>
  <c r="Q268" i="3"/>
  <c r="R268" i="3"/>
  <c r="K269" i="3"/>
  <c r="L269" i="3"/>
  <c r="M269" i="3"/>
  <c r="N269" i="3"/>
  <c r="O269" i="3"/>
  <c r="P269" i="3"/>
  <c r="Q269" i="3"/>
  <c r="R269" i="3"/>
  <c r="K270" i="3"/>
  <c r="L270" i="3"/>
  <c r="M270" i="3"/>
  <c r="N270" i="3"/>
  <c r="O270" i="3"/>
  <c r="P270" i="3"/>
  <c r="Q270" i="3"/>
  <c r="R270" i="3"/>
  <c r="K271" i="3"/>
  <c r="L271" i="3"/>
  <c r="M271" i="3"/>
  <c r="N271" i="3"/>
  <c r="O271" i="3"/>
  <c r="P271" i="3"/>
  <c r="Q271" i="3"/>
  <c r="R271" i="3"/>
  <c r="K272" i="3"/>
  <c r="L272" i="3"/>
  <c r="M272" i="3"/>
  <c r="N272" i="3"/>
  <c r="O272" i="3"/>
  <c r="P272" i="3"/>
  <c r="Q272" i="3"/>
  <c r="R272" i="3"/>
  <c r="K273" i="3"/>
  <c r="L273" i="3"/>
  <c r="M273" i="3"/>
  <c r="N273" i="3"/>
  <c r="O273" i="3"/>
  <c r="P273" i="3"/>
  <c r="Q273" i="3"/>
  <c r="R273" i="3"/>
  <c r="K274" i="3"/>
  <c r="L274" i="3"/>
  <c r="M274" i="3"/>
  <c r="N274" i="3"/>
  <c r="O274" i="3"/>
  <c r="P274" i="3"/>
  <c r="Q274" i="3"/>
  <c r="R274" i="3"/>
  <c r="K275" i="3"/>
  <c r="L275" i="3"/>
  <c r="M275" i="3"/>
  <c r="N275" i="3"/>
  <c r="O275" i="3"/>
  <c r="P275" i="3"/>
  <c r="Q275" i="3"/>
  <c r="R275" i="3"/>
  <c r="K276" i="3"/>
  <c r="L276" i="3"/>
  <c r="M276" i="3"/>
  <c r="N276" i="3"/>
  <c r="O276" i="3"/>
  <c r="P276" i="3"/>
  <c r="Q276" i="3"/>
  <c r="R276" i="3"/>
  <c r="K277" i="3"/>
  <c r="L277" i="3"/>
  <c r="M277" i="3"/>
  <c r="N277" i="3"/>
  <c r="O277" i="3"/>
  <c r="P277" i="3"/>
  <c r="Q277" i="3"/>
  <c r="R277" i="3"/>
  <c r="K278" i="3"/>
  <c r="L278" i="3"/>
  <c r="M278" i="3"/>
  <c r="N278" i="3"/>
  <c r="O278" i="3"/>
  <c r="P278" i="3"/>
  <c r="Q278" i="3"/>
  <c r="R278" i="3"/>
  <c r="K279" i="3"/>
  <c r="L279" i="3"/>
  <c r="M279" i="3"/>
  <c r="N279" i="3"/>
  <c r="O279" i="3"/>
  <c r="P279" i="3"/>
  <c r="Q279" i="3"/>
  <c r="R279" i="3"/>
  <c r="K280" i="3"/>
  <c r="L280" i="3"/>
  <c r="M280" i="3"/>
  <c r="N280" i="3"/>
  <c r="O280" i="3"/>
  <c r="P280" i="3"/>
  <c r="Q280" i="3"/>
  <c r="R280" i="3"/>
  <c r="K281" i="3"/>
  <c r="L281" i="3"/>
  <c r="M281" i="3"/>
  <c r="N281" i="3"/>
  <c r="O281" i="3"/>
  <c r="P281" i="3"/>
  <c r="Q281" i="3"/>
  <c r="R281" i="3"/>
  <c r="K282" i="3"/>
  <c r="L282" i="3"/>
  <c r="M282" i="3"/>
  <c r="N282" i="3"/>
  <c r="O282" i="3"/>
  <c r="P282" i="3"/>
  <c r="Q282" i="3"/>
  <c r="R282" i="3"/>
  <c r="K283" i="3"/>
  <c r="L283" i="3"/>
  <c r="M283" i="3"/>
  <c r="N283" i="3"/>
  <c r="O283" i="3"/>
  <c r="P283" i="3"/>
  <c r="Q283" i="3"/>
  <c r="R283" i="3"/>
  <c r="K284" i="3"/>
  <c r="L284" i="3"/>
  <c r="M284" i="3"/>
  <c r="N284" i="3"/>
  <c r="O284" i="3"/>
  <c r="P284" i="3"/>
  <c r="Q284" i="3"/>
  <c r="R284" i="3"/>
  <c r="K285" i="3"/>
  <c r="L285" i="3"/>
  <c r="M285" i="3"/>
  <c r="N285" i="3"/>
  <c r="O285" i="3"/>
  <c r="P285" i="3"/>
  <c r="Q285" i="3"/>
  <c r="R285" i="3"/>
  <c r="K286" i="3"/>
  <c r="L286" i="3"/>
  <c r="M286" i="3"/>
  <c r="N286" i="3"/>
  <c r="O286" i="3"/>
  <c r="P286" i="3"/>
  <c r="Q286" i="3"/>
  <c r="R286" i="3"/>
  <c r="K287" i="3"/>
  <c r="L287" i="3"/>
  <c r="M287" i="3"/>
  <c r="N287" i="3"/>
  <c r="O287" i="3"/>
  <c r="P287" i="3"/>
  <c r="Q287" i="3"/>
  <c r="R287" i="3"/>
  <c r="K288" i="3"/>
  <c r="L288" i="3"/>
  <c r="M288" i="3"/>
  <c r="N288" i="3"/>
  <c r="O288" i="3"/>
  <c r="P288" i="3"/>
  <c r="Q288" i="3"/>
  <c r="R288" i="3"/>
  <c r="K289" i="3"/>
  <c r="L289" i="3"/>
  <c r="M289" i="3"/>
  <c r="N289" i="3"/>
  <c r="O289" i="3"/>
  <c r="P289" i="3"/>
  <c r="Q289" i="3"/>
  <c r="R289" i="3"/>
  <c r="K290" i="3"/>
  <c r="L290" i="3"/>
  <c r="M290" i="3"/>
  <c r="N290" i="3"/>
  <c r="O290" i="3"/>
  <c r="P290" i="3"/>
  <c r="Q290" i="3"/>
  <c r="R290" i="3"/>
  <c r="K291" i="3"/>
  <c r="L291" i="3"/>
  <c r="M291" i="3"/>
  <c r="N291" i="3"/>
  <c r="O291" i="3"/>
  <c r="P291" i="3"/>
  <c r="Q291" i="3"/>
  <c r="R291" i="3"/>
  <c r="K292" i="3"/>
  <c r="L292" i="3"/>
  <c r="M292" i="3"/>
  <c r="N292" i="3"/>
  <c r="O292" i="3"/>
  <c r="P292" i="3"/>
  <c r="Q292" i="3"/>
  <c r="R292" i="3"/>
  <c r="K293" i="3"/>
  <c r="L293" i="3"/>
  <c r="M293" i="3"/>
  <c r="N293" i="3"/>
  <c r="O293" i="3"/>
  <c r="P293" i="3"/>
  <c r="Q293" i="3"/>
  <c r="R293" i="3"/>
  <c r="K294" i="3"/>
  <c r="L294" i="3"/>
  <c r="M294" i="3"/>
  <c r="N294" i="3"/>
  <c r="O294" i="3"/>
  <c r="P294" i="3"/>
  <c r="Q294" i="3"/>
  <c r="R294" i="3"/>
  <c r="K295" i="3"/>
  <c r="L295" i="3"/>
  <c r="M295" i="3"/>
  <c r="N295" i="3"/>
  <c r="O295" i="3"/>
  <c r="P295" i="3"/>
  <c r="Q295" i="3"/>
  <c r="R295" i="3"/>
  <c r="K296" i="3"/>
  <c r="L296" i="3"/>
  <c r="M296" i="3"/>
  <c r="N296" i="3"/>
  <c r="O296" i="3"/>
  <c r="P296" i="3"/>
  <c r="Q296" i="3"/>
  <c r="R296" i="3"/>
  <c r="K297" i="3"/>
  <c r="L297" i="3"/>
  <c r="M297" i="3"/>
  <c r="N297" i="3"/>
  <c r="O297" i="3"/>
  <c r="P297" i="3"/>
  <c r="Q297" i="3"/>
  <c r="R297" i="3"/>
  <c r="K298" i="3"/>
  <c r="L298" i="3"/>
  <c r="M298" i="3"/>
  <c r="N298" i="3"/>
  <c r="O298" i="3"/>
  <c r="P298" i="3"/>
  <c r="Q298" i="3"/>
  <c r="R298" i="3"/>
  <c r="K299" i="3"/>
  <c r="L299" i="3"/>
  <c r="M299" i="3"/>
  <c r="N299" i="3"/>
  <c r="O299" i="3"/>
  <c r="P299" i="3"/>
  <c r="Q299" i="3"/>
  <c r="R299" i="3"/>
  <c r="K300" i="3"/>
  <c r="L300" i="3"/>
  <c r="M300" i="3"/>
  <c r="N300" i="3"/>
  <c r="O300" i="3"/>
  <c r="P300" i="3"/>
  <c r="Q300" i="3"/>
  <c r="R300" i="3"/>
  <c r="K301" i="3"/>
  <c r="L301" i="3"/>
  <c r="M301" i="3"/>
  <c r="N301" i="3"/>
  <c r="O301" i="3"/>
  <c r="P301" i="3"/>
  <c r="Q301" i="3"/>
  <c r="R301" i="3"/>
  <c r="K302" i="3"/>
  <c r="L302" i="3"/>
  <c r="M302" i="3"/>
  <c r="N302" i="3"/>
  <c r="O302" i="3"/>
  <c r="P302" i="3"/>
  <c r="Q302" i="3"/>
  <c r="R302" i="3"/>
  <c r="K303" i="3"/>
  <c r="L303" i="3"/>
  <c r="M303" i="3"/>
  <c r="N303" i="3"/>
  <c r="O303" i="3"/>
  <c r="P303" i="3"/>
  <c r="Q303" i="3"/>
  <c r="R303" i="3"/>
  <c r="K304" i="3"/>
  <c r="L304" i="3"/>
  <c r="M304" i="3"/>
  <c r="N304" i="3"/>
  <c r="O304" i="3"/>
  <c r="P304" i="3"/>
  <c r="Q304" i="3"/>
  <c r="R304" i="3"/>
  <c r="K305" i="3"/>
  <c r="L305" i="3"/>
  <c r="M305" i="3"/>
  <c r="N305" i="3"/>
  <c r="O305" i="3"/>
  <c r="P305" i="3"/>
  <c r="Q305" i="3"/>
  <c r="R305" i="3"/>
  <c r="K306" i="3"/>
  <c r="L306" i="3"/>
  <c r="M306" i="3"/>
  <c r="N306" i="3"/>
  <c r="O306" i="3"/>
  <c r="P306" i="3"/>
  <c r="Q306" i="3"/>
  <c r="R306" i="3"/>
  <c r="K307" i="3"/>
  <c r="L307" i="3"/>
  <c r="M307" i="3"/>
  <c r="N307" i="3"/>
  <c r="O307" i="3"/>
  <c r="P307" i="3"/>
  <c r="Q307" i="3"/>
  <c r="R307" i="3"/>
  <c r="K308" i="3"/>
  <c r="L308" i="3"/>
  <c r="M308" i="3"/>
  <c r="N308" i="3"/>
  <c r="O308" i="3"/>
  <c r="P308" i="3"/>
  <c r="Q308" i="3"/>
  <c r="R308" i="3"/>
  <c r="K309" i="3"/>
  <c r="L309" i="3"/>
  <c r="M309" i="3"/>
  <c r="N309" i="3"/>
  <c r="O309" i="3"/>
  <c r="P309" i="3"/>
  <c r="Q309" i="3"/>
  <c r="R309" i="3"/>
  <c r="K310" i="3"/>
  <c r="L310" i="3"/>
  <c r="M310" i="3"/>
  <c r="N310" i="3"/>
  <c r="O310" i="3"/>
  <c r="P310" i="3"/>
  <c r="Q310" i="3"/>
  <c r="R310" i="3"/>
  <c r="K311" i="3"/>
  <c r="L311" i="3"/>
  <c r="M311" i="3"/>
  <c r="N311" i="3"/>
  <c r="O311" i="3"/>
  <c r="P311" i="3"/>
  <c r="Q311" i="3"/>
  <c r="R311" i="3"/>
  <c r="K312" i="3"/>
  <c r="L312" i="3"/>
  <c r="M312" i="3"/>
  <c r="N312" i="3"/>
  <c r="O312" i="3"/>
  <c r="P312" i="3"/>
  <c r="Q312" i="3"/>
  <c r="R312" i="3"/>
  <c r="K313" i="3"/>
  <c r="L313" i="3"/>
  <c r="M313" i="3"/>
  <c r="N313" i="3"/>
  <c r="O313" i="3"/>
  <c r="P313" i="3"/>
  <c r="Q313" i="3"/>
  <c r="R313" i="3"/>
  <c r="K314" i="3"/>
  <c r="L314" i="3"/>
  <c r="M314" i="3"/>
  <c r="N314" i="3"/>
  <c r="O314" i="3"/>
  <c r="P314" i="3"/>
  <c r="Q314" i="3"/>
  <c r="R314" i="3"/>
  <c r="K315" i="3"/>
  <c r="L315" i="3"/>
  <c r="M315" i="3"/>
  <c r="N315" i="3"/>
  <c r="O315" i="3"/>
  <c r="P315" i="3"/>
  <c r="Q315" i="3"/>
  <c r="R315" i="3"/>
  <c r="K316" i="3"/>
  <c r="L316" i="3"/>
  <c r="M316" i="3"/>
  <c r="N316" i="3"/>
  <c r="O316" i="3"/>
  <c r="P316" i="3"/>
  <c r="Q316" i="3"/>
  <c r="R316" i="3"/>
  <c r="K317" i="3"/>
  <c r="L317" i="3"/>
  <c r="M317" i="3"/>
  <c r="N317" i="3"/>
  <c r="O317" i="3"/>
  <c r="P317" i="3"/>
  <c r="Q317" i="3"/>
  <c r="R317" i="3"/>
  <c r="K318" i="3"/>
  <c r="L318" i="3"/>
  <c r="M318" i="3"/>
  <c r="N318" i="3"/>
  <c r="O318" i="3"/>
  <c r="P318" i="3"/>
  <c r="Q318" i="3"/>
  <c r="R318" i="3"/>
  <c r="K319" i="3"/>
  <c r="L319" i="3"/>
  <c r="M319" i="3"/>
  <c r="N319" i="3"/>
  <c r="O319" i="3"/>
  <c r="P319" i="3"/>
  <c r="Q319" i="3"/>
  <c r="R319" i="3"/>
  <c r="K320" i="3"/>
  <c r="L320" i="3"/>
  <c r="M320" i="3"/>
  <c r="N320" i="3"/>
  <c r="O320" i="3"/>
  <c r="P320" i="3"/>
  <c r="Q320" i="3"/>
  <c r="R320" i="3"/>
  <c r="K321" i="3"/>
  <c r="L321" i="3"/>
  <c r="M321" i="3"/>
  <c r="N321" i="3"/>
  <c r="O321" i="3"/>
  <c r="P321" i="3"/>
  <c r="Q321" i="3"/>
  <c r="R321" i="3"/>
  <c r="K322" i="3"/>
  <c r="L322" i="3"/>
  <c r="M322" i="3"/>
  <c r="N322" i="3"/>
  <c r="O322" i="3"/>
  <c r="P322" i="3"/>
  <c r="Q322" i="3"/>
  <c r="R322" i="3"/>
  <c r="K323" i="3"/>
  <c r="L323" i="3"/>
  <c r="M323" i="3"/>
  <c r="N323" i="3"/>
  <c r="O323" i="3"/>
  <c r="P323" i="3"/>
  <c r="Q323" i="3"/>
  <c r="R323" i="3"/>
  <c r="K324" i="3"/>
  <c r="L324" i="3"/>
  <c r="M324" i="3"/>
  <c r="N324" i="3"/>
  <c r="O324" i="3"/>
  <c r="P324" i="3"/>
  <c r="Q324" i="3"/>
  <c r="R324" i="3"/>
  <c r="K325" i="3"/>
  <c r="L325" i="3"/>
  <c r="M325" i="3"/>
  <c r="N325" i="3"/>
  <c r="O325" i="3"/>
  <c r="P325" i="3"/>
  <c r="Q325" i="3"/>
  <c r="R325" i="3"/>
  <c r="K326" i="3"/>
  <c r="L326" i="3"/>
  <c r="M326" i="3"/>
  <c r="N326" i="3"/>
  <c r="O326" i="3"/>
  <c r="P326" i="3"/>
  <c r="Q326" i="3"/>
  <c r="R326" i="3"/>
  <c r="K327" i="3"/>
  <c r="L327" i="3"/>
  <c r="M327" i="3"/>
  <c r="N327" i="3"/>
  <c r="O327" i="3"/>
  <c r="P327" i="3"/>
  <c r="Q327" i="3"/>
  <c r="R327" i="3"/>
  <c r="K328" i="3"/>
  <c r="L328" i="3"/>
  <c r="M328" i="3"/>
  <c r="N328" i="3"/>
  <c r="O328" i="3"/>
  <c r="P328" i="3"/>
  <c r="Q328" i="3"/>
  <c r="R328" i="3"/>
  <c r="K329" i="3"/>
  <c r="L329" i="3"/>
  <c r="M329" i="3"/>
  <c r="N329" i="3"/>
  <c r="O329" i="3"/>
  <c r="P329" i="3"/>
  <c r="Q329" i="3"/>
  <c r="R329" i="3"/>
  <c r="K330" i="3"/>
  <c r="L330" i="3"/>
  <c r="M330" i="3"/>
  <c r="N330" i="3"/>
  <c r="O330" i="3"/>
  <c r="P330" i="3"/>
  <c r="Q330" i="3"/>
  <c r="R330" i="3"/>
  <c r="K331" i="3"/>
  <c r="L331" i="3"/>
  <c r="M331" i="3"/>
  <c r="N331" i="3"/>
  <c r="O331" i="3"/>
  <c r="P331" i="3"/>
  <c r="Q331" i="3"/>
  <c r="R331" i="3"/>
  <c r="K332" i="3"/>
  <c r="L332" i="3"/>
  <c r="M332" i="3"/>
  <c r="N332" i="3"/>
  <c r="O332" i="3"/>
  <c r="P332" i="3"/>
  <c r="Q332" i="3"/>
  <c r="R332" i="3"/>
  <c r="K333" i="3"/>
  <c r="L333" i="3"/>
  <c r="M333" i="3"/>
  <c r="N333" i="3"/>
  <c r="O333" i="3"/>
  <c r="P333" i="3"/>
  <c r="Q333" i="3"/>
  <c r="R333" i="3"/>
  <c r="K334" i="3"/>
  <c r="L334" i="3"/>
  <c r="M334" i="3"/>
  <c r="N334" i="3"/>
  <c r="O334" i="3"/>
  <c r="P334" i="3"/>
  <c r="Q334" i="3"/>
  <c r="R334" i="3"/>
  <c r="K335" i="3"/>
  <c r="L335" i="3"/>
  <c r="M335" i="3"/>
  <c r="N335" i="3"/>
  <c r="O335" i="3"/>
  <c r="P335" i="3"/>
  <c r="Q335" i="3"/>
  <c r="R335" i="3"/>
  <c r="K336" i="3"/>
  <c r="L336" i="3"/>
  <c r="M336" i="3"/>
  <c r="N336" i="3"/>
  <c r="O336" i="3"/>
  <c r="P336" i="3"/>
  <c r="Q336" i="3"/>
  <c r="R336" i="3"/>
  <c r="K337" i="3"/>
  <c r="L337" i="3"/>
  <c r="M337" i="3"/>
  <c r="N337" i="3"/>
  <c r="O337" i="3"/>
  <c r="P337" i="3"/>
  <c r="Q337" i="3"/>
  <c r="R337" i="3"/>
  <c r="K338" i="3"/>
  <c r="L338" i="3"/>
  <c r="M338" i="3"/>
  <c r="N338" i="3"/>
  <c r="O338" i="3"/>
  <c r="P338" i="3"/>
  <c r="Q338" i="3"/>
  <c r="R338" i="3"/>
  <c r="K339" i="3"/>
  <c r="L339" i="3"/>
  <c r="M339" i="3"/>
  <c r="N339" i="3"/>
  <c r="O339" i="3"/>
  <c r="P339" i="3"/>
  <c r="Q339" i="3"/>
  <c r="R339" i="3"/>
  <c r="K340" i="3"/>
  <c r="L340" i="3"/>
  <c r="M340" i="3"/>
  <c r="N340" i="3"/>
  <c r="O340" i="3"/>
  <c r="P340" i="3"/>
  <c r="Q340" i="3"/>
  <c r="R340" i="3"/>
  <c r="K341" i="3"/>
  <c r="L341" i="3"/>
  <c r="M341" i="3"/>
  <c r="N341" i="3"/>
  <c r="O341" i="3"/>
  <c r="P341" i="3"/>
  <c r="Q341" i="3"/>
  <c r="R341" i="3"/>
  <c r="K342" i="3"/>
  <c r="L342" i="3"/>
  <c r="M342" i="3"/>
  <c r="N342" i="3"/>
  <c r="O342" i="3"/>
  <c r="P342" i="3"/>
  <c r="Q342" i="3"/>
  <c r="R342" i="3"/>
  <c r="K343" i="3"/>
  <c r="L343" i="3"/>
  <c r="M343" i="3"/>
  <c r="N343" i="3"/>
  <c r="O343" i="3"/>
  <c r="P343" i="3"/>
  <c r="Q343" i="3"/>
  <c r="R343" i="3"/>
  <c r="K344" i="3"/>
  <c r="L344" i="3"/>
  <c r="M344" i="3"/>
  <c r="N344" i="3"/>
  <c r="O344" i="3"/>
  <c r="P344" i="3"/>
  <c r="Q344" i="3"/>
  <c r="R344" i="3"/>
  <c r="K345" i="3"/>
  <c r="L345" i="3"/>
  <c r="M345" i="3"/>
  <c r="N345" i="3"/>
  <c r="O345" i="3"/>
  <c r="P345" i="3"/>
  <c r="Q345" i="3"/>
  <c r="R345" i="3"/>
  <c r="K346" i="3"/>
  <c r="L346" i="3"/>
  <c r="M346" i="3"/>
  <c r="N346" i="3"/>
  <c r="O346" i="3"/>
  <c r="P346" i="3"/>
  <c r="Q346" i="3"/>
  <c r="R346" i="3"/>
  <c r="K347" i="3"/>
  <c r="L347" i="3"/>
  <c r="M347" i="3"/>
  <c r="N347" i="3"/>
  <c r="O347" i="3"/>
  <c r="P347" i="3"/>
  <c r="Q347" i="3"/>
  <c r="R347" i="3"/>
  <c r="K348" i="3"/>
  <c r="L348" i="3"/>
  <c r="M348" i="3"/>
  <c r="N348" i="3"/>
  <c r="O348" i="3"/>
  <c r="P348" i="3"/>
  <c r="Q348" i="3"/>
  <c r="R348" i="3"/>
  <c r="K349" i="3"/>
  <c r="L349" i="3"/>
  <c r="M349" i="3"/>
  <c r="N349" i="3"/>
  <c r="O349" i="3"/>
  <c r="P349" i="3"/>
  <c r="Q349" i="3"/>
  <c r="R349" i="3"/>
  <c r="K350" i="3"/>
  <c r="L350" i="3"/>
  <c r="M350" i="3"/>
  <c r="N350" i="3"/>
  <c r="O350" i="3"/>
  <c r="P350" i="3"/>
  <c r="Q350" i="3"/>
  <c r="R350" i="3"/>
  <c r="K351" i="3"/>
  <c r="L351" i="3"/>
  <c r="M351" i="3"/>
  <c r="N351" i="3"/>
  <c r="O351" i="3"/>
  <c r="P351" i="3"/>
  <c r="Q351" i="3"/>
  <c r="R351" i="3"/>
  <c r="K352" i="3"/>
  <c r="L352" i="3"/>
  <c r="M352" i="3"/>
  <c r="N352" i="3"/>
  <c r="O352" i="3"/>
  <c r="P352" i="3"/>
  <c r="Q352" i="3"/>
  <c r="R352" i="3"/>
  <c r="K353" i="3"/>
  <c r="L353" i="3"/>
  <c r="M353" i="3"/>
  <c r="N353" i="3"/>
  <c r="O353" i="3"/>
  <c r="P353" i="3"/>
  <c r="Q353" i="3"/>
  <c r="R353" i="3"/>
  <c r="K354" i="3"/>
  <c r="L354" i="3"/>
  <c r="M354" i="3"/>
  <c r="N354" i="3"/>
  <c r="O354" i="3"/>
  <c r="P354" i="3"/>
  <c r="Q354" i="3"/>
  <c r="R354" i="3"/>
  <c r="K355" i="3"/>
  <c r="L355" i="3"/>
  <c r="M355" i="3"/>
  <c r="N355" i="3"/>
  <c r="O355" i="3"/>
  <c r="P355" i="3"/>
  <c r="Q355" i="3"/>
  <c r="R355" i="3"/>
  <c r="K356" i="3"/>
  <c r="L356" i="3"/>
  <c r="M356" i="3"/>
  <c r="N356" i="3"/>
  <c r="O356" i="3"/>
  <c r="P356" i="3"/>
  <c r="Q356" i="3"/>
  <c r="R356" i="3"/>
  <c r="K357" i="3"/>
  <c r="L357" i="3"/>
  <c r="M357" i="3"/>
  <c r="N357" i="3"/>
  <c r="O357" i="3"/>
  <c r="P357" i="3"/>
  <c r="Q357" i="3"/>
  <c r="R357" i="3"/>
  <c r="K358" i="3"/>
  <c r="L358" i="3"/>
  <c r="M358" i="3"/>
  <c r="N358" i="3"/>
  <c r="O358" i="3"/>
  <c r="P358" i="3"/>
  <c r="Q358" i="3"/>
  <c r="R358" i="3"/>
  <c r="K359" i="3"/>
  <c r="L359" i="3"/>
  <c r="M359" i="3"/>
  <c r="N359" i="3"/>
  <c r="O359" i="3"/>
  <c r="P359" i="3"/>
  <c r="Q359" i="3"/>
  <c r="R359" i="3"/>
  <c r="K360" i="3"/>
  <c r="L360" i="3"/>
  <c r="M360" i="3"/>
  <c r="N360" i="3"/>
  <c r="O360" i="3"/>
  <c r="P360" i="3"/>
  <c r="Q360" i="3"/>
  <c r="R360" i="3"/>
  <c r="K361" i="3"/>
  <c r="L361" i="3"/>
  <c r="M361" i="3"/>
  <c r="N361" i="3"/>
  <c r="O361" i="3"/>
  <c r="P361" i="3"/>
  <c r="Q361" i="3"/>
  <c r="R361" i="3"/>
  <c r="K362" i="3"/>
  <c r="L362" i="3"/>
  <c r="M362" i="3"/>
  <c r="N362" i="3"/>
  <c r="O362" i="3"/>
  <c r="P362" i="3"/>
  <c r="Q362" i="3"/>
  <c r="R362" i="3"/>
  <c r="K363" i="3"/>
  <c r="L363" i="3"/>
  <c r="M363" i="3"/>
  <c r="N363" i="3"/>
  <c r="O363" i="3"/>
  <c r="P363" i="3"/>
  <c r="Q363" i="3"/>
  <c r="R363" i="3"/>
  <c r="K364" i="3"/>
  <c r="L364" i="3"/>
  <c r="M364" i="3"/>
  <c r="N364" i="3"/>
  <c r="O364" i="3"/>
  <c r="P364" i="3"/>
  <c r="Q364" i="3"/>
  <c r="R364" i="3"/>
  <c r="K365" i="3"/>
  <c r="L365" i="3"/>
  <c r="M365" i="3"/>
  <c r="N365" i="3"/>
  <c r="O365" i="3"/>
  <c r="P365" i="3"/>
  <c r="Q365" i="3"/>
  <c r="R365" i="3"/>
  <c r="K366" i="3"/>
  <c r="L366" i="3"/>
  <c r="M366" i="3"/>
  <c r="N366" i="3"/>
  <c r="O366" i="3"/>
  <c r="P366" i="3"/>
  <c r="Q366" i="3"/>
  <c r="R366" i="3"/>
  <c r="K367" i="3"/>
  <c r="L367" i="3"/>
  <c r="M367" i="3"/>
  <c r="N367" i="3"/>
  <c r="O367" i="3"/>
  <c r="P367" i="3"/>
  <c r="Q367" i="3"/>
  <c r="R367" i="3"/>
  <c r="K368" i="3"/>
  <c r="L368" i="3"/>
  <c r="M368" i="3"/>
  <c r="N368" i="3"/>
  <c r="O368" i="3"/>
  <c r="P368" i="3"/>
  <c r="Q368" i="3"/>
  <c r="R368" i="3"/>
  <c r="K369" i="3"/>
  <c r="L369" i="3"/>
  <c r="M369" i="3"/>
  <c r="N369" i="3"/>
  <c r="O369" i="3"/>
  <c r="P369" i="3"/>
  <c r="Q369" i="3"/>
  <c r="R369" i="3"/>
  <c r="K370" i="3"/>
  <c r="L370" i="3"/>
  <c r="M370" i="3"/>
  <c r="N370" i="3"/>
  <c r="O370" i="3"/>
  <c r="P370" i="3"/>
  <c r="Q370" i="3"/>
  <c r="R370" i="3"/>
  <c r="K371" i="3"/>
  <c r="L371" i="3"/>
  <c r="M371" i="3"/>
  <c r="N371" i="3"/>
  <c r="O371" i="3"/>
  <c r="P371" i="3"/>
  <c r="Q371" i="3"/>
  <c r="R371" i="3"/>
  <c r="K372" i="3"/>
  <c r="L372" i="3"/>
  <c r="M372" i="3"/>
  <c r="N372" i="3"/>
  <c r="O372" i="3"/>
  <c r="P372" i="3"/>
  <c r="Q372" i="3"/>
  <c r="R372" i="3"/>
  <c r="K373" i="3"/>
  <c r="L373" i="3"/>
  <c r="M373" i="3"/>
  <c r="N373" i="3"/>
  <c r="O373" i="3"/>
  <c r="P373" i="3"/>
  <c r="Q373" i="3"/>
  <c r="R373" i="3"/>
  <c r="K374" i="3"/>
  <c r="L374" i="3"/>
  <c r="M374" i="3"/>
  <c r="N374" i="3"/>
  <c r="O374" i="3"/>
  <c r="P374" i="3"/>
  <c r="Q374" i="3"/>
  <c r="R374" i="3"/>
  <c r="K375" i="3"/>
  <c r="L375" i="3"/>
  <c r="M375" i="3"/>
  <c r="N375" i="3"/>
  <c r="O375" i="3"/>
  <c r="P375" i="3"/>
  <c r="Q375" i="3"/>
  <c r="R375" i="3"/>
  <c r="K376" i="3"/>
  <c r="L376" i="3"/>
  <c r="M376" i="3"/>
  <c r="N376" i="3"/>
  <c r="O376" i="3"/>
  <c r="P376" i="3"/>
  <c r="Q376" i="3"/>
  <c r="R376" i="3"/>
  <c r="K377" i="3"/>
  <c r="L377" i="3"/>
  <c r="M377" i="3"/>
  <c r="N377" i="3"/>
  <c r="O377" i="3"/>
  <c r="P377" i="3"/>
  <c r="Q377" i="3"/>
  <c r="R377" i="3"/>
  <c r="K378" i="3"/>
  <c r="L378" i="3"/>
  <c r="M378" i="3"/>
  <c r="N378" i="3"/>
  <c r="O378" i="3"/>
  <c r="P378" i="3"/>
  <c r="Q378" i="3"/>
  <c r="R378" i="3"/>
  <c r="K379" i="3"/>
  <c r="L379" i="3"/>
  <c r="M379" i="3"/>
  <c r="N379" i="3"/>
  <c r="O379" i="3"/>
  <c r="P379" i="3"/>
  <c r="Q379" i="3"/>
  <c r="R379" i="3"/>
  <c r="K380" i="3"/>
  <c r="L380" i="3"/>
  <c r="M380" i="3"/>
  <c r="N380" i="3"/>
  <c r="O380" i="3"/>
  <c r="P380" i="3"/>
  <c r="Q380" i="3"/>
  <c r="R380" i="3"/>
  <c r="K381" i="3"/>
  <c r="L381" i="3"/>
  <c r="M381" i="3"/>
  <c r="N381" i="3"/>
  <c r="O381" i="3"/>
  <c r="P381" i="3"/>
  <c r="Q381" i="3"/>
  <c r="R381" i="3"/>
  <c r="K382" i="3"/>
  <c r="L382" i="3"/>
  <c r="M382" i="3"/>
  <c r="N382" i="3"/>
  <c r="O382" i="3"/>
  <c r="P382" i="3"/>
  <c r="Q382" i="3"/>
  <c r="R382" i="3"/>
  <c r="K383" i="3"/>
  <c r="L383" i="3"/>
  <c r="M383" i="3"/>
  <c r="N383" i="3"/>
  <c r="O383" i="3"/>
  <c r="P383" i="3"/>
  <c r="Q383" i="3"/>
  <c r="R383" i="3"/>
  <c r="K384" i="3"/>
  <c r="L384" i="3"/>
  <c r="M384" i="3"/>
  <c r="N384" i="3"/>
  <c r="O384" i="3"/>
  <c r="P384" i="3"/>
  <c r="Q384" i="3"/>
  <c r="R384" i="3"/>
  <c r="K385" i="3"/>
  <c r="L385" i="3"/>
  <c r="M385" i="3"/>
  <c r="N385" i="3"/>
  <c r="O385" i="3"/>
  <c r="P385" i="3"/>
  <c r="Q385" i="3"/>
  <c r="R385" i="3"/>
  <c r="K386" i="3"/>
  <c r="L386" i="3"/>
  <c r="M386" i="3"/>
  <c r="N386" i="3"/>
  <c r="O386" i="3"/>
  <c r="P386" i="3"/>
  <c r="Q386" i="3"/>
  <c r="R386" i="3"/>
  <c r="K387" i="3"/>
  <c r="L387" i="3"/>
  <c r="M387" i="3"/>
  <c r="N387" i="3"/>
  <c r="O387" i="3"/>
  <c r="P387" i="3"/>
  <c r="Q387" i="3"/>
  <c r="R387" i="3"/>
  <c r="K388" i="3"/>
  <c r="L388" i="3"/>
  <c r="M388" i="3"/>
  <c r="N388" i="3"/>
  <c r="O388" i="3"/>
  <c r="P388" i="3"/>
  <c r="Q388" i="3"/>
  <c r="R388" i="3"/>
  <c r="K389" i="3"/>
  <c r="L389" i="3"/>
  <c r="M389" i="3"/>
  <c r="N389" i="3"/>
  <c r="O389" i="3"/>
  <c r="P389" i="3"/>
  <c r="Q389" i="3"/>
  <c r="R389" i="3"/>
  <c r="K390" i="3"/>
  <c r="L390" i="3"/>
  <c r="M390" i="3"/>
  <c r="N390" i="3"/>
  <c r="O390" i="3"/>
  <c r="P390" i="3"/>
  <c r="Q390" i="3"/>
  <c r="R390" i="3"/>
  <c r="K391" i="3"/>
  <c r="L391" i="3"/>
  <c r="M391" i="3"/>
  <c r="N391" i="3"/>
  <c r="O391" i="3"/>
  <c r="P391" i="3"/>
  <c r="Q391" i="3"/>
  <c r="R391" i="3"/>
  <c r="K392" i="3"/>
  <c r="L392" i="3"/>
  <c r="M392" i="3"/>
  <c r="N392" i="3"/>
  <c r="O392" i="3"/>
  <c r="P392" i="3"/>
  <c r="Q392" i="3"/>
  <c r="R392" i="3"/>
  <c r="K393" i="3"/>
  <c r="L393" i="3"/>
  <c r="M393" i="3"/>
  <c r="N393" i="3"/>
  <c r="O393" i="3"/>
  <c r="P393" i="3"/>
  <c r="Q393" i="3"/>
  <c r="R393" i="3"/>
  <c r="K394" i="3"/>
  <c r="L394" i="3"/>
  <c r="M394" i="3"/>
  <c r="N394" i="3"/>
  <c r="O394" i="3"/>
  <c r="P394" i="3"/>
  <c r="Q394" i="3"/>
  <c r="R394" i="3"/>
  <c r="K395" i="3"/>
  <c r="L395" i="3"/>
  <c r="M395" i="3"/>
  <c r="N395" i="3"/>
  <c r="O395" i="3"/>
  <c r="P395" i="3"/>
  <c r="Q395" i="3"/>
  <c r="R395" i="3"/>
  <c r="K396" i="3"/>
  <c r="L396" i="3"/>
  <c r="M396" i="3"/>
  <c r="N396" i="3"/>
  <c r="O396" i="3"/>
  <c r="P396" i="3"/>
  <c r="Q396" i="3"/>
  <c r="R396" i="3"/>
  <c r="K397" i="3"/>
  <c r="L397" i="3"/>
  <c r="M397" i="3"/>
  <c r="N397" i="3"/>
  <c r="O397" i="3"/>
  <c r="P397" i="3"/>
  <c r="Q397" i="3"/>
  <c r="R397" i="3"/>
  <c r="K398" i="3"/>
  <c r="L398" i="3"/>
  <c r="M398" i="3"/>
  <c r="N398" i="3"/>
  <c r="O398" i="3"/>
  <c r="P398" i="3"/>
  <c r="Q398" i="3"/>
  <c r="R398" i="3"/>
  <c r="K399" i="3"/>
  <c r="L399" i="3"/>
  <c r="M399" i="3"/>
  <c r="N399" i="3"/>
  <c r="O399" i="3"/>
  <c r="P399" i="3"/>
  <c r="Q399" i="3"/>
  <c r="R399" i="3"/>
  <c r="K400" i="3"/>
  <c r="L400" i="3"/>
  <c r="M400" i="3"/>
  <c r="N400" i="3"/>
  <c r="O400" i="3"/>
  <c r="P400" i="3"/>
  <c r="Q400" i="3"/>
  <c r="R400" i="3"/>
  <c r="K401" i="3"/>
  <c r="L401" i="3"/>
  <c r="M401" i="3"/>
  <c r="N401" i="3"/>
  <c r="O401" i="3"/>
  <c r="P401" i="3"/>
  <c r="Q401" i="3"/>
  <c r="R401" i="3"/>
  <c r="K402" i="3"/>
  <c r="L402" i="3"/>
  <c r="M402" i="3"/>
  <c r="N402" i="3"/>
  <c r="O402" i="3"/>
  <c r="P402" i="3"/>
  <c r="Q402" i="3"/>
  <c r="R402" i="3"/>
  <c r="K403" i="3"/>
  <c r="L403" i="3"/>
  <c r="M403" i="3"/>
  <c r="N403" i="3"/>
  <c r="O403" i="3"/>
  <c r="P403" i="3"/>
  <c r="Q403" i="3"/>
  <c r="R403" i="3"/>
  <c r="K404" i="3"/>
  <c r="L404" i="3"/>
  <c r="M404" i="3"/>
  <c r="N404" i="3"/>
  <c r="O404" i="3"/>
  <c r="P404" i="3"/>
  <c r="Q404" i="3"/>
  <c r="R404" i="3"/>
  <c r="K405" i="3"/>
  <c r="L405" i="3"/>
  <c r="M405" i="3"/>
  <c r="N405" i="3"/>
  <c r="O405" i="3"/>
  <c r="P405" i="3"/>
  <c r="Q405" i="3"/>
  <c r="R405" i="3"/>
  <c r="K406" i="3"/>
  <c r="L406" i="3"/>
  <c r="M406" i="3"/>
  <c r="N406" i="3"/>
  <c r="O406" i="3"/>
  <c r="P406" i="3"/>
  <c r="Q406" i="3"/>
  <c r="R406" i="3"/>
  <c r="K407" i="3"/>
  <c r="L407" i="3"/>
  <c r="M407" i="3"/>
  <c r="N407" i="3"/>
  <c r="O407" i="3"/>
  <c r="P407" i="3"/>
  <c r="Q407" i="3"/>
  <c r="R407" i="3"/>
  <c r="K408" i="3"/>
  <c r="L408" i="3"/>
  <c r="M408" i="3"/>
  <c r="N408" i="3"/>
  <c r="O408" i="3"/>
  <c r="P408" i="3"/>
  <c r="Q408" i="3"/>
  <c r="R408" i="3"/>
  <c r="K409" i="3"/>
  <c r="L409" i="3"/>
  <c r="M409" i="3"/>
  <c r="N409" i="3"/>
  <c r="O409" i="3"/>
  <c r="P409" i="3"/>
  <c r="Q409" i="3"/>
  <c r="R409" i="3"/>
  <c r="K410" i="3"/>
  <c r="L410" i="3"/>
  <c r="M410" i="3"/>
  <c r="N410" i="3"/>
  <c r="O410" i="3"/>
  <c r="P410" i="3"/>
  <c r="Q410" i="3"/>
  <c r="R410" i="3"/>
  <c r="K411" i="3"/>
  <c r="L411" i="3"/>
  <c r="M411" i="3"/>
  <c r="N411" i="3"/>
  <c r="O411" i="3"/>
  <c r="P411" i="3"/>
  <c r="Q411" i="3"/>
  <c r="R411" i="3"/>
  <c r="K412" i="3"/>
  <c r="L412" i="3"/>
  <c r="M412" i="3"/>
  <c r="N412" i="3"/>
  <c r="O412" i="3"/>
  <c r="P412" i="3"/>
  <c r="Q412" i="3"/>
  <c r="R412" i="3"/>
  <c r="K413" i="3"/>
  <c r="L413" i="3"/>
  <c r="M413" i="3"/>
  <c r="N413" i="3"/>
  <c r="O413" i="3"/>
  <c r="P413" i="3"/>
  <c r="Q413" i="3"/>
  <c r="R413" i="3"/>
  <c r="K414" i="3"/>
  <c r="L414" i="3"/>
  <c r="M414" i="3"/>
  <c r="N414" i="3"/>
  <c r="O414" i="3"/>
  <c r="P414" i="3"/>
  <c r="Q414" i="3"/>
  <c r="R414" i="3"/>
  <c r="K415" i="3"/>
  <c r="L415" i="3"/>
  <c r="M415" i="3"/>
  <c r="N415" i="3"/>
  <c r="O415" i="3"/>
  <c r="P415" i="3"/>
  <c r="Q415" i="3"/>
  <c r="R415" i="3"/>
  <c r="K416" i="3"/>
  <c r="L416" i="3"/>
  <c r="M416" i="3"/>
  <c r="N416" i="3"/>
  <c r="O416" i="3"/>
  <c r="P416" i="3"/>
  <c r="Q416" i="3"/>
  <c r="R416" i="3"/>
  <c r="K417" i="3"/>
  <c r="L417" i="3"/>
  <c r="M417" i="3"/>
  <c r="N417" i="3"/>
  <c r="O417" i="3"/>
  <c r="P417" i="3"/>
  <c r="Q417" i="3"/>
  <c r="R417" i="3"/>
  <c r="K418" i="3"/>
  <c r="L418" i="3"/>
  <c r="M418" i="3"/>
  <c r="N418" i="3"/>
  <c r="O418" i="3"/>
  <c r="P418" i="3"/>
  <c r="Q418" i="3"/>
  <c r="R418" i="3"/>
  <c r="K419" i="3"/>
  <c r="L419" i="3"/>
  <c r="M419" i="3"/>
  <c r="N419" i="3"/>
  <c r="O419" i="3"/>
  <c r="P419" i="3"/>
  <c r="Q419" i="3"/>
  <c r="R419" i="3"/>
  <c r="K420" i="3"/>
  <c r="L420" i="3"/>
  <c r="M420" i="3"/>
  <c r="N420" i="3"/>
  <c r="O420" i="3"/>
  <c r="P420" i="3"/>
  <c r="Q420" i="3"/>
  <c r="R420" i="3"/>
  <c r="K421" i="3"/>
  <c r="L421" i="3"/>
  <c r="M421" i="3"/>
  <c r="N421" i="3"/>
  <c r="O421" i="3"/>
  <c r="P421" i="3"/>
  <c r="Q421" i="3"/>
  <c r="R421" i="3"/>
  <c r="K422" i="3"/>
  <c r="L422" i="3"/>
  <c r="M422" i="3"/>
  <c r="N422" i="3"/>
  <c r="O422" i="3"/>
  <c r="P422" i="3"/>
  <c r="Q422" i="3"/>
  <c r="R422" i="3"/>
  <c r="K423" i="3"/>
  <c r="L423" i="3"/>
  <c r="M423" i="3"/>
  <c r="N423" i="3"/>
  <c r="O423" i="3"/>
  <c r="P423" i="3"/>
  <c r="Q423" i="3"/>
  <c r="R423" i="3"/>
  <c r="K424" i="3"/>
  <c r="L424" i="3"/>
  <c r="M424" i="3"/>
  <c r="N424" i="3"/>
  <c r="O424" i="3"/>
  <c r="P424" i="3"/>
  <c r="Q424" i="3"/>
  <c r="R424" i="3"/>
  <c r="K425" i="3"/>
  <c r="L425" i="3"/>
  <c r="M425" i="3"/>
  <c r="N425" i="3"/>
  <c r="O425" i="3"/>
  <c r="P425" i="3"/>
  <c r="Q425" i="3"/>
  <c r="R425" i="3"/>
  <c r="K426" i="3"/>
  <c r="L426" i="3"/>
  <c r="M426" i="3"/>
  <c r="N426" i="3"/>
  <c r="O426" i="3"/>
  <c r="P426" i="3"/>
  <c r="Q426" i="3"/>
  <c r="R426" i="3"/>
  <c r="K427" i="3"/>
  <c r="L427" i="3"/>
  <c r="M427" i="3"/>
  <c r="N427" i="3"/>
  <c r="O427" i="3"/>
  <c r="P427" i="3"/>
  <c r="Q427" i="3"/>
  <c r="R427" i="3"/>
  <c r="K428" i="3"/>
  <c r="L428" i="3"/>
  <c r="M428" i="3"/>
  <c r="N428" i="3"/>
  <c r="O428" i="3"/>
  <c r="P428" i="3"/>
  <c r="Q428" i="3"/>
  <c r="R428" i="3"/>
  <c r="K429" i="3"/>
  <c r="L429" i="3"/>
  <c r="M429" i="3"/>
  <c r="N429" i="3"/>
  <c r="O429" i="3"/>
  <c r="P429" i="3"/>
  <c r="Q429" i="3"/>
  <c r="R429" i="3"/>
  <c r="K430" i="3"/>
  <c r="L430" i="3"/>
  <c r="M430" i="3"/>
  <c r="N430" i="3"/>
  <c r="O430" i="3"/>
  <c r="P430" i="3"/>
  <c r="Q430" i="3"/>
  <c r="R430" i="3"/>
  <c r="K431" i="3"/>
  <c r="L431" i="3"/>
  <c r="M431" i="3"/>
  <c r="N431" i="3"/>
  <c r="O431" i="3"/>
  <c r="P431" i="3"/>
  <c r="Q431" i="3"/>
  <c r="R431" i="3"/>
  <c r="K432" i="3"/>
  <c r="L432" i="3"/>
  <c r="M432" i="3"/>
  <c r="N432" i="3"/>
  <c r="O432" i="3"/>
  <c r="P432" i="3"/>
  <c r="Q432" i="3"/>
  <c r="R432" i="3"/>
  <c r="K433" i="3"/>
  <c r="L433" i="3"/>
  <c r="M433" i="3"/>
  <c r="N433" i="3"/>
  <c r="O433" i="3"/>
  <c r="P433" i="3"/>
  <c r="Q433" i="3"/>
  <c r="R433" i="3"/>
  <c r="K434" i="3"/>
  <c r="L434" i="3"/>
  <c r="M434" i="3"/>
  <c r="N434" i="3"/>
  <c r="O434" i="3"/>
  <c r="P434" i="3"/>
  <c r="Q434" i="3"/>
  <c r="R434" i="3"/>
  <c r="K435" i="3"/>
  <c r="L435" i="3"/>
  <c r="M435" i="3"/>
  <c r="N435" i="3"/>
  <c r="O435" i="3"/>
  <c r="P435" i="3"/>
  <c r="Q435" i="3"/>
  <c r="R435" i="3"/>
  <c r="K436" i="3"/>
  <c r="L436" i="3"/>
  <c r="M436" i="3"/>
  <c r="N436" i="3"/>
  <c r="O436" i="3"/>
  <c r="P436" i="3"/>
  <c r="Q436" i="3"/>
  <c r="R436" i="3"/>
  <c r="K437" i="3"/>
  <c r="L437" i="3"/>
  <c r="M437" i="3"/>
  <c r="N437" i="3"/>
  <c r="O437" i="3"/>
  <c r="P437" i="3"/>
  <c r="Q437" i="3"/>
  <c r="R437" i="3"/>
  <c r="K438" i="3"/>
  <c r="L438" i="3"/>
  <c r="M438" i="3"/>
  <c r="N438" i="3"/>
  <c r="O438" i="3"/>
  <c r="P438" i="3"/>
  <c r="Q438" i="3"/>
  <c r="R438" i="3"/>
  <c r="K439" i="3"/>
  <c r="L439" i="3"/>
  <c r="M439" i="3"/>
  <c r="N439" i="3"/>
  <c r="O439" i="3"/>
  <c r="P439" i="3"/>
  <c r="Q439" i="3"/>
  <c r="R439" i="3"/>
  <c r="K440" i="3"/>
  <c r="L440" i="3"/>
  <c r="M440" i="3"/>
  <c r="N440" i="3"/>
  <c r="O440" i="3"/>
  <c r="P440" i="3"/>
  <c r="Q440" i="3"/>
  <c r="R440" i="3"/>
  <c r="K441" i="3"/>
  <c r="L441" i="3"/>
  <c r="M441" i="3"/>
  <c r="N441" i="3"/>
  <c r="O441" i="3"/>
  <c r="P441" i="3"/>
  <c r="Q441" i="3"/>
  <c r="R441" i="3"/>
  <c r="K442" i="3"/>
  <c r="L442" i="3"/>
  <c r="M442" i="3"/>
  <c r="N442" i="3"/>
  <c r="O442" i="3"/>
  <c r="P442" i="3"/>
  <c r="Q442" i="3"/>
  <c r="R442" i="3"/>
  <c r="K443" i="3"/>
  <c r="L443" i="3"/>
  <c r="M443" i="3"/>
  <c r="N443" i="3"/>
  <c r="O443" i="3"/>
  <c r="P443" i="3"/>
  <c r="Q443" i="3"/>
  <c r="R443" i="3"/>
  <c r="K444" i="3"/>
  <c r="L444" i="3"/>
  <c r="M444" i="3"/>
  <c r="N444" i="3"/>
  <c r="O444" i="3"/>
  <c r="P444" i="3"/>
  <c r="Q444" i="3"/>
  <c r="R444" i="3"/>
  <c r="K445" i="3"/>
  <c r="L445" i="3"/>
  <c r="M445" i="3"/>
  <c r="N445" i="3"/>
  <c r="O445" i="3"/>
  <c r="P445" i="3"/>
  <c r="Q445" i="3"/>
  <c r="R445" i="3"/>
  <c r="K446" i="3"/>
  <c r="L446" i="3"/>
  <c r="M446" i="3"/>
  <c r="N446" i="3"/>
  <c r="O446" i="3"/>
  <c r="P446" i="3"/>
  <c r="Q446" i="3"/>
  <c r="R446" i="3"/>
  <c r="K447" i="3"/>
  <c r="L447" i="3"/>
  <c r="M447" i="3"/>
  <c r="N447" i="3"/>
  <c r="O447" i="3"/>
  <c r="P447" i="3"/>
  <c r="Q447" i="3"/>
  <c r="R447" i="3"/>
  <c r="K448" i="3"/>
  <c r="L448" i="3"/>
  <c r="M448" i="3"/>
  <c r="N448" i="3"/>
  <c r="O448" i="3"/>
  <c r="P448" i="3"/>
  <c r="Q448" i="3"/>
  <c r="R448" i="3"/>
  <c r="K449" i="3"/>
  <c r="L449" i="3"/>
  <c r="M449" i="3"/>
  <c r="N449" i="3"/>
  <c r="O449" i="3"/>
  <c r="P449" i="3"/>
  <c r="Q449" i="3"/>
  <c r="R449" i="3"/>
  <c r="K450" i="3"/>
  <c r="L450" i="3"/>
  <c r="M450" i="3"/>
  <c r="N450" i="3"/>
  <c r="O450" i="3"/>
  <c r="P450" i="3"/>
  <c r="Q450" i="3"/>
  <c r="R450" i="3"/>
  <c r="K451" i="3"/>
  <c r="L451" i="3"/>
  <c r="M451" i="3"/>
  <c r="N451" i="3"/>
  <c r="O451" i="3"/>
  <c r="P451" i="3"/>
  <c r="Q451" i="3"/>
  <c r="R451" i="3"/>
  <c r="K452" i="3"/>
  <c r="L452" i="3"/>
  <c r="M452" i="3"/>
  <c r="N452" i="3"/>
  <c r="O452" i="3"/>
  <c r="P452" i="3"/>
  <c r="Q452" i="3"/>
  <c r="R452" i="3"/>
  <c r="K453" i="3"/>
  <c r="L453" i="3"/>
  <c r="M453" i="3"/>
  <c r="N453" i="3"/>
  <c r="O453" i="3"/>
  <c r="P453" i="3"/>
  <c r="Q453" i="3"/>
  <c r="R453" i="3"/>
  <c r="K454" i="3"/>
  <c r="L454" i="3"/>
  <c r="M454" i="3"/>
  <c r="N454" i="3"/>
  <c r="O454" i="3"/>
  <c r="P454" i="3"/>
  <c r="Q454" i="3"/>
  <c r="R454" i="3"/>
  <c r="K455" i="3"/>
  <c r="L455" i="3"/>
  <c r="M455" i="3"/>
  <c r="N455" i="3"/>
  <c r="O455" i="3"/>
  <c r="P455" i="3"/>
  <c r="Q455" i="3"/>
  <c r="R455" i="3"/>
  <c r="K456" i="3"/>
  <c r="L456" i="3"/>
  <c r="M456" i="3"/>
  <c r="N456" i="3"/>
  <c r="O456" i="3"/>
  <c r="P456" i="3"/>
  <c r="Q456" i="3"/>
  <c r="R456" i="3"/>
  <c r="K457" i="3"/>
  <c r="L457" i="3"/>
  <c r="M457" i="3"/>
  <c r="N457" i="3"/>
  <c r="O457" i="3"/>
  <c r="P457" i="3"/>
  <c r="Q457" i="3"/>
  <c r="R457" i="3"/>
  <c r="K458" i="3"/>
  <c r="L458" i="3"/>
  <c r="M458" i="3"/>
  <c r="N458" i="3"/>
  <c r="O458" i="3"/>
  <c r="P458" i="3"/>
  <c r="Q458" i="3"/>
  <c r="R458" i="3"/>
  <c r="K459" i="3"/>
  <c r="L459" i="3"/>
  <c r="M459" i="3"/>
  <c r="N459" i="3"/>
  <c r="O459" i="3"/>
  <c r="P459" i="3"/>
  <c r="Q459" i="3"/>
  <c r="R459" i="3"/>
  <c r="K460" i="3"/>
  <c r="L460" i="3"/>
  <c r="M460" i="3"/>
  <c r="N460" i="3"/>
  <c r="O460" i="3"/>
  <c r="P460" i="3"/>
  <c r="Q460" i="3"/>
  <c r="R460" i="3"/>
  <c r="K461" i="3"/>
  <c r="L461" i="3"/>
  <c r="M461" i="3"/>
  <c r="N461" i="3"/>
  <c r="O461" i="3"/>
  <c r="P461" i="3"/>
  <c r="Q461" i="3"/>
  <c r="R461" i="3"/>
  <c r="K462" i="3"/>
  <c r="L462" i="3"/>
  <c r="M462" i="3"/>
  <c r="N462" i="3"/>
  <c r="O462" i="3"/>
  <c r="P462" i="3"/>
  <c r="Q462" i="3"/>
  <c r="R462" i="3"/>
  <c r="K463" i="3"/>
  <c r="L463" i="3"/>
  <c r="M463" i="3"/>
  <c r="N463" i="3"/>
  <c r="O463" i="3"/>
  <c r="P463" i="3"/>
  <c r="Q463" i="3"/>
  <c r="R463" i="3"/>
  <c r="K464" i="3"/>
  <c r="L464" i="3"/>
  <c r="M464" i="3"/>
  <c r="N464" i="3"/>
  <c r="O464" i="3"/>
  <c r="P464" i="3"/>
  <c r="Q464" i="3"/>
  <c r="R464" i="3"/>
  <c r="K465" i="3"/>
  <c r="L465" i="3"/>
  <c r="M465" i="3"/>
  <c r="N465" i="3"/>
  <c r="O465" i="3"/>
  <c r="P465" i="3"/>
  <c r="Q465" i="3"/>
  <c r="R465" i="3"/>
  <c r="K466" i="3"/>
  <c r="L466" i="3"/>
  <c r="M466" i="3"/>
  <c r="N466" i="3"/>
  <c r="O466" i="3"/>
  <c r="P466" i="3"/>
  <c r="Q466" i="3"/>
  <c r="R466" i="3"/>
  <c r="K467" i="3"/>
  <c r="L467" i="3"/>
  <c r="M467" i="3"/>
  <c r="N467" i="3"/>
  <c r="O467" i="3"/>
  <c r="P467" i="3"/>
  <c r="Q467" i="3"/>
  <c r="R467" i="3"/>
  <c r="K468" i="3"/>
  <c r="L468" i="3"/>
  <c r="M468" i="3"/>
  <c r="N468" i="3"/>
  <c r="O468" i="3"/>
  <c r="P468" i="3"/>
  <c r="Q468" i="3"/>
  <c r="R468" i="3"/>
  <c r="K469" i="3"/>
  <c r="L469" i="3"/>
  <c r="M469" i="3"/>
  <c r="N469" i="3"/>
  <c r="O469" i="3"/>
  <c r="P469" i="3"/>
  <c r="Q469" i="3"/>
  <c r="R469" i="3"/>
  <c r="K470" i="3"/>
  <c r="L470" i="3"/>
  <c r="M470" i="3"/>
  <c r="N470" i="3"/>
  <c r="O470" i="3"/>
  <c r="P470" i="3"/>
  <c r="Q470" i="3"/>
  <c r="R470" i="3"/>
  <c r="K471" i="3"/>
  <c r="L471" i="3"/>
  <c r="M471" i="3"/>
  <c r="N471" i="3"/>
  <c r="O471" i="3"/>
  <c r="P471" i="3"/>
  <c r="Q471" i="3"/>
  <c r="R471" i="3"/>
  <c r="K472" i="3"/>
  <c r="L472" i="3"/>
  <c r="M472" i="3"/>
  <c r="N472" i="3"/>
  <c r="O472" i="3"/>
  <c r="P472" i="3"/>
  <c r="Q472" i="3"/>
  <c r="R472" i="3"/>
  <c r="K473" i="3"/>
  <c r="L473" i="3"/>
  <c r="M473" i="3"/>
  <c r="N473" i="3"/>
  <c r="O473" i="3"/>
  <c r="P473" i="3"/>
  <c r="Q473" i="3"/>
  <c r="R473" i="3"/>
  <c r="K474" i="3"/>
  <c r="L474" i="3"/>
  <c r="M474" i="3"/>
  <c r="N474" i="3"/>
  <c r="O474" i="3"/>
  <c r="P474" i="3"/>
  <c r="Q474" i="3"/>
  <c r="R474" i="3"/>
  <c r="K475" i="3"/>
  <c r="L475" i="3"/>
  <c r="M475" i="3"/>
  <c r="N475" i="3"/>
  <c r="O475" i="3"/>
  <c r="P475" i="3"/>
  <c r="Q475" i="3"/>
  <c r="R475" i="3"/>
  <c r="K476" i="3"/>
  <c r="L476" i="3"/>
  <c r="M476" i="3"/>
  <c r="N476" i="3"/>
  <c r="O476" i="3"/>
  <c r="P476" i="3"/>
  <c r="Q476" i="3"/>
  <c r="R476" i="3"/>
  <c r="K477" i="3"/>
  <c r="L477" i="3"/>
  <c r="M477" i="3"/>
  <c r="N477" i="3"/>
  <c r="O477" i="3"/>
  <c r="P477" i="3"/>
  <c r="Q477" i="3"/>
  <c r="R477" i="3"/>
  <c r="K478" i="3"/>
  <c r="L478" i="3"/>
  <c r="M478" i="3"/>
  <c r="N478" i="3"/>
  <c r="O478" i="3"/>
  <c r="P478" i="3"/>
  <c r="Q478" i="3"/>
  <c r="R478" i="3"/>
  <c r="K479" i="3"/>
  <c r="L479" i="3"/>
  <c r="M479" i="3"/>
  <c r="N479" i="3"/>
  <c r="O479" i="3"/>
  <c r="P479" i="3"/>
  <c r="Q479" i="3"/>
  <c r="R479" i="3"/>
  <c r="K480" i="3"/>
  <c r="L480" i="3"/>
  <c r="M480" i="3"/>
  <c r="N480" i="3"/>
  <c r="O480" i="3"/>
  <c r="P480" i="3"/>
  <c r="Q480" i="3"/>
  <c r="R480" i="3"/>
  <c r="K481" i="3"/>
  <c r="L481" i="3"/>
  <c r="M481" i="3"/>
  <c r="N481" i="3"/>
  <c r="O481" i="3"/>
  <c r="P481" i="3"/>
  <c r="Q481" i="3"/>
  <c r="R481" i="3"/>
  <c r="K482" i="3"/>
  <c r="L482" i="3"/>
  <c r="M482" i="3"/>
  <c r="N482" i="3"/>
  <c r="O482" i="3"/>
  <c r="P482" i="3"/>
  <c r="Q482" i="3"/>
  <c r="R482" i="3"/>
  <c r="K483" i="3"/>
  <c r="L483" i="3"/>
  <c r="M483" i="3"/>
  <c r="N483" i="3"/>
  <c r="O483" i="3"/>
  <c r="P483" i="3"/>
  <c r="Q483" i="3"/>
  <c r="R483" i="3"/>
  <c r="K484" i="3"/>
  <c r="L484" i="3"/>
  <c r="M484" i="3"/>
  <c r="N484" i="3"/>
  <c r="O484" i="3"/>
  <c r="P484" i="3"/>
  <c r="Q484" i="3"/>
  <c r="R484" i="3"/>
  <c r="K485" i="3"/>
  <c r="L485" i="3"/>
  <c r="M485" i="3"/>
  <c r="N485" i="3"/>
  <c r="O485" i="3"/>
  <c r="P485" i="3"/>
  <c r="Q485" i="3"/>
  <c r="R485" i="3"/>
  <c r="K486" i="3"/>
  <c r="L486" i="3"/>
  <c r="M486" i="3"/>
  <c r="N486" i="3"/>
  <c r="O486" i="3"/>
  <c r="P486" i="3"/>
  <c r="Q486" i="3"/>
  <c r="R486" i="3"/>
  <c r="K487" i="3"/>
  <c r="L487" i="3"/>
  <c r="M487" i="3"/>
  <c r="N487" i="3"/>
  <c r="O487" i="3"/>
  <c r="P487" i="3"/>
  <c r="Q487" i="3"/>
  <c r="R487" i="3"/>
  <c r="K488" i="3"/>
  <c r="L488" i="3"/>
  <c r="M488" i="3"/>
  <c r="N488" i="3"/>
  <c r="O488" i="3"/>
  <c r="P488" i="3"/>
  <c r="Q488" i="3"/>
  <c r="R488" i="3"/>
  <c r="K489" i="3"/>
  <c r="L489" i="3"/>
  <c r="M489" i="3"/>
  <c r="N489" i="3"/>
  <c r="O489" i="3"/>
  <c r="P489" i="3"/>
  <c r="Q489" i="3"/>
  <c r="R489" i="3"/>
  <c r="K490" i="3"/>
  <c r="L490" i="3"/>
  <c r="M490" i="3"/>
  <c r="N490" i="3"/>
  <c r="O490" i="3"/>
  <c r="P490" i="3"/>
  <c r="Q490" i="3"/>
  <c r="R490" i="3"/>
  <c r="K491" i="3"/>
  <c r="L491" i="3"/>
  <c r="M491" i="3"/>
  <c r="N491" i="3"/>
  <c r="O491" i="3"/>
  <c r="P491" i="3"/>
  <c r="Q491" i="3"/>
  <c r="R491" i="3"/>
  <c r="K492" i="3"/>
  <c r="L492" i="3"/>
  <c r="M492" i="3"/>
  <c r="N492" i="3"/>
  <c r="O492" i="3"/>
  <c r="P492" i="3"/>
  <c r="Q492" i="3"/>
  <c r="R492" i="3"/>
  <c r="K493" i="3"/>
  <c r="L493" i="3"/>
  <c r="M493" i="3"/>
  <c r="N493" i="3"/>
  <c r="O493" i="3"/>
  <c r="P493" i="3"/>
  <c r="Q493" i="3"/>
  <c r="R493" i="3"/>
  <c r="K494" i="3"/>
  <c r="L494" i="3"/>
  <c r="M494" i="3"/>
  <c r="N494" i="3"/>
  <c r="O494" i="3"/>
  <c r="P494" i="3"/>
  <c r="Q494" i="3"/>
  <c r="R494" i="3"/>
  <c r="K495" i="3"/>
  <c r="L495" i="3"/>
  <c r="M495" i="3"/>
  <c r="N495" i="3"/>
  <c r="O495" i="3"/>
  <c r="P495" i="3"/>
  <c r="Q495" i="3"/>
  <c r="R495" i="3"/>
  <c r="K496" i="3"/>
  <c r="L496" i="3"/>
  <c r="M496" i="3"/>
  <c r="N496" i="3"/>
  <c r="O496" i="3"/>
  <c r="P496" i="3"/>
  <c r="Q496" i="3"/>
  <c r="R496" i="3"/>
  <c r="K497" i="3"/>
  <c r="L497" i="3"/>
  <c r="M497" i="3"/>
  <c r="N497" i="3"/>
  <c r="O497" i="3"/>
  <c r="P497" i="3"/>
  <c r="Q497" i="3"/>
  <c r="R497" i="3"/>
  <c r="K498" i="3"/>
  <c r="L498" i="3"/>
  <c r="M498" i="3"/>
  <c r="N498" i="3"/>
  <c r="O498" i="3"/>
  <c r="P498" i="3"/>
  <c r="Q498" i="3"/>
  <c r="R498" i="3"/>
  <c r="K499" i="3"/>
  <c r="L499" i="3"/>
  <c r="M499" i="3"/>
  <c r="N499" i="3"/>
  <c r="O499" i="3"/>
  <c r="P499" i="3"/>
  <c r="Q499" i="3"/>
  <c r="R499" i="3"/>
  <c r="K500" i="3"/>
  <c r="L500" i="3"/>
  <c r="M500" i="3"/>
  <c r="N500" i="3"/>
  <c r="O500" i="3"/>
  <c r="P500" i="3"/>
  <c r="Q500" i="3"/>
  <c r="R500" i="3"/>
  <c r="K501" i="3"/>
  <c r="L501" i="3"/>
  <c r="M501" i="3"/>
  <c r="N501" i="3"/>
  <c r="O501" i="3"/>
  <c r="P501" i="3"/>
  <c r="Q501" i="3"/>
  <c r="R501" i="3"/>
  <c r="K502" i="3"/>
  <c r="L502" i="3"/>
  <c r="M502" i="3"/>
  <c r="N502" i="3"/>
  <c r="O502" i="3"/>
  <c r="P502" i="3"/>
  <c r="Q502" i="3"/>
  <c r="R502" i="3"/>
  <c r="K503" i="3"/>
  <c r="L503" i="3"/>
  <c r="M503" i="3"/>
  <c r="N503" i="3"/>
  <c r="O503" i="3"/>
  <c r="P503" i="3"/>
  <c r="Q503" i="3"/>
  <c r="R503" i="3"/>
  <c r="K504" i="3"/>
  <c r="L504" i="3"/>
  <c r="M504" i="3"/>
  <c r="N504" i="3"/>
  <c r="O504" i="3"/>
  <c r="P504" i="3"/>
  <c r="Q504" i="3"/>
  <c r="R504" i="3"/>
  <c r="K505" i="3"/>
  <c r="L505" i="3"/>
  <c r="M505" i="3"/>
  <c r="N505" i="3"/>
  <c r="O505" i="3"/>
  <c r="P505" i="3"/>
  <c r="Q505" i="3"/>
  <c r="R505" i="3"/>
  <c r="K506" i="3"/>
  <c r="L506" i="3"/>
  <c r="M506" i="3"/>
  <c r="N506" i="3"/>
  <c r="O506" i="3"/>
  <c r="P506" i="3"/>
  <c r="Q506" i="3"/>
  <c r="R506" i="3"/>
  <c r="K507" i="3"/>
  <c r="L507" i="3"/>
  <c r="M507" i="3"/>
  <c r="N507" i="3"/>
  <c r="O507" i="3"/>
  <c r="P507" i="3"/>
  <c r="Q507" i="3"/>
  <c r="R507" i="3"/>
  <c r="K508" i="3"/>
  <c r="L508" i="3"/>
  <c r="M508" i="3"/>
  <c r="N508" i="3"/>
  <c r="O508" i="3"/>
  <c r="P508" i="3"/>
  <c r="Q508" i="3"/>
  <c r="R508" i="3"/>
  <c r="K509" i="3"/>
  <c r="L509" i="3"/>
  <c r="M509" i="3"/>
  <c r="N509" i="3"/>
  <c r="O509" i="3"/>
  <c r="P509" i="3"/>
  <c r="Q509" i="3"/>
  <c r="R509" i="3"/>
  <c r="K510" i="3"/>
  <c r="L510" i="3"/>
  <c r="M510" i="3"/>
  <c r="N510" i="3"/>
  <c r="O510" i="3"/>
  <c r="P510" i="3"/>
  <c r="Q510" i="3"/>
  <c r="R510" i="3"/>
  <c r="K511" i="3"/>
  <c r="L511" i="3"/>
  <c r="M511" i="3"/>
  <c r="N511" i="3"/>
  <c r="O511" i="3"/>
  <c r="P511" i="3"/>
  <c r="Q511" i="3"/>
  <c r="R511" i="3"/>
  <c r="K512" i="3"/>
  <c r="L512" i="3"/>
  <c r="M512" i="3"/>
  <c r="N512" i="3"/>
  <c r="O512" i="3"/>
  <c r="P512" i="3"/>
  <c r="Q512" i="3"/>
  <c r="R512" i="3"/>
  <c r="K513" i="3"/>
  <c r="L513" i="3"/>
  <c r="M513" i="3"/>
  <c r="N513" i="3"/>
  <c r="O513" i="3"/>
  <c r="P513" i="3"/>
  <c r="Q513" i="3"/>
  <c r="R513" i="3"/>
  <c r="K514" i="3"/>
  <c r="L514" i="3"/>
  <c r="M514" i="3"/>
  <c r="N514" i="3"/>
  <c r="O514" i="3"/>
  <c r="P514" i="3"/>
  <c r="Q514" i="3"/>
  <c r="R514" i="3"/>
  <c r="K515" i="3"/>
  <c r="L515" i="3"/>
  <c r="M515" i="3"/>
  <c r="N515" i="3"/>
  <c r="O515" i="3"/>
  <c r="P515" i="3"/>
  <c r="Q515" i="3"/>
  <c r="R515" i="3"/>
  <c r="K516" i="3"/>
  <c r="L516" i="3"/>
  <c r="M516" i="3"/>
  <c r="N516" i="3"/>
  <c r="O516" i="3"/>
  <c r="P516" i="3"/>
  <c r="Q516" i="3"/>
  <c r="R516" i="3"/>
  <c r="K517" i="3"/>
  <c r="L517" i="3"/>
  <c r="M517" i="3"/>
  <c r="N517" i="3"/>
  <c r="O517" i="3"/>
  <c r="P517" i="3"/>
  <c r="Q517" i="3"/>
  <c r="R517" i="3"/>
  <c r="K518" i="3"/>
  <c r="L518" i="3"/>
  <c r="M518" i="3"/>
  <c r="N518" i="3"/>
  <c r="O518" i="3"/>
  <c r="P518" i="3"/>
  <c r="Q518" i="3"/>
  <c r="R518" i="3"/>
  <c r="K519" i="3"/>
  <c r="L519" i="3"/>
  <c r="M519" i="3"/>
  <c r="N519" i="3"/>
  <c r="O519" i="3"/>
  <c r="P519" i="3"/>
  <c r="Q519" i="3"/>
  <c r="R519" i="3"/>
  <c r="K520" i="3"/>
  <c r="L520" i="3"/>
  <c r="M520" i="3"/>
  <c r="N520" i="3"/>
  <c r="O520" i="3"/>
  <c r="P520" i="3"/>
  <c r="Q520" i="3"/>
  <c r="R520" i="3"/>
  <c r="K521" i="3"/>
  <c r="L521" i="3"/>
  <c r="M521" i="3"/>
  <c r="N521" i="3"/>
  <c r="O521" i="3"/>
  <c r="P521" i="3"/>
  <c r="Q521" i="3"/>
  <c r="R521" i="3"/>
  <c r="K522" i="3"/>
  <c r="L522" i="3"/>
  <c r="M522" i="3"/>
  <c r="N522" i="3"/>
  <c r="O522" i="3"/>
  <c r="P522" i="3"/>
  <c r="Q522" i="3"/>
  <c r="R522" i="3"/>
  <c r="K523" i="3"/>
  <c r="L523" i="3"/>
  <c r="M523" i="3"/>
  <c r="N523" i="3"/>
  <c r="O523" i="3"/>
  <c r="P523" i="3"/>
  <c r="Q523" i="3"/>
  <c r="R523" i="3"/>
  <c r="K524" i="3"/>
  <c r="L524" i="3"/>
  <c r="M524" i="3"/>
  <c r="N524" i="3"/>
  <c r="O524" i="3"/>
  <c r="P524" i="3"/>
  <c r="Q524" i="3"/>
  <c r="R524" i="3"/>
  <c r="K525" i="3"/>
  <c r="L525" i="3"/>
  <c r="M525" i="3"/>
  <c r="N525" i="3"/>
  <c r="O525" i="3"/>
  <c r="P525" i="3"/>
  <c r="Q525" i="3"/>
  <c r="R525" i="3"/>
  <c r="K526" i="3"/>
  <c r="L526" i="3"/>
  <c r="M526" i="3"/>
  <c r="N526" i="3"/>
  <c r="O526" i="3"/>
  <c r="P526" i="3"/>
  <c r="Q526" i="3"/>
  <c r="R526" i="3"/>
  <c r="K527" i="3"/>
  <c r="L527" i="3"/>
  <c r="M527" i="3"/>
  <c r="N527" i="3"/>
  <c r="O527" i="3"/>
  <c r="P527" i="3"/>
  <c r="Q527" i="3"/>
  <c r="R527" i="3"/>
  <c r="K528" i="3"/>
  <c r="L528" i="3"/>
  <c r="M528" i="3"/>
  <c r="N528" i="3"/>
  <c r="O528" i="3"/>
  <c r="P528" i="3"/>
  <c r="Q528" i="3"/>
  <c r="R528" i="3"/>
  <c r="K529" i="3"/>
  <c r="L529" i="3"/>
  <c r="M529" i="3"/>
  <c r="N529" i="3"/>
  <c r="O529" i="3"/>
  <c r="P529" i="3"/>
  <c r="Q529" i="3"/>
  <c r="R529" i="3"/>
  <c r="K530" i="3"/>
  <c r="L530" i="3"/>
  <c r="M530" i="3"/>
  <c r="N530" i="3"/>
  <c r="O530" i="3"/>
  <c r="P530" i="3"/>
  <c r="Q530" i="3"/>
  <c r="R530" i="3"/>
  <c r="K531" i="3"/>
  <c r="L531" i="3"/>
  <c r="M531" i="3"/>
  <c r="N531" i="3"/>
  <c r="O531" i="3"/>
  <c r="P531" i="3"/>
  <c r="Q531" i="3"/>
  <c r="R531" i="3"/>
  <c r="K532" i="3"/>
  <c r="L532" i="3"/>
  <c r="M532" i="3"/>
  <c r="N532" i="3"/>
  <c r="O532" i="3"/>
  <c r="P532" i="3"/>
  <c r="Q532" i="3"/>
  <c r="R532" i="3"/>
  <c r="K533" i="3"/>
  <c r="L533" i="3"/>
  <c r="M533" i="3"/>
  <c r="N533" i="3"/>
  <c r="O533" i="3"/>
  <c r="P533" i="3"/>
  <c r="Q533" i="3"/>
  <c r="R533" i="3"/>
  <c r="K534" i="3"/>
  <c r="L534" i="3"/>
  <c r="M534" i="3"/>
  <c r="N534" i="3"/>
  <c r="O534" i="3"/>
  <c r="P534" i="3"/>
  <c r="Q534" i="3"/>
  <c r="R534" i="3"/>
  <c r="K535" i="3"/>
  <c r="L535" i="3"/>
  <c r="M535" i="3"/>
  <c r="N535" i="3"/>
  <c r="O535" i="3"/>
  <c r="P535" i="3"/>
  <c r="Q535" i="3"/>
  <c r="R535" i="3"/>
  <c r="K536" i="3"/>
  <c r="L536" i="3"/>
  <c r="M536" i="3"/>
  <c r="N536" i="3"/>
  <c r="O536" i="3"/>
  <c r="P536" i="3"/>
  <c r="Q536" i="3"/>
  <c r="R536" i="3"/>
  <c r="K537" i="3"/>
  <c r="L537" i="3"/>
  <c r="M537" i="3"/>
  <c r="N537" i="3"/>
  <c r="O537" i="3"/>
  <c r="P537" i="3"/>
  <c r="Q537" i="3"/>
  <c r="R537" i="3"/>
  <c r="K538" i="3"/>
  <c r="L538" i="3"/>
  <c r="M538" i="3"/>
  <c r="N538" i="3"/>
  <c r="O538" i="3"/>
  <c r="P538" i="3"/>
  <c r="Q538" i="3"/>
  <c r="R538" i="3"/>
  <c r="K539" i="3"/>
  <c r="L539" i="3"/>
  <c r="M539" i="3"/>
  <c r="N539" i="3"/>
  <c r="O539" i="3"/>
  <c r="P539" i="3"/>
  <c r="Q539" i="3"/>
  <c r="R539" i="3"/>
  <c r="K540" i="3"/>
  <c r="L540" i="3"/>
  <c r="M540" i="3"/>
  <c r="N540" i="3"/>
  <c r="O540" i="3"/>
  <c r="P540" i="3"/>
  <c r="Q540" i="3"/>
  <c r="R540" i="3"/>
  <c r="K541" i="3"/>
  <c r="L541" i="3"/>
  <c r="M541" i="3"/>
  <c r="N541" i="3"/>
  <c r="O541" i="3"/>
  <c r="P541" i="3"/>
  <c r="Q541" i="3"/>
  <c r="R541" i="3"/>
  <c r="K542" i="3"/>
  <c r="L542" i="3"/>
  <c r="M542" i="3"/>
  <c r="N542" i="3"/>
  <c r="O542" i="3"/>
  <c r="P542" i="3"/>
  <c r="Q542" i="3"/>
  <c r="R542" i="3"/>
  <c r="K543" i="3"/>
  <c r="L543" i="3"/>
  <c r="M543" i="3"/>
  <c r="N543" i="3"/>
  <c r="O543" i="3"/>
  <c r="P543" i="3"/>
  <c r="Q543" i="3"/>
  <c r="R543" i="3"/>
  <c r="K544" i="3"/>
  <c r="L544" i="3"/>
  <c r="M544" i="3"/>
  <c r="N544" i="3"/>
  <c r="O544" i="3"/>
  <c r="P544" i="3"/>
  <c r="Q544" i="3"/>
  <c r="R544" i="3"/>
  <c r="K545" i="3"/>
  <c r="L545" i="3"/>
  <c r="M545" i="3"/>
  <c r="N545" i="3"/>
  <c r="O545" i="3"/>
  <c r="P545" i="3"/>
  <c r="Q545" i="3"/>
  <c r="R545" i="3"/>
  <c r="K546" i="3"/>
  <c r="L546" i="3"/>
  <c r="M546" i="3"/>
  <c r="N546" i="3"/>
  <c r="O546" i="3"/>
  <c r="P546" i="3"/>
  <c r="Q546" i="3"/>
  <c r="R546" i="3"/>
  <c r="K547" i="3"/>
  <c r="L547" i="3"/>
  <c r="M547" i="3"/>
  <c r="N547" i="3"/>
  <c r="O547" i="3"/>
  <c r="P547" i="3"/>
  <c r="Q547" i="3"/>
  <c r="R547" i="3"/>
  <c r="K548" i="3"/>
  <c r="L548" i="3"/>
  <c r="M548" i="3"/>
  <c r="N548" i="3"/>
  <c r="O548" i="3"/>
  <c r="P548" i="3"/>
  <c r="Q548" i="3"/>
  <c r="R548" i="3"/>
  <c r="K549" i="3"/>
  <c r="L549" i="3"/>
  <c r="M549" i="3"/>
  <c r="N549" i="3"/>
  <c r="O549" i="3"/>
  <c r="P549" i="3"/>
  <c r="Q549" i="3"/>
  <c r="R549" i="3"/>
  <c r="K550" i="3"/>
  <c r="L550" i="3"/>
  <c r="M550" i="3"/>
  <c r="N550" i="3"/>
  <c r="O550" i="3"/>
  <c r="P550" i="3"/>
  <c r="Q550" i="3"/>
  <c r="R550" i="3"/>
  <c r="K551" i="3"/>
  <c r="L551" i="3"/>
  <c r="M551" i="3"/>
  <c r="N551" i="3"/>
  <c r="O551" i="3"/>
  <c r="P551" i="3"/>
  <c r="Q551" i="3"/>
  <c r="R551" i="3"/>
  <c r="K552" i="3"/>
  <c r="L552" i="3"/>
  <c r="M552" i="3"/>
  <c r="N552" i="3"/>
  <c r="O552" i="3"/>
  <c r="P552" i="3"/>
  <c r="Q552" i="3"/>
  <c r="R552" i="3"/>
  <c r="K553" i="3"/>
  <c r="L553" i="3"/>
  <c r="M553" i="3"/>
  <c r="N553" i="3"/>
  <c r="O553" i="3"/>
  <c r="P553" i="3"/>
  <c r="Q553" i="3"/>
  <c r="R553" i="3"/>
  <c r="K554" i="3"/>
  <c r="L554" i="3"/>
  <c r="M554" i="3"/>
  <c r="N554" i="3"/>
  <c r="O554" i="3"/>
  <c r="P554" i="3"/>
  <c r="Q554" i="3"/>
  <c r="R554" i="3"/>
  <c r="K555" i="3"/>
  <c r="L555" i="3"/>
  <c r="M555" i="3"/>
  <c r="N555" i="3"/>
  <c r="O555" i="3"/>
  <c r="P555" i="3"/>
  <c r="Q555" i="3"/>
  <c r="R555" i="3"/>
  <c r="K556" i="3"/>
  <c r="L556" i="3"/>
  <c r="M556" i="3"/>
  <c r="N556" i="3"/>
  <c r="O556" i="3"/>
  <c r="P556" i="3"/>
  <c r="Q556" i="3"/>
  <c r="R556" i="3"/>
  <c r="K557" i="3"/>
  <c r="L557" i="3"/>
  <c r="M557" i="3"/>
  <c r="N557" i="3"/>
  <c r="O557" i="3"/>
  <c r="P557" i="3"/>
  <c r="Q557" i="3"/>
  <c r="R557" i="3"/>
  <c r="K558" i="3"/>
  <c r="L558" i="3"/>
  <c r="M558" i="3"/>
  <c r="N558" i="3"/>
  <c r="O558" i="3"/>
  <c r="P558" i="3"/>
  <c r="Q558" i="3"/>
  <c r="R558" i="3"/>
  <c r="K559" i="3"/>
  <c r="L559" i="3"/>
  <c r="M559" i="3"/>
  <c r="N559" i="3"/>
  <c r="O559" i="3"/>
  <c r="P559" i="3"/>
  <c r="Q559" i="3"/>
  <c r="R559" i="3"/>
  <c r="K560" i="3"/>
  <c r="L560" i="3"/>
  <c r="M560" i="3"/>
  <c r="N560" i="3"/>
  <c r="O560" i="3"/>
  <c r="P560" i="3"/>
  <c r="Q560" i="3"/>
  <c r="R560" i="3"/>
  <c r="K561" i="3"/>
  <c r="L561" i="3"/>
  <c r="M561" i="3"/>
  <c r="N561" i="3"/>
  <c r="O561" i="3"/>
  <c r="P561" i="3"/>
  <c r="Q561" i="3"/>
  <c r="R561" i="3"/>
  <c r="K562" i="3"/>
  <c r="L562" i="3"/>
  <c r="M562" i="3"/>
  <c r="N562" i="3"/>
  <c r="O562" i="3"/>
  <c r="P562" i="3"/>
  <c r="Q562" i="3"/>
  <c r="R562" i="3"/>
  <c r="K563" i="3"/>
  <c r="L563" i="3"/>
  <c r="M563" i="3"/>
  <c r="N563" i="3"/>
  <c r="O563" i="3"/>
  <c r="P563" i="3"/>
  <c r="Q563" i="3"/>
  <c r="R563" i="3"/>
  <c r="K564" i="3"/>
  <c r="L564" i="3"/>
  <c r="M564" i="3"/>
  <c r="N564" i="3"/>
  <c r="O564" i="3"/>
  <c r="P564" i="3"/>
  <c r="Q564" i="3"/>
  <c r="R564" i="3"/>
  <c r="K565" i="3"/>
  <c r="L565" i="3"/>
  <c r="M565" i="3"/>
  <c r="N565" i="3"/>
  <c r="O565" i="3"/>
  <c r="P565" i="3"/>
  <c r="Q565" i="3"/>
  <c r="R565" i="3"/>
  <c r="K566" i="3"/>
  <c r="L566" i="3"/>
  <c r="M566" i="3"/>
  <c r="N566" i="3"/>
  <c r="O566" i="3"/>
  <c r="P566" i="3"/>
  <c r="Q566" i="3"/>
  <c r="R566" i="3"/>
  <c r="K567" i="3"/>
  <c r="L567" i="3"/>
  <c r="M567" i="3"/>
  <c r="N567" i="3"/>
  <c r="O567" i="3"/>
  <c r="P567" i="3"/>
  <c r="Q567" i="3"/>
  <c r="R567" i="3"/>
  <c r="K568" i="3"/>
  <c r="L568" i="3"/>
  <c r="M568" i="3"/>
  <c r="N568" i="3"/>
  <c r="O568" i="3"/>
  <c r="P568" i="3"/>
  <c r="Q568" i="3"/>
  <c r="R568" i="3"/>
  <c r="K569" i="3"/>
  <c r="L569" i="3"/>
  <c r="M569" i="3"/>
  <c r="N569" i="3"/>
  <c r="O569" i="3"/>
  <c r="P569" i="3"/>
  <c r="Q569" i="3"/>
  <c r="R569" i="3"/>
  <c r="K570" i="3"/>
  <c r="L570" i="3"/>
  <c r="M570" i="3"/>
  <c r="N570" i="3"/>
  <c r="O570" i="3"/>
  <c r="P570" i="3"/>
  <c r="Q570" i="3"/>
  <c r="R570" i="3"/>
  <c r="K571" i="3"/>
  <c r="L571" i="3"/>
  <c r="M571" i="3"/>
  <c r="N571" i="3"/>
  <c r="O571" i="3"/>
  <c r="P571" i="3"/>
  <c r="Q571" i="3"/>
  <c r="R571" i="3"/>
  <c r="K572" i="3"/>
  <c r="L572" i="3"/>
  <c r="M572" i="3"/>
  <c r="N572" i="3"/>
  <c r="O572" i="3"/>
  <c r="P572" i="3"/>
  <c r="Q572" i="3"/>
  <c r="R572" i="3"/>
  <c r="K573" i="3"/>
  <c r="L573" i="3"/>
  <c r="M573" i="3"/>
  <c r="N573" i="3"/>
  <c r="O573" i="3"/>
  <c r="P573" i="3"/>
  <c r="Q573" i="3"/>
  <c r="R573" i="3"/>
  <c r="K574" i="3"/>
  <c r="L574" i="3"/>
  <c r="M574" i="3"/>
  <c r="N574" i="3"/>
  <c r="O574" i="3"/>
  <c r="P574" i="3"/>
  <c r="Q574" i="3"/>
  <c r="R574" i="3"/>
  <c r="K575" i="3"/>
  <c r="L575" i="3"/>
  <c r="M575" i="3"/>
  <c r="N575" i="3"/>
  <c r="O575" i="3"/>
  <c r="P575" i="3"/>
  <c r="Q575" i="3"/>
  <c r="R575" i="3"/>
  <c r="K576" i="3"/>
  <c r="L576" i="3"/>
  <c r="M576" i="3"/>
  <c r="N576" i="3"/>
  <c r="O576" i="3"/>
  <c r="P576" i="3"/>
  <c r="Q576" i="3"/>
  <c r="R576" i="3"/>
  <c r="K577" i="3"/>
  <c r="L577" i="3"/>
  <c r="M577" i="3"/>
  <c r="N577" i="3"/>
  <c r="O577" i="3"/>
  <c r="P577" i="3"/>
  <c r="Q577" i="3"/>
  <c r="R577" i="3"/>
  <c r="K578" i="3"/>
  <c r="L578" i="3"/>
  <c r="M578" i="3"/>
  <c r="N578" i="3"/>
  <c r="O578" i="3"/>
  <c r="P578" i="3"/>
  <c r="Q578" i="3"/>
  <c r="R578" i="3"/>
  <c r="K579" i="3"/>
  <c r="L579" i="3"/>
  <c r="M579" i="3"/>
  <c r="N579" i="3"/>
  <c r="O579" i="3"/>
  <c r="P579" i="3"/>
  <c r="Q579" i="3"/>
  <c r="R579" i="3"/>
  <c r="K580" i="3"/>
  <c r="L580" i="3"/>
  <c r="M580" i="3"/>
  <c r="N580" i="3"/>
  <c r="O580" i="3"/>
  <c r="P580" i="3"/>
  <c r="Q580" i="3"/>
  <c r="R580" i="3"/>
  <c r="K581" i="3"/>
  <c r="L581" i="3"/>
  <c r="M581" i="3"/>
  <c r="N581" i="3"/>
  <c r="O581" i="3"/>
  <c r="P581" i="3"/>
  <c r="Q581" i="3"/>
  <c r="R581" i="3"/>
  <c r="K582" i="3"/>
  <c r="L582" i="3"/>
  <c r="M582" i="3"/>
  <c r="N582" i="3"/>
  <c r="O582" i="3"/>
  <c r="P582" i="3"/>
  <c r="Q582" i="3"/>
  <c r="R582" i="3"/>
  <c r="K583" i="3"/>
  <c r="L583" i="3"/>
  <c r="M583" i="3"/>
  <c r="N583" i="3"/>
  <c r="O583" i="3"/>
  <c r="P583" i="3"/>
  <c r="Q583" i="3"/>
  <c r="R583" i="3"/>
  <c r="K584" i="3"/>
  <c r="L584" i="3"/>
  <c r="M584" i="3"/>
  <c r="N584" i="3"/>
  <c r="O584" i="3"/>
  <c r="P584" i="3"/>
  <c r="Q584" i="3"/>
  <c r="R584" i="3"/>
  <c r="K585" i="3"/>
  <c r="L585" i="3"/>
  <c r="M585" i="3"/>
  <c r="N585" i="3"/>
  <c r="O585" i="3"/>
  <c r="P585" i="3"/>
  <c r="Q585" i="3"/>
  <c r="R585" i="3"/>
  <c r="K586" i="3"/>
  <c r="L586" i="3"/>
  <c r="M586" i="3"/>
  <c r="N586" i="3"/>
  <c r="O586" i="3"/>
  <c r="P586" i="3"/>
  <c r="Q586" i="3"/>
  <c r="R586" i="3"/>
  <c r="K587" i="3"/>
  <c r="L587" i="3"/>
  <c r="M587" i="3"/>
  <c r="N587" i="3"/>
  <c r="O587" i="3"/>
  <c r="P587" i="3"/>
  <c r="Q587" i="3"/>
  <c r="R587" i="3"/>
  <c r="K588" i="3"/>
  <c r="L588" i="3"/>
  <c r="M588" i="3"/>
  <c r="N588" i="3"/>
  <c r="O588" i="3"/>
  <c r="P588" i="3"/>
  <c r="Q588" i="3"/>
  <c r="R588" i="3"/>
  <c r="K589" i="3"/>
  <c r="L589" i="3"/>
  <c r="M589" i="3"/>
  <c r="N589" i="3"/>
  <c r="O589" i="3"/>
  <c r="P589" i="3"/>
  <c r="Q589" i="3"/>
  <c r="R589" i="3"/>
  <c r="K590" i="3"/>
  <c r="L590" i="3"/>
  <c r="M590" i="3"/>
  <c r="N590" i="3"/>
  <c r="O590" i="3"/>
  <c r="P590" i="3"/>
  <c r="Q590" i="3"/>
  <c r="R590" i="3"/>
  <c r="K591" i="3"/>
  <c r="L591" i="3"/>
  <c r="M591" i="3"/>
  <c r="N591" i="3"/>
  <c r="O591" i="3"/>
  <c r="P591" i="3"/>
  <c r="Q591" i="3"/>
  <c r="R591" i="3"/>
  <c r="K592" i="3"/>
  <c r="L592" i="3"/>
  <c r="M592" i="3"/>
  <c r="N592" i="3"/>
  <c r="O592" i="3"/>
  <c r="P592" i="3"/>
  <c r="Q592" i="3"/>
  <c r="R592" i="3"/>
  <c r="K593" i="3"/>
  <c r="L593" i="3"/>
  <c r="M593" i="3"/>
  <c r="N593" i="3"/>
  <c r="O593" i="3"/>
  <c r="P593" i="3"/>
  <c r="Q593" i="3"/>
  <c r="R593" i="3"/>
  <c r="K594" i="3"/>
  <c r="L594" i="3"/>
  <c r="M594" i="3"/>
  <c r="N594" i="3"/>
  <c r="O594" i="3"/>
  <c r="P594" i="3"/>
  <c r="Q594" i="3"/>
  <c r="R594" i="3"/>
  <c r="K595" i="3"/>
  <c r="L595" i="3"/>
  <c r="M595" i="3"/>
  <c r="N595" i="3"/>
  <c r="O595" i="3"/>
  <c r="P595" i="3"/>
  <c r="Q595" i="3"/>
  <c r="R595" i="3"/>
  <c r="K596" i="3"/>
  <c r="L596" i="3"/>
  <c r="M596" i="3"/>
  <c r="N596" i="3"/>
  <c r="O596" i="3"/>
  <c r="P596" i="3"/>
  <c r="Q596" i="3"/>
  <c r="R596" i="3"/>
  <c r="K597" i="3"/>
  <c r="L597" i="3"/>
  <c r="M597" i="3"/>
  <c r="N597" i="3"/>
  <c r="O597" i="3"/>
  <c r="P597" i="3"/>
  <c r="Q597" i="3"/>
  <c r="R597" i="3"/>
  <c r="K598" i="3"/>
  <c r="L598" i="3"/>
  <c r="M598" i="3"/>
  <c r="N598" i="3"/>
  <c r="O598" i="3"/>
  <c r="P598" i="3"/>
  <c r="Q598" i="3"/>
  <c r="R598" i="3"/>
  <c r="K599" i="3"/>
  <c r="L599" i="3"/>
  <c r="M599" i="3"/>
  <c r="N599" i="3"/>
  <c r="O599" i="3"/>
  <c r="P599" i="3"/>
  <c r="Q599" i="3"/>
  <c r="R599" i="3"/>
  <c r="K600" i="3"/>
  <c r="L600" i="3"/>
  <c r="M600" i="3"/>
  <c r="N600" i="3"/>
  <c r="O600" i="3"/>
  <c r="P600" i="3"/>
  <c r="Q600" i="3"/>
  <c r="R600" i="3"/>
  <c r="K601" i="3"/>
  <c r="L601" i="3"/>
  <c r="M601" i="3"/>
  <c r="N601" i="3"/>
  <c r="O601" i="3"/>
  <c r="P601" i="3"/>
  <c r="Q601" i="3"/>
  <c r="R601" i="3"/>
  <c r="K602" i="3"/>
  <c r="L602" i="3"/>
  <c r="M602" i="3"/>
  <c r="N602" i="3"/>
  <c r="O602" i="3"/>
  <c r="P602" i="3"/>
  <c r="Q602" i="3"/>
  <c r="R602" i="3"/>
  <c r="K603" i="3"/>
  <c r="L603" i="3"/>
  <c r="M603" i="3"/>
  <c r="N603" i="3"/>
  <c r="O603" i="3"/>
  <c r="P603" i="3"/>
  <c r="Q603" i="3"/>
  <c r="R603" i="3"/>
  <c r="K604" i="3"/>
  <c r="L604" i="3"/>
  <c r="M604" i="3"/>
  <c r="N604" i="3"/>
  <c r="O604" i="3"/>
  <c r="P604" i="3"/>
  <c r="Q604" i="3"/>
  <c r="R604" i="3"/>
  <c r="K605" i="3"/>
  <c r="L605" i="3"/>
  <c r="M605" i="3"/>
  <c r="N605" i="3"/>
  <c r="O605" i="3"/>
  <c r="P605" i="3"/>
  <c r="Q605" i="3"/>
  <c r="R605" i="3"/>
  <c r="K606" i="3"/>
  <c r="L606" i="3"/>
  <c r="M606" i="3"/>
  <c r="N606" i="3"/>
  <c r="O606" i="3"/>
  <c r="P606" i="3"/>
  <c r="Q606" i="3"/>
  <c r="R606" i="3"/>
  <c r="K607" i="3"/>
  <c r="L607" i="3"/>
  <c r="M607" i="3"/>
  <c r="N607" i="3"/>
  <c r="O607" i="3"/>
  <c r="P607" i="3"/>
  <c r="Q607" i="3"/>
  <c r="R607" i="3"/>
  <c r="K608" i="3"/>
  <c r="L608" i="3"/>
  <c r="M608" i="3"/>
  <c r="N608" i="3"/>
  <c r="O608" i="3"/>
  <c r="P608" i="3"/>
  <c r="Q608" i="3"/>
  <c r="R608" i="3"/>
  <c r="K609" i="3"/>
  <c r="L609" i="3"/>
  <c r="M609" i="3"/>
  <c r="N609" i="3"/>
  <c r="O609" i="3"/>
  <c r="P609" i="3"/>
  <c r="Q609" i="3"/>
  <c r="R609" i="3"/>
  <c r="K610" i="3"/>
  <c r="L610" i="3"/>
  <c r="M610" i="3"/>
  <c r="N610" i="3"/>
  <c r="O610" i="3"/>
  <c r="P610" i="3"/>
  <c r="Q610" i="3"/>
  <c r="R610" i="3"/>
  <c r="K611" i="3"/>
  <c r="L611" i="3"/>
  <c r="M611" i="3"/>
  <c r="N611" i="3"/>
  <c r="O611" i="3"/>
  <c r="P611" i="3"/>
  <c r="Q611" i="3"/>
  <c r="R611" i="3"/>
  <c r="K612" i="3"/>
  <c r="L612" i="3"/>
  <c r="M612" i="3"/>
  <c r="N612" i="3"/>
  <c r="O612" i="3"/>
  <c r="P612" i="3"/>
  <c r="Q612" i="3"/>
  <c r="R612" i="3"/>
  <c r="K613" i="3"/>
  <c r="L613" i="3"/>
  <c r="M613" i="3"/>
  <c r="N613" i="3"/>
  <c r="O613" i="3"/>
  <c r="P613" i="3"/>
  <c r="Q613" i="3"/>
  <c r="R613" i="3"/>
  <c r="K614" i="3"/>
  <c r="L614" i="3"/>
  <c r="M614" i="3"/>
  <c r="N614" i="3"/>
  <c r="O614" i="3"/>
  <c r="P614" i="3"/>
  <c r="Q614" i="3"/>
  <c r="R614" i="3"/>
  <c r="K615" i="3"/>
  <c r="L615" i="3"/>
  <c r="M615" i="3"/>
  <c r="N615" i="3"/>
  <c r="O615" i="3"/>
  <c r="P615" i="3"/>
  <c r="Q615" i="3"/>
  <c r="R615" i="3"/>
  <c r="K616" i="3"/>
  <c r="L616" i="3"/>
  <c r="M616" i="3"/>
  <c r="N616" i="3"/>
  <c r="O616" i="3"/>
  <c r="P616" i="3"/>
  <c r="Q616" i="3"/>
  <c r="R616" i="3"/>
  <c r="K617" i="3"/>
  <c r="L617" i="3"/>
  <c r="M617" i="3"/>
  <c r="N617" i="3"/>
  <c r="O617" i="3"/>
  <c r="P617" i="3"/>
  <c r="Q617" i="3"/>
  <c r="R617" i="3"/>
  <c r="K618" i="3"/>
  <c r="L618" i="3"/>
  <c r="M618" i="3"/>
  <c r="N618" i="3"/>
  <c r="O618" i="3"/>
  <c r="P618" i="3"/>
  <c r="Q618" i="3"/>
  <c r="R618" i="3"/>
  <c r="K619" i="3"/>
  <c r="L619" i="3"/>
  <c r="M619" i="3"/>
  <c r="N619" i="3"/>
  <c r="O619" i="3"/>
  <c r="P619" i="3"/>
  <c r="Q619" i="3"/>
  <c r="R619" i="3"/>
  <c r="K620" i="3"/>
  <c r="L620" i="3"/>
  <c r="M620" i="3"/>
  <c r="N620" i="3"/>
  <c r="O620" i="3"/>
  <c r="P620" i="3"/>
  <c r="Q620" i="3"/>
  <c r="R620" i="3"/>
  <c r="K621" i="3"/>
  <c r="L621" i="3"/>
  <c r="M621" i="3"/>
  <c r="N621" i="3"/>
  <c r="O621" i="3"/>
  <c r="P621" i="3"/>
  <c r="Q621" i="3"/>
  <c r="R621" i="3"/>
  <c r="K622" i="3"/>
  <c r="L622" i="3"/>
  <c r="M622" i="3"/>
  <c r="N622" i="3"/>
  <c r="O622" i="3"/>
  <c r="P622" i="3"/>
  <c r="Q622" i="3"/>
  <c r="R622" i="3"/>
  <c r="K623" i="3"/>
  <c r="L623" i="3"/>
  <c r="M623" i="3"/>
  <c r="N623" i="3"/>
  <c r="O623" i="3"/>
  <c r="P623" i="3"/>
  <c r="Q623" i="3"/>
  <c r="R623" i="3"/>
  <c r="K624" i="3"/>
  <c r="L624" i="3"/>
  <c r="M624" i="3"/>
  <c r="N624" i="3"/>
  <c r="O624" i="3"/>
  <c r="P624" i="3"/>
  <c r="Q624" i="3"/>
  <c r="R624" i="3"/>
  <c r="K625" i="3"/>
  <c r="L625" i="3"/>
  <c r="M625" i="3"/>
  <c r="N625" i="3"/>
  <c r="O625" i="3"/>
  <c r="P625" i="3"/>
  <c r="Q625" i="3"/>
  <c r="R625" i="3"/>
  <c r="K626" i="3"/>
  <c r="L626" i="3"/>
  <c r="M626" i="3"/>
  <c r="N626" i="3"/>
  <c r="O626" i="3"/>
  <c r="P626" i="3"/>
  <c r="Q626" i="3"/>
  <c r="R626" i="3"/>
  <c r="K627" i="3"/>
  <c r="L627" i="3"/>
  <c r="M627" i="3"/>
  <c r="N627" i="3"/>
  <c r="O627" i="3"/>
  <c r="P627" i="3"/>
  <c r="Q627" i="3"/>
  <c r="R627" i="3"/>
  <c r="K628" i="3"/>
  <c r="L628" i="3"/>
  <c r="M628" i="3"/>
  <c r="N628" i="3"/>
  <c r="O628" i="3"/>
  <c r="P628" i="3"/>
  <c r="Q628" i="3"/>
  <c r="R628" i="3"/>
  <c r="K629" i="3"/>
  <c r="L629" i="3"/>
  <c r="M629" i="3"/>
  <c r="N629" i="3"/>
  <c r="O629" i="3"/>
  <c r="P629" i="3"/>
  <c r="Q629" i="3"/>
  <c r="R629" i="3"/>
  <c r="K630" i="3"/>
  <c r="L630" i="3"/>
  <c r="M630" i="3"/>
  <c r="N630" i="3"/>
  <c r="O630" i="3"/>
  <c r="P630" i="3"/>
  <c r="Q630" i="3"/>
  <c r="R630" i="3"/>
  <c r="K631" i="3"/>
  <c r="L631" i="3"/>
  <c r="M631" i="3"/>
  <c r="N631" i="3"/>
  <c r="O631" i="3"/>
  <c r="P631" i="3"/>
  <c r="Q631" i="3"/>
  <c r="R631" i="3"/>
  <c r="K632" i="3"/>
  <c r="L632" i="3"/>
  <c r="M632" i="3"/>
  <c r="N632" i="3"/>
  <c r="O632" i="3"/>
  <c r="P632" i="3"/>
  <c r="Q632" i="3"/>
  <c r="R632" i="3"/>
  <c r="K633" i="3"/>
  <c r="L633" i="3"/>
  <c r="M633" i="3"/>
  <c r="N633" i="3"/>
  <c r="O633" i="3"/>
  <c r="P633" i="3"/>
  <c r="Q633" i="3"/>
  <c r="R633" i="3"/>
  <c r="K634" i="3"/>
  <c r="L634" i="3"/>
  <c r="M634" i="3"/>
  <c r="N634" i="3"/>
  <c r="O634" i="3"/>
  <c r="P634" i="3"/>
  <c r="Q634" i="3"/>
  <c r="R634" i="3"/>
  <c r="K635" i="3"/>
  <c r="L635" i="3"/>
  <c r="M635" i="3"/>
  <c r="N635" i="3"/>
  <c r="O635" i="3"/>
  <c r="P635" i="3"/>
  <c r="Q635" i="3"/>
  <c r="R635" i="3"/>
  <c r="K636" i="3"/>
  <c r="L636" i="3"/>
  <c r="M636" i="3"/>
  <c r="N636" i="3"/>
  <c r="O636" i="3"/>
  <c r="P636" i="3"/>
  <c r="Q636" i="3"/>
  <c r="R636" i="3"/>
  <c r="K637" i="3"/>
  <c r="L637" i="3"/>
  <c r="M637" i="3"/>
  <c r="N637" i="3"/>
  <c r="O637" i="3"/>
  <c r="P637" i="3"/>
  <c r="Q637" i="3"/>
  <c r="R637" i="3"/>
  <c r="K638" i="3"/>
  <c r="L638" i="3"/>
  <c r="M638" i="3"/>
  <c r="N638" i="3"/>
  <c r="O638" i="3"/>
  <c r="P638" i="3"/>
  <c r="Q638" i="3"/>
  <c r="R638" i="3"/>
  <c r="K639" i="3"/>
  <c r="L639" i="3"/>
  <c r="M639" i="3"/>
  <c r="N639" i="3"/>
  <c r="O639" i="3"/>
  <c r="P639" i="3"/>
  <c r="Q639" i="3"/>
  <c r="R639" i="3"/>
  <c r="K640" i="3"/>
  <c r="L640" i="3"/>
  <c r="M640" i="3"/>
  <c r="N640" i="3"/>
  <c r="O640" i="3"/>
  <c r="P640" i="3"/>
  <c r="Q640" i="3"/>
  <c r="R640" i="3"/>
  <c r="K641" i="3"/>
  <c r="L641" i="3"/>
  <c r="M641" i="3"/>
  <c r="N641" i="3"/>
  <c r="O641" i="3"/>
  <c r="P641" i="3"/>
  <c r="Q641" i="3"/>
  <c r="R641" i="3"/>
  <c r="K642" i="3"/>
  <c r="L642" i="3"/>
  <c r="M642" i="3"/>
  <c r="N642" i="3"/>
  <c r="O642" i="3"/>
  <c r="P642" i="3"/>
  <c r="Q642" i="3"/>
  <c r="R642" i="3"/>
  <c r="K643" i="3"/>
  <c r="L643" i="3"/>
  <c r="M643" i="3"/>
  <c r="N643" i="3"/>
  <c r="O643" i="3"/>
  <c r="P643" i="3"/>
  <c r="Q643" i="3"/>
  <c r="R643" i="3"/>
  <c r="K644" i="3"/>
  <c r="L644" i="3"/>
  <c r="M644" i="3"/>
  <c r="N644" i="3"/>
  <c r="O644" i="3"/>
  <c r="P644" i="3"/>
  <c r="Q644" i="3"/>
  <c r="R644" i="3"/>
  <c r="K645" i="3"/>
  <c r="L645" i="3"/>
  <c r="M645" i="3"/>
  <c r="N645" i="3"/>
  <c r="O645" i="3"/>
  <c r="P645" i="3"/>
  <c r="Q645" i="3"/>
  <c r="R645" i="3"/>
  <c r="K646" i="3"/>
  <c r="L646" i="3"/>
  <c r="M646" i="3"/>
  <c r="N646" i="3"/>
  <c r="O646" i="3"/>
  <c r="P646" i="3"/>
  <c r="Q646" i="3"/>
  <c r="R646" i="3"/>
  <c r="K647" i="3"/>
  <c r="L647" i="3"/>
  <c r="M647" i="3"/>
  <c r="N647" i="3"/>
  <c r="O647" i="3"/>
  <c r="P647" i="3"/>
  <c r="Q647" i="3"/>
  <c r="R647" i="3"/>
  <c r="K648" i="3"/>
  <c r="L648" i="3"/>
  <c r="M648" i="3"/>
  <c r="N648" i="3"/>
  <c r="O648" i="3"/>
  <c r="P648" i="3"/>
  <c r="Q648" i="3"/>
  <c r="R648" i="3"/>
  <c r="K649" i="3"/>
  <c r="L649" i="3"/>
  <c r="M649" i="3"/>
  <c r="N649" i="3"/>
  <c r="O649" i="3"/>
  <c r="P649" i="3"/>
  <c r="Q649" i="3"/>
  <c r="R649" i="3"/>
  <c r="K650" i="3"/>
  <c r="L650" i="3"/>
  <c r="M650" i="3"/>
  <c r="N650" i="3"/>
  <c r="O650" i="3"/>
  <c r="P650" i="3"/>
  <c r="Q650" i="3"/>
  <c r="R650" i="3"/>
  <c r="K651" i="3"/>
  <c r="L651" i="3"/>
  <c r="M651" i="3"/>
  <c r="N651" i="3"/>
  <c r="O651" i="3"/>
  <c r="P651" i="3"/>
  <c r="Q651" i="3"/>
  <c r="R651" i="3"/>
  <c r="K652" i="3"/>
  <c r="L652" i="3"/>
  <c r="M652" i="3"/>
  <c r="N652" i="3"/>
  <c r="O652" i="3"/>
  <c r="P652" i="3"/>
  <c r="Q652" i="3"/>
  <c r="R652" i="3"/>
  <c r="K653" i="3"/>
  <c r="L653" i="3"/>
  <c r="M653" i="3"/>
  <c r="N653" i="3"/>
  <c r="O653" i="3"/>
  <c r="P653" i="3"/>
  <c r="Q653" i="3"/>
  <c r="R653" i="3"/>
  <c r="K654" i="3"/>
  <c r="L654" i="3"/>
  <c r="M654" i="3"/>
  <c r="N654" i="3"/>
  <c r="O654" i="3"/>
  <c r="P654" i="3"/>
  <c r="Q654" i="3"/>
  <c r="R654" i="3"/>
  <c r="K655" i="3"/>
  <c r="L655" i="3"/>
  <c r="M655" i="3"/>
  <c r="N655" i="3"/>
  <c r="O655" i="3"/>
  <c r="P655" i="3"/>
  <c r="Q655" i="3"/>
  <c r="R655" i="3"/>
  <c r="K656" i="3"/>
  <c r="L656" i="3"/>
  <c r="M656" i="3"/>
  <c r="N656" i="3"/>
  <c r="O656" i="3"/>
  <c r="P656" i="3"/>
  <c r="Q656" i="3"/>
  <c r="R656" i="3"/>
  <c r="K657" i="3"/>
  <c r="L657" i="3"/>
  <c r="M657" i="3"/>
  <c r="N657" i="3"/>
  <c r="O657" i="3"/>
  <c r="P657" i="3"/>
  <c r="Q657" i="3"/>
  <c r="R657" i="3"/>
  <c r="K658" i="3"/>
  <c r="L658" i="3"/>
  <c r="M658" i="3"/>
  <c r="N658" i="3"/>
  <c r="O658" i="3"/>
  <c r="P658" i="3"/>
  <c r="Q658" i="3"/>
  <c r="R658" i="3"/>
  <c r="K659" i="3"/>
  <c r="L659" i="3"/>
  <c r="M659" i="3"/>
  <c r="N659" i="3"/>
  <c r="O659" i="3"/>
  <c r="P659" i="3"/>
  <c r="Q659" i="3"/>
  <c r="R659" i="3"/>
  <c r="K660" i="3"/>
  <c r="L660" i="3"/>
  <c r="M660" i="3"/>
  <c r="N660" i="3"/>
  <c r="O660" i="3"/>
  <c r="P660" i="3"/>
  <c r="Q660" i="3"/>
  <c r="R660" i="3"/>
  <c r="K661" i="3"/>
  <c r="L661" i="3"/>
  <c r="M661" i="3"/>
  <c r="N661" i="3"/>
  <c r="O661" i="3"/>
  <c r="P661" i="3"/>
  <c r="Q661" i="3"/>
  <c r="R661" i="3"/>
  <c r="K662" i="3"/>
  <c r="L662" i="3"/>
  <c r="M662" i="3"/>
  <c r="N662" i="3"/>
  <c r="O662" i="3"/>
  <c r="P662" i="3"/>
  <c r="Q662" i="3"/>
  <c r="R662" i="3"/>
  <c r="K663" i="3"/>
  <c r="L663" i="3"/>
  <c r="M663" i="3"/>
  <c r="N663" i="3"/>
  <c r="O663" i="3"/>
  <c r="P663" i="3"/>
  <c r="Q663" i="3"/>
  <c r="R663" i="3"/>
  <c r="K664" i="3"/>
  <c r="L664" i="3"/>
  <c r="M664" i="3"/>
  <c r="N664" i="3"/>
  <c r="O664" i="3"/>
  <c r="P664" i="3"/>
  <c r="Q664" i="3"/>
  <c r="R664" i="3"/>
  <c r="K665" i="3"/>
  <c r="L665" i="3"/>
  <c r="M665" i="3"/>
  <c r="N665" i="3"/>
  <c r="O665" i="3"/>
  <c r="P665" i="3"/>
  <c r="Q665" i="3"/>
  <c r="R665" i="3"/>
  <c r="K666" i="3"/>
  <c r="L666" i="3"/>
  <c r="M666" i="3"/>
  <c r="N666" i="3"/>
  <c r="O666" i="3"/>
  <c r="P666" i="3"/>
  <c r="Q666" i="3"/>
  <c r="R666" i="3"/>
  <c r="K667" i="3"/>
  <c r="L667" i="3"/>
  <c r="M667" i="3"/>
  <c r="N667" i="3"/>
  <c r="O667" i="3"/>
  <c r="P667" i="3"/>
  <c r="Q667" i="3"/>
  <c r="R667" i="3"/>
  <c r="K668" i="3"/>
  <c r="L668" i="3"/>
  <c r="M668" i="3"/>
  <c r="N668" i="3"/>
  <c r="O668" i="3"/>
  <c r="P668" i="3"/>
  <c r="Q668" i="3"/>
  <c r="R668" i="3"/>
  <c r="K669" i="3"/>
  <c r="L669" i="3"/>
  <c r="M669" i="3"/>
  <c r="N669" i="3"/>
  <c r="O669" i="3"/>
  <c r="P669" i="3"/>
  <c r="Q669" i="3"/>
  <c r="R669" i="3"/>
  <c r="K670" i="3"/>
  <c r="L670" i="3"/>
  <c r="M670" i="3"/>
  <c r="N670" i="3"/>
  <c r="O670" i="3"/>
  <c r="P670" i="3"/>
  <c r="Q670" i="3"/>
  <c r="R670" i="3"/>
  <c r="K671" i="3"/>
  <c r="L671" i="3"/>
  <c r="M671" i="3"/>
  <c r="N671" i="3"/>
  <c r="O671" i="3"/>
  <c r="P671" i="3"/>
  <c r="Q671" i="3"/>
  <c r="R671" i="3"/>
  <c r="K672" i="3"/>
  <c r="L672" i="3"/>
  <c r="M672" i="3"/>
  <c r="N672" i="3"/>
  <c r="O672" i="3"/>
  <c r="P672" i="3"/>
  <c r="Q672" i="3"/>
  <c r="R672" i="3"/>
  <c r="K673" i="3"/>
  <c r="L673" i="3"/>
  <c r="M673" i="3"/>
  <c r="N673" i="3"/>
  <c r="O673" i="3"/>
  <c r="P673" i="3"/>
  <c r="Q673" i="3"/>
  <c r="R673" i="3"/>
  <c r="K674" i="3"/>
  <c r="L674" i="3"/>
  <c r="M674" i="3"/>
  <c r="N674" i="3"/>
  <c r="O674" i="3"/>
  <c r="P674" i="3"/>
  <c r="Q674" i="3"/>
  <c r="R674" i="3"/>
  <c r="K675" i="3"/>
  <c r="L675" i="3"/>
  <c r="M675" i="3"/>
  <c r="N675" i="3"/>
  <c r="O675" i="3"/>
  <c r="P675" i="3"/>
  <c r="Q675" i="3"/>
  <c r="R675" i="3"/>
  <c r="K676" i="3"/>
  <c r="L676" i="3"/>
  <c r="M676" i="3"/>
  <c r="N676" i="3"/>
  <c r="O676" i="3"/>
  <c r="P676" i="3"/>
  <c r="Q676" i="3"/>
  <c r="R676" i="3"/>
  <c r="K677" i="3"/>
  <c r="L677" i="3"/>
  <c r="M677" i="3"/>
  <c r="N677" i="3"/>
  <c r="O677" i="3"/>
  <c r="P677" i="3"/>
  <c r="Q677" i="3"/>
  <c r="R677" i="3"/>
  <c r="K678" i="3"/>
  <c r="L678" i="3"/>
  <c r="M678" i="3"/>
  <c r="N678" i="3"/>
  <c r="O678" i="3"/>
  <c r="P678" i="3"/>
  <c r="Q678" i="3"/>
  <c r="R678" i="3"/>
  <c r="K679" i="3"/>
  <c r="L679" i="3"/>
  <c r="M679" i="3"/>
  <c r="N679" i="3"/>
  <c r="O679" i="3"/>
  <c r="P679" i="3"/>
  <c r="Q679" i="3"/>
  <c r="R679" i="3"/>
  <c r="K680" i="3"/>
  <c r="L680" i="3"/>
  <c r="M680" i="3"/>
  <c r="N680" i="3"/>
  <c r="O680" i="3"/>
  <c r="P680" i="3"/>
  <c r="Q680" i="3"/>
  <c r="R680" i="3"/>
  <c r="K681" i="3"/>
  <c r="L681" i="3"/>
  <c r="M681" i="3"/>
  <c r="N681" i="3"/>
  <c r="O681" i="3"/>
  <c r="P681" i="3"/>
  <c r="Q681" i="3"/>
  <c r="R681" i="3"/>
  <c r="K682" i="3"/>
  <c r="L682" i="3"/>
  <c r="M682" i="3"/>
  <c r="N682" i="3"/>
  <c r="O682" i="3"/>
  <c r="P682" i="3"/>
  <c r="Q682" i="3"/>
  <c r="R682" i="3"/>
  <c r="K683" i="3"/>
  <c r="L683" i="3"/>
  <c r="M683" i="3"/>
  <c r="N683" i="3"/>
  <c r="O683" i="3"/>
  <c r="P683" i="3"/>
  <c r="Q683" i="3"/>
  <c r="R683" i="3"/>
  <c r="K684" i="3"/>
  <c r="L684" i="3"/>
  <c r="M684" i="3"/>
  <c r="N684" i="3"/>
  <c r="O684" i="3"/>
  <c r="P684" i="3"/>
  <c r="Q684" i="3"/>
  <c r="R684" i="3"/>
  <c r="K685" i="3"/>
  <c r="L685" i="3"/>
  <c r="M685" i="3"/>
  <c r="N685" i="3"/>
  <c r="O685" i="3"/>
  <c r="P685" i="3"/>
  <c r="Q685" i="3"/>
  <c r="R685" i="3"/>
  <c r="K686" i="3"/>
  <c r="L686" i="3"/>
  <c r="M686" i="3"/>
  <c r="N686" i="3"/>
  <c r="O686" i="3"/>
  <c r="P686" i="3"/>
  <c r="Q686" i="3"/>
  <c r="R686" i="3"/>
  <c r="K687" i="3"/>
  <c r="L687" i="3"/>
  <c r="M687" i="3"/>
  <c r="N687" i="3"/>
  <c r="O687" i="3"/>
  <c r="P687" i="3"/>
  <c r="Q687" i="3"/>
  <c r="R687" i="3"/>
  <c r="K688" i="3"/>
  <c r="L688" i="3"/>
  <c r="M688" i="3"/>
  <c r="N688" i="3"/>
  <c r="O688" i="3"/>
  <c r="P688" i="3"/>
  <c r="Q688" i="3"/>
  <c r="R688" i="3"/>
  <c r="K689" i="3"/>
  <c r="L689" i="3"/>
  <c r="M689" i="3"/>
  <c r="N689" i="3"/>
  <c r="O689" i="3"/>
  <c r="P689" i="3"/>
  <c r="Q689" i="3"/>
  <c r="R689" i="3"/>
  <c r="K690" i="3"/>
  <c r="L690" i="3"/>
  <c r="M690" i="3"/>
  <c r="N690" i="3"/>
  <c r="O690" i="3"/>
  <c r="P690" i="3"/>
  <c r="Q690" i="3"/>
  <c r="R690" i="3"/>
  <c r="K691" i="3"/>
  <c r="L691" i="3"/>
  <c r="M691" i="3"/>
  <c r="N691" i="3"/>
  <c r="O691" i="3"/>
  <c r="P691" i="3"/>
  <c r="Q691" i="3"/>
  <c r="R691" i="3"/>
  <c r="K692" i="3"/>
  <c r="L692" i="3"/>
  <c r="M692" i="3"/>
  <c r="N692" i="3"/>
  <c r="O692" i="3"/>
  <c r="P692" i="3"/>
  <c r="Q692" i="3"/>
  <c r="R692" i="3"/>
  <c r="K693" i="3"/>
  <c r="L693" i="3"/>
  <c r="M693" i="3"/>
  <c r="N693" i="3"/>
  <c r="O693" i="3"/>
  <c r="P693" i="3"/>
  <c r="Q693" i="3"/>
  <c r="R693" i="3"/>
  <c r="K694" i="3"/>
  <c r="L694" i="3"/>
  <c r="M694" i="3"/>
  <c r="N694" i="3"/>
  <c r="O694" i="3"/>
  <c r="P694" i="3"/>
  <c r="Q694" i="3"/>
  <c r="R694" i="3"/>
  <c r="K695" i="3"/>
  <c r="L695" i="3"/>
  <c r="M695" i="3"/>
  <c r="N695" i="3"/>
  <c r="O695" i="3"/>
  <c r="P695" i="3"/>
  <c r="Q695" i="3"/>
  <c r="R695" i="3"/>
  <c r="K696" i="3"/>
  <c r="L696" i="3"/>
  <c r="M696" i="3"/>
  <c r="N696" i="3"/>
  <c r="O696" i="3"/>
  <c r="P696" i="3"/>
  <c r="Q696" i="3"/>
  <c r="R696" i="3"/>
  <c r="K697" i="3"/>
  <c r="L697" i="3"/>
  <c r="M697" i="3"/>
  <c r="N697" i="3"/>
  <c r="O697" i="3"/>
  <c r="P697" i="3"/>
  <c r="Q697" i="3"/>
  <c r="R697" i="3"/>
  <c r="K698" i="3"/>
  <c r="L698" i="3"/>
  <c r="M698" i="3"/>
  <c r="N698" i="3"/>
  <c r="O698" i="3"/>
  <c r="P698" i="3"/>
  <c r="Q698" i="3"/>
  <c r="R698" i="3"/>
  <c r="K699" i="3"/>
  <c r="L699" i="3"/>
  <c r="M699" i="3"/>
  <c r="N699" i="3"/>
  <c r="O699" i="3"/>
  <c r="P699" i="3"/>
  <c r="Q699" i="3"/>
  <c r="R699" i="3"/>
  <c r="K700" i="3"/>
  <c r="L700" i="3"/>
  <c r="M700" i="3"/>
  <c r="N700" i="3"/>
  <c r="O700" i="3"/>
  <c r="P700" i="3"/>
  <c r="Q700" i="3"/>
  <c r="R700" i="3"/>
  <c r="K701" i="3"/>
  <c r="L701" i="3"/>
  <c r="M701" i="3"/>
  <c r="N701" i="3"/>
  <c r="O701" i="3"/>
  <c r="P701" i="3"/>
  <c r="Q701" i="3"/>
  <c r="R701" i="3"/>
  <c r="K702" i="3"/>
  <c r="L702" i="3"/>
  <c r="M702" i="3"/>
  <c r="N702" i="3"/>
  <c r="O702" i="3"/>
  <c r="P702" i="3"/>
  <c r="Q702" i="3"/>
  <c r="R702" i="3"/>
  <c r="K703" i="3"/>
  <c r="L703" i="3"/>
  <c r="M703" i="3"/>
  <c r="N703" i="3"/>
  <c r="O703" i="3"/>
  <c r="P703" i="3"/>
  <c r="Q703" i="3"/>
  <c r="R703" i="3"/>
  <c r="K704" i="3"/>
  <c r="L704" i="3"/>
  <c r="M704" i="3"/>
  <c r="N704" i="3"/>
  <c r="O704" i="3"/>
  <c r="P704" i="3"/>
  <c r="Q704" i="3"/>
  <c r="R704" i="3"/>
  <c r="K705" i="3"/>
  <c r="L705" i="3"/>
  <c r="M705" i="3"/>
  <c r="N705" i="3"/>
  <c r="O705" i="3"/>
  <c r="P705" i="3"/>
  <c r="Q705" i="3"/>
  <c r="R705" i="3"/>
  <c r="K706" i="3"/>
  <c r="L706" i="3"/>
  <c r="M706" i="3"/>
  <c r="N706" i="3"/>
  <c r="O706" i="3"/>
  <c r="P706" i="3"/>
  <c r="Q706" i="3"/>
  <c r="R706" i="3"/>
  <c r="K707" i="3"/>
  <c r="L707" i="3"/>
  <c r="M707" i="3"/>
  <c r="N707" i="3"/>
  <c r="O707" i="3"/>
  <c r="P707" i="3"/>
  <c r="Q707" i="3"/>
  <c r="R707" i="3"/>
  <c r="K708" i="3"/>
  <c r="L708" i="3"/>
  <c r="M708" i="3"/>
  <c r="N708" i="3"/>
  <c r="O708" i="3"/>
  <c r="P708" i="3"/>
  <c r="Q708" i="3"/>
  <c r="R708" i="3"/>
  <c r="K709" i="3"/>
  <c r="L709" i="3"/>
  <c r="M709" i="3"/>
  <c r="N709" i="3"/>
  <c r="O709" i="3"/>
  <c r="P709" i="3"/>
  <c r="Q709" i="3"/>
  <c r="R709" i="3"/>
  <c r="K710" i="3"/>
  <c r="L710" i="3"/>
  <c r="M710" i="3"/>
  <c r="N710" i="3"/>
  <c r="O710" i="3"/>
  <c r="P710" i="3"/>
  <c r="Q710" i="3"/>
  <c r="R710" i="3"/>
  <c r="K711" i="3"/>
  <c r="L711" i="3"/>
  <c r="M711" i="3"/>
  <c r="N711" i="3"/>
  <c r="O711" i="3"/>
  <c r="P711" i="3"/>
  <c r="Q711" i="3"/>
  <c r="R711" i="3"/>
  <c r="K712" i="3"/>
  <c r="L712" i="3"/>
  <c r="M712" i="3"/>
  <c r="N712" i="3"/>
  <c r="O712" i="3"/>
  <c r="P712" i="3"/>
  <c r="Q712" i="3"/>
  <c r="R712" i="3"/>
  <c r="K713" i="3"/>
  <c r="L713" i="3"/>
  <c r="M713" i="3"/>
  <c r="N713" i="3"/>
  <c r="O713" i="3"/>
  <c r="P713" i="3"/>
  <c r="Q713" i="3"/>
  <c r="R713" i="3"/>
  <c r="K714" i="3"/>
  <c r="L714" i="3"/>
  <c r="M714" i="3"/>
  <c r="N714" i="3"/>
  <c r="O714" i="3"/>
  <c r="P714" i="3"/>
  <c r="Q714" i="3"/>
  <c r="R714" i="3"/>
  <c r="K715" i="3"/>
  <c r="L715" i="3"/>
  <c r="M715" i="3"/>
  <c r="N715" i="3"/>
  <c r="O715" i="3"/>
  <c r="P715" i="3"/>
  <c r="Q715" i="3"/>
  <c r="R715" i="3"/>
  <c r="K716" i="3"/>
  <c r="L716" i="3"/>
  <c r="M716" i="3"/>
  <c r="N716" i="3"/>
  <c r="O716" i="3"/>
  <c r="P716" i="3"/>
  <c r="Q716" i="3"/>
  <c r="R716" i="3"/>
  <c r="K717" i="3"/>
  <c r="L717" i="3"/>
  <c r="M717" i="3"/>
  <c r="N717" i="3"/>
  <c r="O717" i="3"/>
  <c r="P717" i="3"/>
  <c r="Q717" i="3"/>
  <c r="R717" i="3"/>
  <c r="K718" i="3"/>
  <c r="L718" i="3"/>
  <c r="M718" i="3"/>
  <c r="N718" i="3"/>
  <c r="O718" i="3"/>
  <c r="P718" i="3"/>
  <c r="Q718" i="3"/>
  <c r="R718" i="3"/>
  <c r="K719" i="3"/>
  <c r="L719" i="3"/>
  <c r="M719" i="3"/>
  <c r="N719" i="3"/>
  <c r="O719" i="3"/>
  <c r="P719" i="3"/>
  <c r="Q719" i="3"/>
  <c r="R719" i="3"/>
  <c r="K720" i="3"/>
  <c r="L720" i="3"/>
  <c r="M720" i="3"/>
  <c r="N720" i="3"/>
  <c r="O720" i="3"/>
  <c r="P720" i="3"/>
  <c r="Q720" i="3"/>
  <c r="R720" i="3"/>
  <c r="K721" i="3"/>
  <c r="L721" i="3"/>
  <c r="M721" i="3"/>
  <c r="N721" i="3"/>
  <c r="O721" i="3"/>
  <c r="P721" i="3"/>
  <c r="Q721" i="3"/>
  <c r="R721" i="3"/>
  <c r="K722" i="3"/>
  <c r="L722" i="3"/>
  <c r="M722" i="3"/>
  <c r="N722" i="3"/>
  <c r="O722" i="3"/>
  <c r="P722" i="3"/>
  <c r="Q722" i="3"/>
  <c r="R722" i="3"/>
  <c r="K723" i="3"/>
  <c r="L723" i="3"/>
  <c r="M723" i="3"/>
  <c r="N723" i="3"/>
  <c r="O723" i="3"/>
  <c r="P723" i="3"/>
  <c r="Q723" i="3"/>
  <c r="R723" i="3"/>
  <c r="K724" i="3"/>
  <c r="L724" i="3"/>
  <c r="M724" i="3"/>
  <c r="N724" i="3"/>
  <c r="O724" i="3"/>
  <c r="P724" i="3"/>
  <c r="Q724" i="3"/>
  <c r="R724" i="3"/>
  <c r="K725" i="3"/>
  <c r="L725" i="3"/>
  <c r="M725" i="3"/>
  <c r="N725" i="3"/>
  <c r="O725" i="3"/>
  <c r="P725" i="3"/>
  <c r="Q725" i="3"/>
  <c r="R725" i="3"/>
  <c r="K726" i="3"/>
  <c r="L726" i="3"/>
  <c r="M726" i="3"/>
  <c r="N726" i="3"/>
  <c r="O726" i="3"/>
  <c r="P726" i="3"/>
  <c r="Q726" i="3"/>
  <c r="R726" i="3"/>
  <c r="K727" i="3"/>
  <c r="L727" i="3"/>
  <c r="M727" i="3"/>
  <c r="N727" i="3"/>
  <c r="O727" i="3"/>
  <c r="P727" i="3"/>
  <c r="Q727" i="3"/>
  <c r="R727" i="3"/>
  <c r="K728" i="3"/>
  <c r="L728" i="3"/>
  <c r="M728" i="3"/>
  <c r="N728" i="3"/>
  <c r="O728" i="3"/>
  <c r="P728" i="3"/>
  <c r="Q728" i="3"/>
  <c r="R728" i="3"/>
  <c r="K729" i="3"/>
  <c r="L729" i="3"/>
  <c r="M729" i="3"/>
  <c r="N729" i="3"/>
  <c r="O729" i="3"/>
  <c r="P729" i="3"/>
  <c r="Q729" i="3"/>
  <c r="R729" i="3"/>
  <c r="K730" i="3"/>
  <c r="L730" i="3"/>
  <c r="M730" i="3"/>
  <c r="N730" i="3"/>
  <c r="O730" i="3"/>
  <c r="P730" i="3"/>
  <c r="Q730" i="3"/>
  <c r="R730" i="3"/>
  <c r="K731" i="3"/>
  <c r="L731" i="3"/>
  <c r="M731" i="3"/>
  <c r="N731" i="3"/>
  <c r="O731" i="3"/>
  <c r="P731" i="3"/>
  <c r="Q731" i="3"/>
  <c r="R731" i="3"/>
  <c r="K732" i="3"/>
  <c r="L732" i="3"/>
  <c r="M732" i="3"/>
  <c r="N732" i="3"/>
  <c r="O732" i="3"/>
  <c r="P732" i="3"/>
  <c r="Q732" i="3"/>
  <c r="R732" i="3"/>
  <c r="K733" i="3"/>
  <c r="L733" i="3"/>
  <c r="M733" i="3"/>
  <c r="N733" i="3"/>
  <c r="O733" i="3"/>
  <c r="P733" i="3"/>
  <c r="Q733" i="3"/>
  <c r="R733" i="3"/>
  <c r="K734" i="3"/>
  <c r="L734" i="3"/>
  <c r="M734" i="3"/>
  <c r="N734" i="3"/>
  <c r="O734" i="3"/>
  <c r="P734" i="3"/>
  <c r="Q734" i="3"/>
  <c r="R734" i="3"/>
  <c r="K735" i="3"/>
  <c r="L735" i="3"/>
  <c r="M735" i="3"/>
  <c r="N735" i="3"/>
  <c r="O735" i="3"/>
  <c r="P735" i="3"/>
  <c r="Q735" i="3"/>
  <c r="R735" i="3"/>
  <c r="K736" i="3"/>
  <c r="L736" i="3"/>
  <c r="M736" i="3"/>
  <c r="N736" i="3"/>
  <c r="O736" i="3"/>
  <c r="P736" i="3"/>
  <c r="Q736" i="3"/>
  <c r="R736" i="3"/>
  <c r="K737" i="3"/>
  <c r="L737" i="3"/>
  <c r="M737" i="3"/>
  <c r="N737" i="3"/>
  <c r="O737" i="3"/>
  <c r="P737" i="3"/>
  <c r="Q737" i="3"/>
  <c r="R737" i="3"/>
  <c r="K738" i="3"/>
  <c r="L738" i="3"/>
  <c r="M738" i="3"/>
  <c r="N738" i="3"/>
  <c r="O738" i="3"/>
  <c r="P738" i="3"/>
  <c r="Q738" i="3"/>
  <c r="R738" i="3"/>
  <c r="K739" i="3"/>
  <c r="L739" i="3"/>
  <c r="M739" i="3"/>
  <c r="N739" i="3"/>
  <c r="O739" i="3"/>
  <c r="P739" i="3"/>
  <c r="Q739" i="3"/>
  <c r="R739" i="3"/>
  <c r="K740" i="3"/>
  <c r="L740" i="3"/>
  <c r="M740" i="3"/>
  <c r="N740" i="3"/>
  <c r="O740" i="3"/>
  <c r="P740" i="3"/>
  <c r="Q740" i="3"/>
  <c r="R740" i="3"/>
  <c r="K741" i="3"/>
  <c r="L741" i="3"/>
  <c r="M741" i="3"/>
  <c r="N741" i="3"/>
  <c r="O741" i="3"/>
  <c r="P741" i="3"/>
  <c r="Q741" i="3"/>
  <c r="R741" i="3"/>
  <c r="K742" i="3"/>
  <c r="L742" i="3"/>
  <c r="M742" i="3"/>
  <c r="N742" i="3"/>
  <c r="O742" i="3"/>
  <c r="P742" i="3"/>
  <c r="Q742" i="3"/>
  <c r="R742" i="3"/>
  <c r="K743" i="3"/>
  <c r="L743" i="3"/>
  <c r="M743" i="3"/>
  <c r="N743" i="3"/>
  <c r="O743" i="3"/>
  <c r="P743" i="3"/>
  <c r="Q743" i="3"/>
  <c r="R743" i="3"/>
  <c r="K744" i="3"/>
  <c r="L744" i="3"/>
  <c r="M744" i="3"/>
  <c r="N744" i="3"/>
  <c r="O744" i="3"/>
  <c r="P744" i="3"/>
  <c r="Q744" i="3"/>
  <c r="R744" i="3"/>
  <c r="K745" i="3"/>
  <c r="L745" i="3"/>
  <c r="M745" i="3"/>
  <c r="N745" i="3"/>
  <c r="O745" i="3"/>
  <c r="P745" i="3"/>
  <c r="Q745" i="3"/>
  <c r="R745" i="3"/>
  <c r="K746" i="3"/>
  <c r="L746" i="3"/>
  <c r="M746" i="3"/>
  <c r="N746" i="3"/>
  <c r="O746" i="3"/>
  <c r="P746" i="3"/>
  <c r="Q746" i="3"/>
  <c r="R746" i="3"/>
  <c r="K747" i="3"/>
  <c r="L747" i="3"/>
  <c r="M747" i="3"/>
  <c r="N747" i="3"/>
  <c r="O747" i="3"/>
  <c r="P747" i="3"/>
  <c r="Q747" i="3"/>
  <c r="R747" i="3"/>
  <c r="K748" i="3"/>
  <c r="L748" i="3"/>
  <c r="M748" i="3"/>
  <c r="N748" i="3"/>
  <c r="O748" i="3"/>
  <c r="P748" i="3"/>
  <c r="Q748" i="3"/>
  <c r="R748" i="3"/>
  <c r="K749" i="3"/>
  <c r="L749" i="3"/>
  <c r="M749" i="3"/>
  <c r="N749" i="3"/>
  <c r="O749" i="3"/>
  <c r="P749" i="3"/>
  <c r="Q749" i="3"/>
  <c r="R749" i="3"/>
  <c r="K750" i="3"/>
  <c r="L750" i="3"/>
  <c r="M750" i="3"/>
  <c r="N750" i="3"/>
  <c r="O750" i="3"/>
  <c r="P750" i="3"/>
  <c r="Q750" i="3"/>
  <c r="R750" i="3"/>
  <c r="K751" i="3"/>
  <c r="L751" i="3"/>
  <c r="M751" i="3"/>
  <c r="N751" i="3"/>
  <c r="O751" i="3"/>
  <c r="P751" i="3"/>
  <c r="Q751" i="3"/>
  <c r="R751" i="3"/>
  <c r="K752" i="3"/>
  <c r="L752" i="3"/>
  <c r="M752" i="3"/>
  <c r="N752" i="3"/>
  <c r="O752" i="3"/>
  <c r="P752" i="3"/>
  <c r="Q752" i="3"/>
  <c r="R752" i="3"/>
  <c r="K753" i="3"/>
  <c r="L753" i="3"/>
  <c r="M753" i="3"/>
  <c r="N753" i="3"/>
  <c r="O753" i="3"/>
  <c r="P753" i="3"/>
  <c r="Q753" i="3"/>
  <c r="R753" i="3"/>
  <c r="K754" i="3"/>
  <c r="L754" i="3"/>
  <c r="M754" i="3"/>
  <c r="N754" i="3"/>
  <c r="O754" i="3"/>
  <c r="P754" i="3"/>
  <c r="Q754" i="3"/>
  <c r="R754" i="3"/>
  <c r="K755" i="3"/>
  <c r="L755" i="3"/>
  <c r="M755" i="3"/>
  <c r="N755" i="3"/>
  <c r="O755" i="3"/>
  <c r="P755" i="3"/>
  <c r="Q755" i="3"/>
  <c r="R755" i="3"/>
  <c r="K756" i="3"/>
  <c r="L756" i="3"/>
  <c r="M756" i="3"/>
  <c r="N756" i="3"/>
  <c r="O756" i="3"/>
  <c r="P756" i="3"/>
  <c r="Q756" i="3"/>
  <c r="R756" i="3"/>
  <c r="K757" i="3"/>
  <c r="L757" i="3"/>
  <c r="M757" i="3"/>
  <c r="N757" i="3"/>
  <c r="O757" i="3"/>
  <c r="P757" i="3"/>
  <c r="Q757" i="3"/>
  <c r="R757" i="3"/>
  <c r="K758" i="3"/>
  <c r="L758" i="3"/>
  <c r="M758" i="3"/>
  <c r="N758" i="3"/>
  <c r="O758" i="3"/>
  <c r="P758" i="3"/>
  <c r="Q758" i="3"/>
  <c r="R758" i="3"/>
  <c r="K759" i="3"/>
  <c r="L759" i="3"/>
  <c r="M759" i="3"/>
  <c r="N759" i="3"/>
  <c r="O759" i="3"/>
  <c r="P759" i="3"/>
  <c r="Q759" i="3"/>
  <c r="R759" i="3"/>
  <c r="K760" i="3"/>
  <c r="L760" i="3"/>
  <c r="M760" i="3"/>
  <c r="N760" i="3"/>
  <c r="O760" i="3"/>
  <c r="P760" i="3"/>
  <c r="Q760" i="3"/>
  <c r="R760" i="3"/>
  <c r="K761" i="3"/>
  <c r="L761" i="3"/>
  <c r="M761" i="3"/>
  <c r="N761" i="3"/>
  <c r="O761" i="3"/>
  <c r="P761" i="3"/>
  <c r="Q761" i="3"/>
  <c r="R761" i="3"/>
  <c r="K762" i="3"/>
  <c r="L762" i="3"/>
  <c r="M762" i="3"/>
  <c r="N762" i="3"/>
  <c r="O762" i="3"/>
  <c r="P762" i="3"/>
  <c r="Q762" i="3"/>
  <c r="R762" i="3"/>
  <c r="K763" i="3"/>
  <c r="L763" i="3"/>
  <c r="M763" i="3"/>
  <c r="N763" i="3"/>
  <c r="O763" i="3"/>
  <c r="P763" i="3"/>
  <c r="Q763" i="3"/>
  <c r="R763" i="3"/>
  <c r="K764" i="3"/>
  <c r="L764" i="3"/>
  <c r="M764" i="3"/>
  <c r="N764" i="3"/>
  <c r="O764" i="3"/>
  <c r="P764" i="3"/>
  <c r="Q764" i="3"/>
  <c r="R764" i="3"/>
  <c r="K765" i="3"/>
  <c r="L765" i="3"/>
  <c r="M765" i="3"/>
  <c r="N765" i="3"/>
  <c r="O765" i="3"/>
  <c r="P765" i="3"/>
  <c r="Q765" i="3"/>
  <c r="R765" i="3"/>
  <c r="K766" i="3"/>
  <c r="L766" i="3"/>
  <c r="M766" i="3"/>
  <c r="N766" i="3"/>
  <c r="O766" i="3"/>
  <c r="P766" i="3"/>
  <c r="Q766" i="3"/>
  <c r="R766" i="3"/>
  <c r="K767" i="3"/>
  <c r="L767" i="3"/>
  <c r="M767" i="3"/>
  <c r="N767" i="3"/>
  <c r="O767" i="3"/>
  <c r="P767" i="3"/>
  <c r="Q767" i="3"/>
  <c r="R767" i="3"/>
  <c r="K768" i="3"/>
  <c r="L768" i="3"/>
  <c r="M768" i="3"/>
  <c r="N768" i="3"/>
  <c r="O768" i="3"/>
  <c r="P768" i="3"/>
  <c r="Q768" i="3"/>
  <c r="R768" i="3"/>
  <c r="K769" i="3"/>
  <c r="L769" i="3"/>
  <c r="M769" i="3"/>
  <c r="N769" i="3"/>
  <c r="O769" i="3"/>
  <c r="P769" i="3"/>
  <c r="Q769" i="3"/>
  <c r="R769" i="3"/>
  <c r="K770" i="3"/>
  <c r="L770" i="3"/>
  <c r="M770" i="3"/>
  <c r="N770" i="3"/>
  <c r="O770" i="3"/>
  <c r="P770" i="3"/>
  <c r="Q770" i="3"/>
  <c r="R770" i="3"/>
  <c r="K771" i="3"/>
  <c r="L771" i="3"/>
  <c r="M771" i="3"/>
  <c r="N771" i="3"/>
  <c r="O771" i="3"/>
  <c r="P771" i="3"/>
  <c r="Q771" i="3"/>
  <c r="R771" i="3"/>
  <c r="K772" i="3"/>
  <c r="L772" i="3"/>
  <c r="M772" i="3"/>
  <c r="N772" i="3"/>
  <c r="O772" i="3"/>
  <c r="P772" i="3"/>
  <c r="Q772" i="3"/>
  <c r="R772" i="3"/>
  <c r="K773" i="3"/>
  <c r="L773" i="3"/>
  <c r="M773" i="3"/>
  <c r="N773" i="3"/>
  <c r="O773" i="3"/>
  <c r="P773" i="3"/>
  <c r="Q773" i="3"/>
  <c r="R773" i="3"/>
  <c r="K774" i="3"/>
  <c r="L774" i="3"/>
  <c r="M774" i="3"/>
  <c r="N774" i="3"/>
  <c r="O774" i="3"/>
  <c r="P774" i="3"/>
  <c r="Q774" i="3"/>
  <c r="R774" i="3"/>
  <c r="K775" i="3"/>
  <c r="L775" i="3"/>
  <c r="M775" i="3"/>
  <c r="N775" i="3"/>
  <c r="O775" i="3"/>
  <c r="P775" i="3"/>
  <c r="Q775" i="3"/>
  <c r="R775" i="3"/>
  <c r="K776" i="3"/>
  <c r="L776" i="3"/>
  <c r="M776" i="3"/>
  <c r="N776" i="3"/>
  <c r="O776" i="3"/>
  <c r="P776" i="3"/>
  <c r="Q776" i="3"/>
  <c r="R776" i="3"/>
  <c r="K777" i="3"/>
  <c r="L777" i="3"/>
  <c r="M777" i="3"/>
  <c r="N777" i="3"/>
  <c r="O777" i="3"/>
  <c r="P777" i="3"/>
  <c r="Q777" i="3"/>
  <c r="R777" i="3"/>
  <c r="K778" i="3"/>
  <c r="L778" i="3"/>
  <c r="M778" i="3"/>
  <c r="N778" i="3"/>
  <c r="O778" i="3"/>
  <c r="P778" i="3"/>
  <c r="Q778" i="3"/>
  <c r="R778" i="3"/>
  <c r="K779" i="3"/>
  <c r="L779" i="3"/>
  <c r="M779" i="3"/>
  <c r="N779" i="3"/>
  <c r="O779" i="3"/>
  <c r="P779" i="3"/>
  <c r="Q779" i="3"/>
  <c r="R779" i="3"/>
  <c r="K780" i="3"/>
  <c r="L780" i="3"/>
  <c r="M780" i="3"/>
  <c r="N780" i="3"/>
  <c r="O780" i="3"/>
  <c r="P780" i="3"/>
  <c r="Q780" i="3"/>
  <c r="R780" i="3"/>
  <c r="K781" i="3"/>
  <c r="L781" i="3"/>
  <c r="M781" i="3"/>
  <c r="N781" i="3"/>
  <c r="O781" i="3"/>
  <c r="P781" i="3"/>
  <c r="Q781" i="3"/>
  <c r="R781" i="3"/>
  <c r="K782" i="3"/>
  <c r="L782" i="3"/>
  <c r="M782" i="3"/>
  <c r="N782" i="3"/>
  <c r="O782" i="3"/>
  <c r="P782" i="3"/>
  <c r="Q782" i="3"/>
  <c r="R782" i="3"/>
  <c r="K783" i="3"/>
  <c r="L783" i="3"/>
  <c r="M783" i="3"/>
  <c r="N783" i="3"/>
  <c r="O783" i="3"/>
  <c r="P783" i="3"/>
  <c r="Q783" i="3"/>
  <c r="R783" i="3"/>
  <c r="K784" i="3"/>
  <c r="L784" i="3"/>
  <c r="M784" i="3"/>
  <c r="N784" i="3"/>
  <c r="O784" i="3"/>
  <c r="P784" i="3"/>
  <c r="Q784" i="3"/>
  <c r="R784" i="3"/>
  <c r="K785" i="3"/>
  <c r="L785" i="3"/>
  <c r="M785" i="3"/>
  <c r="N785" i="3"/>
  <c r="O785" i="3"/>
  <c r="P785" i="3"/>
  <c r="Q785" i="3"/>
  <c r="R785" i="3"/>
  <c r="K786" i="3"/>
  <c r="L786" i="3"/>
  <c r="M786" i="3"/>
  <c r="N786" i="3"/>
  <c r="O786" i="3"/>
  <c r="P786" i="3"/>
  <c r="Q786" i="3"/>
  <c r="R786" i="3"/>
  <c r="K787" i="3"/>
  <c r="L787" i="3"/>
  <c r="M787" i="3"/>
  <c r="N787" i="3"/>
  <c r="O787" i="3"/>
  <c r="P787" i="3"/>
  <c r="Q787" i="3"/>
  <c r="R787" i="3"/>
  <c r="K788" i="3"/>
  <c r="L788" i="3"/>
  <c r="M788" i="3"/>
  <c r="N788" i="3"/>
  <c r="O788" i="3"/>
  <c r="P788" i="3"/>
  <c r="Q788" i="3"/>
  <c r="R788" i="3"/>
  <c r="K789" i="3"/>
  <c r="L789" i="3"/>
  <c r="M789" i="3"/>
  <c r="N789" i="3"/>
  <c r="O789" i="3"/>
  <c r="P789" i="3"/>
  <c r="Q789" i="3"/>
  <c r="R789" i="3"/>
  <c r="K790" i="3"/>
  <c r="L790" i="3"/>
  <c r="M790" i="3"/>
  <c r="N790" i="3"/>
  <c r="O790" i="3"/>
  <c r="P790" i="3"/>
  <c r="Q790" i="3"/>
  <c r="R790" i="3"/>
  <c r="K791" i="3"/>
  <c r="L791" i="3"/>
  <c r="M791" i="3"/>
  <c r="N791" i="3"/>
  <c r="O791" i="3"/>
  <c r="P791" i="3"/>
  <c r="Q791" i="3"/>
  <c r="R791" i="3"/>
  <c r="K792" i="3"/>
  <c r="L792" i="3"/>
  <c r="M792" i="3"/>
  <c r="N792" i="3"/>
  <c r="O792" i="3"/>
  <c r="P792" i="3"/>
  <c r="Q792" i="3"/>
  <c r="R792" i="3"/>
  <c r="K793" i="3"/>
  <c r="L793" i="3"/>
  <c r="M793" i="3"/>
  <c r="N793" i="3"/>
  <c r="O793" i="3"/>
  <c r="P793" i="3"/>
  <c r="Q793" i="3"/>
  <c r="R793" i="3"/>
  <c r="K794" i="3"/>
  <c r="L794" i="3"/>
  <c r="M794" i="3"/>
  <c r="N794" i="3"/>
  <c r="O794" i="3"/>
  <c r="P794" i="3"/>
  <c r="Q794" i="3"/>
  <c r="R794" i="3"/>
  <c r="K795" i="3"/>
  <c r="L795" i="3"/>
  <c r="M795" i="3"/>
  <c r="N795" i="3"/>
  <c r="O795" i="3"/>
  <c r="P795" i="3"/>
  <c r="Q795" i="3"/>
  <c r="R795" i="3"/>
  <c r="K796" i="3"/>
  <c r="L796" i="3"/>
  <c r="M796" i="3"/>
  <c r="N796" i="3"/>
  <c r="O796" i="3"/>
  <c r="P796" i="3"/>
  <c r="Q796" i="3"/>
  <c r="R796" i="3"/>
  <c r="K797" i="3"/>
  <c r="L797" i="3"/>
  <c r="M797" i="3"/>
  <c r="N797" i="3"/>
  <c r="O797" i="3"/>
  <c r="P797" i="3"/>
  <c r="Q797" i="3"/>
  <c r="R797" i="3"/>
  <c r="K798" i="3"/>
  <c r="L798" i="3"/>
  <c r="M798" i="3"/>
  <c r="N798" i="3"/>
  <c r="O798" i="3"/>
  <c r="P798" i="3"/>
  <c r="Q798" i="3"/>
  <c r="R798" i="3"/>
  <c r="K799" i="3"/>
  <c r="L799" i="3"/>
  <c r="M799" i="3"/>
  <c r="N799" i="3"/>
  <c r="O799" i="3"/>
  <c r="P799" i="3"/>
  <c r="Q799" i="3"/>
  <c r="R799" i="3"/>
  <c r="K800" i="3"/>
  <c r="L800" i="3"/>
  <c r="M800" i="3"/>
  <c r="N800" i="3"/>
  <c r="O800" i="3"/>
  <c r="P800" i="3"/>
  <c r="Q800" i="3"/>
  <c r="R800" i="3"/>
  <c r="K801" i="3"/>
  <c r="L801" i="3"/>
  <c r="M801" i="3"/>
  <c r="N801" i="3"/>
  <c r="O801" i="3"/>
  <c r="P801" i="3"/>
  <c r="Q801" i="3"/>
  <c r="R801" i="3"/>
  <c r="K802" i="3"/>
  <c r="L802" i="3"/>
  <c r="M802" i="3"/>
  <c r="N802" i="3"/>
  <c r="O802" i="3"/>
  <c r="P802" i="3"/>
  <c r="Q802" i="3"/>
  <c r="R802" i="3"/>
  <c r="K803" i="3"/>
  <c r="L803" i="3"/>
  <c r="M803" i="3"/>
  <c r="N803" i="3"/>
  <c r="O803" i="3"/>
  <c r="P803" i="3"/>
  <c r="Q803" i="3"/>
  <c r="R803" i="3"/>
  <c r="K804" i="3"/>
  <c r="L804" i="3"/>
  <c r="M804" i="3"/>
  <c r="N804" i="3"/>
  <c r="O804" i="3"/>
  <c r="P804" i="3"/>
  <c r="Q804" i="3"/>
  <c r="R804" i="3"/>
  <c r="K805" i="3"/>
  <c r="L805" i="3"/>
  <c r="M805" i="3"/>
  <c r="N805" i="3"/>
  <c r="O805" i="3"/>
  <c r="P805" i="3"/>
  <c r="Q805" i="3"/>
  <c r="R805" i="3"/>
  <c r="K806" i="3"/>
  <c r="L806" i="3"/>
  <c r="M806" i="3"/>
  <c r="N806" i="3"/>
  <c r="O806" i="3"/>
  <c r="P806" i="3"/>
  <c r="Q806" i="3"/>
  <c r="R806" i="3"/>
  <c r="K807" i="3"/>
  <c r="L807" i="3"/>
  <c r="M807" i="3"/>
  <c r="N807" i="3"/>
  <c r="O807" i="3"/>
  <c r="P807" i="3"/>
  <c r="Q807" i="3"/>
  <c r="R807" i="3"/>
  <c r="K808" i="3"/>
  <c r="L808" i="3"/>
  <c r="M808" i="3"/>
  <c r="N808" i="3"/>
  <c r="O808" i="3"/>
  <c r="P808" i="3"/>
  <c r="Q808" i="3"/>
  <c r="R808" i="3"/>
  <c r="K809" i="3"/>
  <c r="L809" i="3"/>
  <c r="M809" i="3"/>
  <c r="N809" i="3"/>
  <c r="O809" i="3"/>
  <c r="P809" i="3"/>
  <c r="Q809" i="3"/>
  <c r="R809" i="3"/>
  <c r="K810" i="3"/>
  <c r="L810" i="3"/>
  <c r="M810" i="3"/>
  <c r="N810" i="3"/>
  <c r="O810" i="3"/>
  <c r="P810" i="3"/>
  <c r="Q810" i="3"/>
  <c r="R810" i="3"/>
  <c r="K811" i="3"/>
  <c r="L811" i="3"/>
  <c r="M811" i="3"/>
  <c r="N811" i="3"/>
  <c r="O811" i="3"/>
  <c r="P811" i="3"/>
  <c r="Q811" i="3"/>
  <c r="R811" i="3"/>
  <c r="K812" i="3"/>
  <c r="L812" i="3"/>
  <c r="M812" i="3"/>
  <c r="N812" i="3"/>
  <c r="O812" i="3"/>
  <c r="P812" i="3"/>
  <c r="Q812" i="3"/>
  <c r="R812" i="3"/>
  <c r="K813" i="3"/>
  <c r="L813" i="3"/>
  <c r="M813" i="3"/>
  <c r="N813" i="3"/>
  <c r="O813" i="3"/>
  <c r="P813" i="3"/>
  <c r="Q813" i="3"/>
  <c r="R813" i="3"/>
  <c r="K814" i="3"/>
  <c r="L814" i="3"/>
  <c r="M814" i="3"/>
  <c r="N814" i="3"/>
  <c r="O814" i="3"/>
  <c r="P814" i="3"/>
  <c r="Q814" i="3"/>
  <c r="R814" i="3"/>
  <c r="K815" i="3"/>
  <c r="L815" i="3"/>
  <c r="M815" i="3"/>
  <c r="N815" i="3"/>
  <c r="O815" i="3"/>
  <c r="P815" i="3"/>
  <c r="Q815" i="3"/>
  <c r="R815" i="3"/>
  <c r="K816" i="3"/>
  <c r="L816" i="3"/>
  <c r="M816" i="3"/>
  <c r="N816" i="3"/>
  <c r="O816" i="3"/>
  <c r="P816" i="3"/>
  <c r="Q816" i="3"/>
  <c r="R816" i="3"/>
  <c r="K817" i="3"/>
  <c r="L817" i="3"/>
  <c r="M817" i="3"/>
  <c r="N817" i="3"/>
  <c r="O817" i="3"/>
  <c r="P817" i="3"/>
  <c r="Q817" i="3"/>
  <c r="R817" i="3"/>
  <c r="K818" i="3"/>
  <c r="L818" i="3"/>
  <c r="M818" i="3"/>
  <c r="N818" i="3"/>
  <c r="O818" i="3"/>
  <c r="P818" i="3"/>
  <c r="Q818" i="3"/>
  <c r="R818" i="3"/>
  <c r="K819" i="3"/>
  <c r="L819" i="3"/>
  <c r="M819" i="3"/>
  <c r="N819" i="3"/>
  <c r="O819" i="3"/>
  <c r="P819" i="3"/>
  <c r="Q819" i="3"/>
  <c r="R819" i="3"/>
  <c r="K820" i="3"/>
  <c r="L820" i="3"/>
  <c r="M820" i="3"/>
  <c r="N820" i="3"/>
  <c r="O820" i="3"/>
  <c r="P820" i="3"/>
  <c r="Q820" i="3"/>
  <c r="R820" i="3"/>
  <c r="K821" i="3"/>
  <c r="L821" i="3"/>
  <c r="M821" i="3"/>
  <c r="N821" i="3"/>
  <c r="O821" i="3"/>
  <c r="P821" i="3"/>
  <c r="Q821" i="3"/>
  <c r="R821" i="3"/>
  <c r="K822" i="3"/>
  <c r="L822" i="3"/>
  <c r="M822" i="3"/>
  <c r="N822" i="3"/>
  <c r="O822" i="3"/>
  <c r="P822" i="3"/>
  <c r="Q822" i="3"/>
  <c r="R822" i="3"/>
  <c r="K823" i="3"/>
  <c r="L823" i="3"/>
  <c r="M823" i="3"/>
  <c r="N823" i="3"/>
  <c r="O823" i="3"/>
  <c r="P823" i="3"/>
  <c r="Q823" i="3"/>
  <c r="R823" i="3"/>
  <c r="K824" i="3"/>
  <c r="L824" i="3"/>
  <c r="M824" i="3"/>
  <c r="N824" i="3"/>
  <c r="O824" i="3"/>
  <c r="P824" i="3"/>
  <c r="Q824" i="3"/>
  <c r="R824" i="3"/>
  <c r="K825" i="3"/>
  <c r="L825" i="3"/>
  <c r="M825" i="3"/>
  <c r="N825" i="3"/>
  <c r="O825" i="3"/>
  <c r="P825" i="3"/>
  <c r="Q825" i="3"/>
  <c r="R825" i="3"/>
  <c r="K826" i="3"/>
  <c r="L826" i="3"/>
  <c r="M826" i="3"/>
  <c r="N826" i="3"/>
  <c r="O826" i="3"/>
  <c r="P826" i="3"/>
  <c r="Q826" i="3"/>
  <c r="R826" i="3"/>
  <c r="K827" i="3"/>
  <c r="L827" i="3"/>
  <c r="M827" i="3"/>
  <c r="N827" i="3"/>
  <c r="O827" i="3"/>
  <c r="P827" i="3"/>
  <c r="Q827" i="3"/>
  <c r="R827" i="3"/>
  <c r="K828" i="3"/>
  <c r="L828" i="3"/>
  <c r="M828" i="3"/>
  <c r="N828" i="3"/>
  <c r="O828" i="3"/>
  <c r="P828" i="3"/>
  <c r="Q828" i="3"/>
  <c r="R828" i="3"/>
  <c r="K829" i="3"/>
  <c r="L829" i="3"/>
  <c r="M829" i="3"/>
  <c r="N829" i="3"/>
  <c r="O829" i="3"/>
  <c r="P829" i="3"/>
  <c r="Q829" i="3"/>
  <c r="R829" i="3"/>
  <c r="K830" i="3"/>
  <c r="L830" i="3"/>
  <c r="M830" i="3"/>
  <c r="N830" i="3"/>
  <c r="O830" i="3"/>
  <c r="P830" i="3"/>
  <c r="Q830" i="3"/>
  <c r="R830" i="3"/>
  <c r="K831" i="3"/>
  <c r="L831" i="3"/>
  <c r="M831" i="3"/>
  <c r="N831" i="3"/>
  <c r="O831" i="3"/>
  <c r="P831" i="3"/>
  <c r="Q831" i="3"/>
  <c r="R831" i="3"/>
  <c r="K832" i="3"/>
  <c r="L832" i="3"/>
  <c r="M832" i="3"/>
  <c r="N832" i="3"/>
  <c r="O832" i="3"/>
  <c r="P832" i="3"/>
  <c r="Q832" i="3"/>
  <c r="R832" i="3"/>
  <c r="K833" i="3"/>
  <c r="L833" i="3"/>
  <c r="M833" i="3"/>
  <c r="N833" i="3"/>
  <c r="O833" i="3"/>
  <c r="P833" i="3"/>
  <c r="Q833" i="3"/>
  <c r="R833" i="3"/>
  <c r="K834" i="3"/>
  <c r="L834" i="3"/>
  <c r="M834" i="3"/>
  <c r="N834" i="3"/>
  <c r="O834" i="3"/>
  <c r="P834" i="3"/>
  <c r="Q834" i="3"/>
  <c r="R834" i="3"/>
  <c r="K835" i="3"/>
  <c r="L835" i="3"/>
  <c r="M835" i="3"/>
  <c r="N835" i="3"/>
  <c r="O835" i="3"/>
  <c r="P835" i="3"/>
  <c r="Q835" i="3"/>
  <c r="R835" i="3"/>
  <c r="K836" i="3"/>
  <c r="L836" i="3"/>
  <c r="M836" i="3"/>
  <c r="N836" i="3"/>
  <c r="O836" i="3"/>
  <c r="P836" i="3"/>
  <c r="Q836" i="3"/>
  <c r="R836" i="3"/>
  <c r="K837" i="3"/>
  <c r="L837" i="3"/>
  <c r="M837" i="3"/>
  <c r="N837" i="3"/>
  <c r="O837" i="3"/>
  <c r="P837" i="3"/>
  <c r="Q837" i="3"/>
  <c r="R837" i="3"/>
  <c r="K838" i="3"/>
  <c r="L838" i="3"/>
  <c r="M838" i="3"/>
  <c r="N838" i="3"/>
  <c r="O838" i="3"/>
  <c r="P838" i="3"/>
  <c r="Q838" i="3"/>
  <c r="R838" i="3"/>
  <c r="K839" i="3"/>
  <c r="L839" i="3"/>
  <c r="M839" i="3"/>
  <c r="N839" i="3"/>
  <c r="O839" i="3"/>
  <c r="P839" i="3"/>
  <c r="Q839" i="3"/>
  <c r="R839" i="3"/>
  <c r="K840" i="3"/>
  <c r="L840" i="3"/>
  <c r="M840" i="3"/>
  <c r="N840" i="3"/>
  <c r="O840" i="3"/>
  <c r="P840" i="3"/>
  <c r="Q840" i="3"/>
  <c r="R840" i="3"/>
  <c r="K841" i="3"/>
  <c r="L841" i="3"/>
  <c r="M841" i="3"/>
  <c r="N841" i="3"/>
  <c r="O841" i="3"/>
  <c r="P841" i="3"/>
  <c r="Q841" i="3"/>
  <c r="R841" i="3"/>
  <c r="K842" i="3"/>
  <c r="L842" i="3"/>
  <c r="M842" i="3"/>
  <c r="N842" i="3"/>
  <c r="O842" i="3"/>
  <c r="P842" i="3"/>
  <c r="Q842" i="3"/>
  <c r="R842" i="3"/>
  <c r="K843" i="3"/>
  <c r="L843" i="3"/>
  <c r="M843" i="3"/>
  <c r="N843" i="3"/>
  <c r="O843" i="3"/>
  <c r="P843" i="3"/>
  <c r="Q843" i="3"/>
  <c r="R843" i="3"/>
  <c r="K844" i="3"/>
  <c r="L844" i="3"/>
  <c r="M844" i="3"/>
  <c r="N844" i="3"/>
  <c r="O844" i="3"/>
  <c r="P844" i="3"/>
  <c r="Q844" i="3"/>
  <c r="R844" i="3"/>
  <c r="K845" i="3"/>
  <c r="L845" i="3"/>
  <c r="M845" i="3"/>
  <c r="N845" i="3"/>
  <c r="O845" i="3"/>
  <c r="P845" i="3"/>
  <c r="Q845" i="3"/>
  <c r="R845" i="3"/>
  <c r="K846" i="3"/>
  <c r="L846" i="3"/>
  <c r="M846" i="3"/>
  <c r="N846" i="3"/>
  <c r="O846" i="3"/>
  <c r="P846" i="3"/>
  <c r="Q846" i="3"/>
  <c r="R846" i="3"/>
  <c r="K847" i="3"/>
  <c r="L847" i="3"/>
  <c r="M847" i="3"/>
  <c r="N847" i="3"/>
  <c r="O847" i="3"/>
  <c r="P847" i="3"/>
  <c r="Q847" i="3"/>
  <c r="R847" i="3"/>
  <c r="K848" i="3"/>
  <c r="L848" i="3"/>
  <c r="M848" i="3"/>
  <c r="N848" i="3"/>
  <c r="O848" i="3"/>
  <c r="P848" i="3"/>
  <c r="Q848" i="3"/>
  <c r="R848" i="3"/>
  <c r="K849" i="3"/>
  <c r="L849" i="3"/>
  <c r="M849" i="3"/>
  <c r="N849" i="3"/>
  <c r="O849" i="3"/>
  <c r="P849" i="3"/>
  <c r="Q849" i="3"/>
  <c r="R849" i="3"/>
  <c r="K850" i="3"/>
  <c r="L850" i="3"/>
  <c r="M850" i="3"/>
  <c r="N850" i="3"/>
  <c r="O850" i="3"/>
  <c r="P850" i="3"/>
  <c r="Q850" i="3"/>
  <c r="R850" i="3"/>
  <c r="K851" i="3"/>
  <c r="L851" i="3"/>
  <c r="M851" i="3"/>
  <c r="N851" i="3"/>
  <c r="O851" i="3"/>
  <c r="P851" i="3"/>
  <c r="Q851" i="3"/>
  <c r="R851" i="3"/>
  <c r="K852" i="3"/>
  <c r="L852" i="3"/>
  <c r="M852" i="3"/>
  <c r="N852" i="3"/>
  <c r="O852" i="3"/>
  <c r="P852" i="3"/>
  <c r="Q852" i="3"/>
  <c r="R852" i="3"/>
  <c r="K853" i="3"/>
  <c r="L853" i="3"/>
  <c r="M853" i="3"/>
  <c r="N853" i="3"/>
  <c r="O853" i="3"/>
  <c r="P853" i="3"/>
  <c r="Q853" i="3"/>
  <c r="R853" i="3"/>
  <c r="K854" i="3"/>
  <c r="L854" i="3"/>
  <c r="M854" i="3"/>
  <c r="N854" i="3"/>
  <c r="O854" i="3"/>
  <c r="P854" i="3"/>
  <c r="Q854" i="3"/>
  <c r="R854" i="3"/>
  <c r="K855" i="3"/>
  <c r="L855" i="3"/>
  <c r="M855" i="3"/>
  <c r="N855" i="3"/>
  <c r="O855" i="3"/>
  <c r="P855" i="3"/>
  <c r="Q855" i="3"/>
  <c r="R855" i="3"/>
  <c r="K856" i="3"/>
  <c r="L856" i="3"/>
  <c r="M856" i="3"/>
  <c r="N856" i="3"/>
  <c r="O856" i="3"/>
  <c r="P856" i="3"/>
  <c r="Q856" i="3"/>
  <c r="R856" i="3"/>
  <c r="K857" i="3"/>
  <c r="L857" i="3"/>
  <c r="M857" i="3"/>
  <c r="N857" i="3"/>
  <c r="O857" i="3"/>
  <c r="P857" i="3"/>
  <c r="Q857" i="3"/>
  <c r="R857" i="3"/>
  <c r="K858" i="3"/>
  <c r="L858" i="3"/>
  <c r="M858" i="3"/>
  <c r="N858" i="3"/>
  <c r="O858" i="3"/>
  <c r="P858" i="3"/>
  <c r="Q858" i="3"/>
  <c r="R858" i="3"/>
  <c r="K859" i="3"/>
  <c r="L859" i="3"/>
  <c r="M859" i="3"/>
  <c r="N859" i="3"/>
  <c r="O859" i="3"/>
  <c r="P859" i="3"/>
  <c r="Q859" i="3"/>
  <c r="R859" i="3"/>
  <c r="K860" i="3"/>
  <c r="L860" i="3"/>
  <c r="M860" i="3"/>
  <c r="N860" i="3"/>
  <c r="O860" i="3"/>
  <c r="P860" i="3"/>
  <c r="Q860" i="3"/>
  <c r="R860" i="3"/>
  <c r="K861" i="3"/>
  <c r="L861" i="3"/>
  <c r="M861" i="3"/>
  <c r="N861" i="3"/>
  <c r="O861" i="3"/>
  <c r="P861" i="3"/>
  <c r="Q861" i="3"/>
  <c r="R861" i="3"/>
  <c r="K862" i="3"/>
  <c r="L862" i="3"/>
  <c r="M862" i="3"/>
  <c r="N862" i="3"/>
  <c r="O862" i="3"/>
  <c r="P862" i="3"/>
  <c r="Q862" i="3"/>
  <c r="R862" i="3"/>
  <c r="K863" i="3"/>
  <c r="L863" i="3"/>
  <c r="M863" i="3"/>
  <c r="N863" i="3"/>
  <c r="O863" i="3"/>
  <c r="P863" i="3"/>
  <c r="Q863" i="3"/>
  <c r="R863" i="3"/>
  <c r="K864" i="3"/>
  <c r="L864" i="3"/>
  <c r="M864" i="3"/>
  <c r="N864" i="3"/>
  <c r="O864" i="3"/>
  <c r="P864" i="3"/>
  <c r="Q864" i="3"/>
  <c r="R864" i="3"/>
  <c r="K865" i="3"/>
  <c r="L865" i="3"/>
  <c r="M865" i="3"/>
  <c r="N865" i="3"/>
  <c r="O865" i="3"/>
  <c r="P865" i="3"/>
  <c r="Q865" i="3"/>
  <c r="R865" i="3"/>
  <c r="K866" i="3"/>
  <c r="L866" i="3"/>
  <c r="M866" i="3"/>
  <c r="N866" i="3"/>
  <c r="O866" i="3"/>
  <c r="P866" i="3"/>
  <c r="Q866" i="3"/>
  <c r="R866" i="3"/>
  <c r="K867" i="3"/>
  <c r="L867" i="3"/>
  <c r="M867" i="3"/>
  <c r="N867" i="3"/>
  <c r="O867" i="3"/>
  <c r="P867" i="3"/>
  <c r="Q867" i="3"/>
  <c r="R867" i="3"/>
  <c r="K868" i="3"/>
  <c r="L868" i="3"/>
  <c r="M868" i="3"/>
  <c r="N868" i="3"/>
  <c r="O868" i="3"/>
  <c r="P868" i="3"/>
  <c r="Q868" i="3"/>
  <c r="R868" i="3"/>
  <c r="K869" i="3"/>
  <c r="L869" i="3"/>
  <c r="M869" i="3"/>
  <c r="N869" i="3"/>
  <c r="O869" i="3"/>
  <c r="P869" i="3"/>
  <c r="Q869" i="3"/>
  <c r="R869" i="3"/>
  <c r="K870" i="3"/>
  <c r="L870" i="3"/>
  <c r="M870" i="3"/>
  <c r="N870" i="3"/>
  <c r="O870" i="3"/>
  <c r="P870" i="3"/>
  <c r="Q870" i="3"/>
  <c r="R870" i="3"/>
  <c r="K871" i="3"/>
  <c r="L871" i="3"/>
  <c r="M871" i="3"/>
  <c r="N871" i="3"/>
  <c r="O871" i="3"/>
  <c r="P871" i="3"/>
  <c r="Q871" i="3"/>
  <c r="R871" i="3"/>
  <c r="K872" i="3"/>
  <c r="L872" i="3"/>
  <c r="M872" i="3"/>
  <c r="N872" i="3"/>
  <c r="O872" i="3"/>
  <c r="P872" i="3"/>
  <c r="Q872" i="3"/>
  <c r="R872" i="3"/>
  <c r="K873" i="3"/>
  <c r="L873" i="3"/>
  <c r="M873" i="3"/>
  <c r="N873" i="3"/>
  <c r="O873" i="3"/>
  <c r="P873" i="3"/>
  <c r="Q873" i="3"/>
  <c r="R873" i="3"/>
  <c r="K874" i="3"/>
  <c r="L874" i="3"/>
  <c r="M874" i="3"/>
  <c r="N874" i="3"/>
  <c r="O874" i="3"/>
  <c r="P874" i="3"/>
  <c r="Q874" i="3"/>
  <c r="R874" i="3"/>
  <c r="K875" i="3"/>
  <c r="L875" i="3"/>
  <c r="M875" i="3"/>
  <c r="N875" i="3"/>
  <c r="O875" i="3"/>
  <c r="P875" i="3"/>
  <c r="Q875" i="3"/>
  <c r="R875" i="3"/>
  <c r="K876" i="3"/>
  <c r="L876" i="3"/>
  <c r="M876" i="3"/>
  <c r="N876" i="3"/>
  <c r="O876" i="3"/>
  <c r="P876" i="3"/>
  <c r="Q876" i="3"/>
  <c r="R876" i="3"/>
  <c r="K877" i="3"/>
  <c r="L877" i="3"/>
  <c r="M877" i="3"/>
  <c r="N877" i="3"/>
  <c r="O877" i="3"/>
  <c r="P877" i="3"/>
  <c r="Q877" i="3"/>
  <c r="R877" i="3"/>
  <c r="K878" i="3"/>
  <c r="L878" i="3"/>
  <c r="M878" i="3"/>
  <c r="N878" i="3"/>
  <c r="O878" i="3"/>
  <c r="P878" i="3"/>
  <c r="Q878" i="3"/>
  <c r="R878" i="3"/>
  <c r="K879" i="3"/>
  <c r="L879" i="3"/>
  <c r="M879" i="3"/>
  <c r="N879" i="3"/>
  <c r="O879" i="3"/>
  <c r="P879" i="3"/>
  <c r="Q879" i="3"/>
  <c r="R879" i="3"/>
  <c r="K880" i="3"/>
  <c r="L880" i="3"/>
  <c r="M880" i="3"/>
  <c r="N880" i="3"/>
  <c r="O880" i="3"/>
  <c r="P880" i="3"/>
  <c r="Q880" i="3"/>
  <c r="R880" i="3"/>
  <c r="K881" i="3"/>
  <c r="L881" i="3"/>
  <c r="M881" i="3"/>
  <c r="N881" i="3"/>
  <c r="O881" i="3"/>
  <c r="P881" i="3"/>
  <c r="Q881" i="3"/>
  <c r="R881" i="3"/>
  <c r="K882" i="3"/>
  <c r="L882" i="3"/>
  <c r="M882" i="3"/>
  <c r="N882" i="3"/>
  <c r="O882" i="3"/>
  <c r="P882" i="3"/>
  <c r="Q882" i="3"/>
  <c r="R882" i="3"/>
  <c r="K883" i="3"/>
  <c r="L883" i="3"/>
  <c r="M883" i="3"/>
  <c r="N883" i="3"/>
  <c r="O883" i="3"/>
  <c r="P883" i="3"/>
  <c r="Q883" i="3"/>
  <c r="R883" i="3"/>
  <c r="K884" i="3"/>
  <c r="L884" i="3"/>
  <c r="M884" i="3"/>
  <c r="N884" i="3"/>
  <c r="O884" i="3"/>
  <c r="P884" i="3"/>
  <c r="Q884" i="3"/>
  <c r="R884" i="3"/>
  <c r="K885" i="3"/>
  <c r="L885" i="3"/>
  <c r="M885" i="3"/>
  <c r="N885" i="3"/>
  <c r="O885" i="3"/>
  <c r="P885" i="3"/>
  <c r="Q885" i="3"/>
  <c r="R885" i="3"/>
  <c r="K886" i="3"/>
  <c r="L886" i="3"/>
  <c r="M886" i="3"/>
  <c r="N886" i="3"/>
  <c r="O886" i="3"/>
  <c r="P886" i="3"/>
  <c r="Q886" i="3"/>
  <c r="R886" i="3"/>
  <c r="K887" i="3"/>
  <c r="L887" i="3"/>
  <c r="M887" i="3"/>
  <c r="N887" i="3"/>
  <c r="O887" i="3"/>
  <c r="P887" i="3"/>
  <c r="Q887" i="3"/>
  <c r="R887" i="3"/>
  <c r="K888" i="3"/>
  <c r="L888" i="3"/>
  <c r="M888" i="3"/>
  <c r="N888" i="3"/>
  <c r="O888" i="3"/>
  <c r="P888" i="3"/>
  <c r="Q888" i="3"/>
  <c r="R888" i="3"/>
  <c r="K889" i="3"/>
  <c r="L889" i="3"/>
  <c r="M889" i="3"/>
  <c r="N889" i="3"/>
  <c r="O889" i="3"/>
  <c r="P889" i="3"/>
  <c r="Q889" i="3"/>
  <c r="R889" i="3"/>
  <c r="K890" i="3"/>
  <c r="L890" i="3"/>
  <c r="M890" i="3"/>
  <c r="N890" i="3"/>
  <c r="O890" i="3"/>
  <c r="P890" i="3"/>
  <c r="Q890" i="3"/>
  <c r="R890" i="3"/>
  <c r="K891" i="3"/>
  <c r="L891" i="3"/>
  <c r="M891" i="3"/>
  <c r="N891" i="3"/>
  <c r="O891" i="3"/>
  <c r="P891" i="3"/>
  <c r="Q891" i="3"/>
  <c r="R891" i="3"/>
  <c r="K892" i="3"/>
  <c r="L892" i="3"/>
  <c r="M892" i="3"/>
  <c r="N892" i="3"/>
  <c r="O892" i="3"/>
  <c r="P892" i="3"/>
  <c r="Q892" i="3"/>
  <c r="R892" i="3"/>
  <c r="K893" i="3"/>
  <c r="L893" i="3"/>
  <c r="M893" i="3"/>
  <c r="N893" i="3"/>
  <c r="O893" i="3"/>
  <c r="P893" i="3"/>
  <c r="Q893" i="3"/>
  <c r="R893" i="3"/>
  <c r="K894" i="3"/>
  <c r="L894" i="3"/>
  <c r="M894" i="3"/>
  <c r="N894" i="3"/>
  <c r="O894" i="3"/>
  <c r="P894" i="3"/>
  <c r="Q894" i="3"/>
  <c r="R894" i="3"/>
  <c r="K895" i="3"/>
  <c r="L895" i="3"/>
  <c r="M895" i="3"/>
  <c r="N895" i="3"/>
  <c r="O895" i="3"/>
  <c r="P895" i="3"/>
  <c r="Q895" i="3"/>
  <c r="R895" i="3"/>
  <c r="K896" i="3"/>
  <c r="L896" i="3"/>
  <c r="M896" i="3"/>
  <c r="N896" i="3"/>
  <c r="O896" i="3"/>
  <c r="P896" i="3"/>
  <c r="Q896" i="3"/>
  <c r="R896" i="3"/>
  <c r="K897" i="3"/>
  <c r="L897" i="3"/>
  <c r="M897" i="3"/>
  <c r="N897" i="3"/>
  <c r="O897" i="3"/>
  <c r="P897" i="3"/>
  <c r="Q897" i="3"/>
  <c r="R897" i="3"/>
  <c r="K898" i="3"/>
  <c r="L898" i="3"/>
  <c r="M898" i="3"/>
  <c r="N898" i="3"/>
  <c r="O898" i="3"/>
  <c r="P898" i="3"/>
  <c r="Q898" i="3"/>
  <c r="R898" i="3"/>
  <c r="K899" i="3"/>
  <c r="L899" i="3"/>
  <c r="M899" i="3"/>
  <c r="N899" i="3"/>
  <c r="O899" i="3"/>
  <c r="P899" i="3"/>
  <c r="Q899" i="3"/>
  <c r="R899" i="3"/>
  <c r="K900" i="3"/>
  <c r="L900" i="3"/>
  <c r="M900" i="3"/>
  <c r="N900" i="3"/>
  <c r="O900" i="3"/>
  <c r="P900" i="3"/>
  <c r="Q900" i="3"/>
  <c r="R900" i="3"/>
  <c r="K901" i="3"/>
  <c r="L901" i="3"/>
  <c r="M901" i="3"/>
  <c r="N901" i="3"/>
  <c r="O901" i="3"/>
  <c r="P901" i="3"/>
  <c r="Q901" i="3"/>
  <c r="R901" i="3"/>
  <c r="K902" i="3"/>
  <c r="L902" i="3"/>
  <c r="M902" i="3"/>
  <c r="N902" i="3"/>
  <c r="O902" i="3"/>
  <c r="P902" i="3"/>
  <c r="Q902" i="3"/>
  <c r="R902" i="3"/>
  <c r="K903" i="3"/>
  <c r="L903" i="3"/>
  <c r="M903" i="3"/>
  <c r="N903" i="3"/>
  <c r="O903" i="3"/>
  <c r="P903" i="3"/>
  <c r="Q903" i="3"/>
  <c r="R903" i="3"/>
  <c r="K904" i="3"/>
  <c r="L904" i="3"/>
  <c r="M904" i="3"/>
  <c r="N904" i="3"/>
  <c r="O904" i="3"/>
  <c r="P904" i="3"/>
  <c r="Q904" i="3"/>
  <c r="R904" i="3"/>
  <c r="K905" i="3"/>
  <c r="L905" i="3"/>
  <c r="M905" i="3"/>
  <c r="N905" i="3"/>
  <c r="O905" i="3"/>
  <c r="P905" i="3"/>
  <c r="Q905" i="3"/>
  <c r="R905" i="3"/>
  <c r="K906" i="3"/>
  <c r="L906" i="3"/>
  <c r="M906" i="3"/>
  <c r="N906" i="3"/>
  <c r="O906" i="3"/>
  <c r="P906" i="3"/>
  <c r="Q906" i="3"/>
  <c r="R906" i="3"/>
  <c r="K907" i="3"/>
  <c r="L907" i="3"/>
  <c r="M907" i="3"/>
  <c r="N907" i="3"/>
  <c r="O907" i="3"/>
  <c r="P907" i="3"/>
  <c r="Q907" i="3"/>
  <c r="R907" i="3"/>
  <c r="K908" i="3"/>
  <c r="L908" i="3"/>
  <c r="M908" i="3"/>
  <c r="N908" i="3"/>
  <c r="O908" i="3"/>
  <c r="P908" i="3"/>
  <c r="Q908" i="3"/>
  <c r="R908" i="3"/>
  <c r="K909" i="3"/>
  <c r="L909" i="3"/>
  <c r="M909" i="3"/>
  <c r="N909" i="3"/>
  <c r="O909" i="3"/>
  <c r="P909" i="3"/>
  <c r="Q909" i="3"/>
  <c r="R909" i="3"/>
  <c r="K910" i="3"/>
  <c r="L910" i="3"/>
  <c r="M910" i="3"/>
  <c r="N910" i="3"/>
  <c r="O910" i="3"/>
  <c r="P910" i="3"/>
  <c r="Q910" i="3"/>
  <c r="R910" i="3"/>
  <c r="K911" i="3"/>
  <c r="L911" i="3"/>
  <c r="M911" i="3"/>
  <c r="N911" i="3"/>
  <c r="O911" i="3"/>
  <c r="P911" i="3"/>
  <c r="Q911" i="3"/>
  <c r="R911" i="3"/>
  <c r="K912" i="3"/>
  <c r="L912" i="3"/>
  <c r="M912" i="3"/>
  <c r="N912" i="3"/>
  <c r="O912" i="3"/>
  <c r="P912" i="3"/>
  <c r="Q912" i="3"/>
  <c r="R912" i="3"/>
  <c r="K913" i="3"/>
  <c r="L913" i="3"/>
  <c r="M913" i="3"/>
  <c r="N913" i="3"/>
  <c r="O913" i="3"/>
  <c r="P913" i="3"/>
  <c r="Q913" i="3"/>
  <c r="R913" i="3"/>
  <c r="K914" i="3"/>
  <c r="L914" i="3"/>
  <c r="M914" i="3"/>
  <c r="N914" i="3"/>
  <c r="O914" i="3"/>
  <c r="P914" i="3"/>
  <c r="Q914" i="3"/>
  <c r="R914" i="3"/>
  <c r="K915" i="3"/>
  <c r="L915" i="3"/>
  <c r="M915" i="3"/>
  <c r="N915" i="3"/>
  <c r="O915" i="3"/>
  <c r="P915" i="3"/>
  <c r="Q915" i="3"/>
  <c r="R915" i="3"/>
  <c r="K916" i="3"/>
  <c r="L916" i="3"/>
  <c r="M916" i="3"/>
  <c r="N916" i="3"/>
  <c r="O916" i="3"/>
  <c r="P916" i="3"/>
  <c r="Q916" i="3"/>
  <c r="R916" i="3"/>
  <c r="K917" i="3"/>
  <c r="L917" i="3"/>
  <c r="M917" i="3"/>
  <c r="N917" i="3"/>
  <c r="O917" i="3"/>
  <c r="P917" i="3"/>
  <c r="Q917" i="3"/>
  <c r="R917" i="3"/>
  <c r="K918" i="3"/>
  <c r="L918" i="3"/>
  <c r="M918" i="3"/>
  <c r="N918" i="3"/>
  <c r="O918" i="3"/>
  <c r="P918" i="3"/>
  <c r="Q918" i="3"/>
  <c r="R918" i="3"/>
  <c r="K919" i="3"/>
  <c r="L919" i="3"/>
  <c r="M919" i="3"/>
  <c r="N919" i="3"/>
  <c r="O919" i="3"/>
  <c r="P919" i="3"/>
  <c r="Q919" i="3"/>
  <c r="R919" i="3"/>
  <c r="K920" i="3"/>
  <c r="L920" i="3"/>
  <c r="M920" i="3"/>
  <c r="N920" i="3"/>
  <c r="O920" i="3"/>
  <c r="P920" i="3"/>
  <c r="Q920" i="3"/>
  <c r="R920" i="3"/>
  <c r="K921" i="3"/>
  <c r="L921" i="3"/>
  <c r="M921" i="3"/>
  <c r="N921" i="3"/>
  <c r="O921" i="3"/>
  <c r="P921" i="3"/>
  <c r="Q921" i="3"/>
  <c r="R921" i="3"/>
  <c r="K922" i="3"/>
  <c r="L922" i="3"/>
  <c r="M922" i="3"/>
  <c r="N922" i="3"/>
  <c r="O922" i="3"/>
  <c r="P922" i="3"/>
  <c r="Q922" i="3"/>
  <c r="R922" i="3"/>
  <c r="K923" i="3"/>
  <c r="L923" i="3"/>
  <c r="M923" i="3"/>
  <c r="N923" i="3"/>
  <c r="O923" i="3"/>
  <c r="P923" i="3"/>
  <c r="Q923" i="3"/>
  <c r="R923" i="3"/>
  <c r="K924" i="3"/>
  <c r="L924" i="3"/>
  <c r="M924" i="3"/>
  <c r="N924" i="3"/>
  <c r="O924" i="3"/>
  <c r="P924" i="3"/>
  <c r="Q924" i="3"/>
  <c r="R924" i="3"/>
  <c r="K925" i="3"/>
  <c r="L925" i="3"/>
  <c r="M925" i="3"/>
  <c r="N925" i="3"/>
  <c r="O925" i="3"/>
  <c r="P925" i="3"/>
  <c r="Q925" i="3"/>
  <c r="R925" i="3"/>
  <c r="K926" i="3"/>
  <c r="L926" i="3"/>
  <c r="M926" i="3"/>
  <c r="N926" i="3"/>
  <c r="O926" i="3"/>
  <c r="P926" i="3"/>
  <c r="Q926" i="3"/>
  <c r="R926" i="3"/>
  <c r="K927" i="3"/>
  <c r="L927" i="3"/>
  <c r="M927" i="3"/>
  <c r="N927" i="3"/>
  <c r="O927" i="3"/>
  <c r="P927" i="3"/>
  <c r="Q927" i="3"/>
  <c r="R927" i="3"/>
  <c r="K928" i="3"/>
  <c r="L928" i="3"/>
  <c r="M928" i="3"/>
  <c r="N928" i="3"/>
  <c r="O928" i="3"/>
  <c r="P928" i="3"/>
  <c r="Q928" i="3"/>
  <c r="R928" i="3"/>
  <c r="K929" i="3"/>
  <c r="L929" i="3"/>
  <c r="M929" i="3"/>
  <c r="N929" i="3"/>
  <c r="O929" i="3"/>
  <c r="P929" i="3"/>
  <c r="Q929" i="3"/>
  <c r="R929" i="3"/>
  <c r="K930" i="3"/>
  <c r="L930" i="3"/>
  <c r="M930" i="3"/>
  <c r="N930" i="3"/>
  <c r="O930" i="3"/>
  <c r="P930" i="3"/>
  <c r="Q930" i="3"/>
  <c r="R930" i="3"/>
  <c r="K931" i="3"/>
  <c r="L931" i="3"/>
  <c r="M931" i="3"/>
  <c r="N931" i="3"/>
  <c r="O931" i="3"/>
  <c r="P931" i="3"/>
  <c r="Q931" i="3"/>
  <c r="R931" i="3"/>
  <c r="K932" i="3"/>
  <c r="L932" i="3"/>
  <c r="M932" i="3"/>
  <c r="N932" i="3"/>
  <c r="O932" i="3"/>
  <c r="P932" i="3"/>
  <c r="Q932" i="3"/>
  <c r="R932" i="3"/>
  <c r="K933" i="3"/>
  <c r="L933" i="3"/>
  <c r="M933" i="3"/>
  <c r="N933" i="3"/>
  <c r="O933" i="3"/>
  <c r="P933" i="3"/>
  <c r="Q933" i="3"/>
  <c r="R933" i="3"/>
  <c r="K934" i="3"/>
  <c r="L934" i="3"/>
  <c r="M934" i="3"/>
  <c r="N934" i="3"/>
  <c r="O934" i="3"/>
  <c r="P934" i="3"/>
  <c r="Q934" i="3"/>
  <c r="R934" i="3"/>
  <c r="K935" i="3"/>
  <c r="L935" i="3"/>
  <c r="M935" i="3"/>
  <c r="N935" i="3"/>
  <c r="O935" i="3"/>
  <c r="P935" i="3"/>
  <c r="Q935" i="3"/>
  <c r="R935" i="3"/>
  <c r="K936" i="3"/>
  <c r="L936" i="3"/>
  <c r="M936" i="3"/>
  <c r="N936" i="3"/>
  <c r="O936" i="3"/>
  <c r="P936" i="3"/>
  <c r="Q936" i="3"/>
  <c r="R936" i="3"/>
  <c r="K937" i="3"/>
  <c r="L937" i="3"/>
  <c r="M937" i="3"/>
  <c r="N937" i="3"/>
  <c r="O937" i="3"/>
  <c r="P937" i="3"/>
  <c r="Q937" i="3"/>
  <c r="R937" i="3"/>
  <c r="K938" i="3"/>
  <c r="L938" i="3"/>
  <c r="M938" i="3"/>
  <c r="N938" i="3"/>
  <c r="O938" i="3"/>
  <c r="P938" i="3"/>
  <c r="Q938" i="3"/>
  <c r="R938" i="3"/>
  <c r="K939" i="3"/>
  <c r="L939" i="3"/>
  <c r="M939" i="3"/>
  <c r="N939" i="3"/>
  <c r="O939" i="3"/>
  <c r="P939" i="3"/>
  <c r="Q939" i="3"/>
  <c r="R939" i="3"/>
  <c r="K940" i="3"/>
  <c r="L940" i="3"/>
  <c r="M940" i="3"/>
  <c r="N940" i="3"/>
  <c r="O940" i="3"/>
  <c r="P940" i="3"/>
  <c r="Q940" i="3"/>
  <c r="R940" i="3"/>
  <c r="K941" i="3"/>
  <c r="L941" i="3"/>
  <c r="M941" i="3"/>
  <c r="N941" i="3"/>
  <c r="O941" i="3"/>
  <c r="P941" i="3"/>
  <c r="Q941" i="3"/>
  <c r="R941" i="3"/>
  <c r="K942" i="3"/>
  <c r="L942" i="3"/>
  <c r="M942" i="3"/>
  <c r="N942" i="3"/>
  <c r="O942" i="3"/>
  <c r="P942" i="3"/>
  <c r="Q942" i="3"/>
  <c r="R942" i="3"/>
  <c r="K943" i="3"/>
  <c r="L943" i="3"/>
  <c r="M943" i="3"/>
  <c r="N943" i="3"/>
  <c r="O943" i="3"/>
  <c r="P943" i="3"/>
  <c r="Q943" i="3"/>
  <c r="R943" i="3"/>
  <c r="K944" i="3"/>
  <c r="L944" i="3"/>
  <c r="M944" i="3"/>
  <c r="N944" i="3"/>
  <c r="O944" i="3"/>
  <c r="P944" i="3"/>
  <c r="Q944" i="3"/>
  <c r="R944" i="3"/>
  <c r="K945" i="3"/>
  <c r="L945" i="3"/>
  <c r="M945" i="3"/>
  <c r="N945" i="3"/>
  <c r="O945" i="3"/>
  <c r="P945" i="3"/>
  <c r="Q945" i="3"/>
  <c r="R945" i="3"/>
  <c r="K946" i="3"/>
  <c r="L946" i="3"/>
  <c r="M946" i="3"/>
  <c r="N946" i="3"/>
  <c r="O946" i="3"/>
  <c r="P946" i="3"/>
  <c r="Q946" i="3"/>
  <c r="R946" i="3"/>
  <c r="K947" i="3"/>
  <c r="L947" i="3"/>
  <c r="M947" i="3"/>
  <c r="N947" i="3"/>
  <c r="O947" i="3"/>
  <c r="P947" i="3"/>
  <c r="Q947" i="3"/>
  <c r="R947" i="3"/>
  <c r="K948" i="3"/>
  <c r="L948" i="3"/>
  <c r="M948" i="3"/>
  <c r="N948" i="3"/>
  <c r="O948" i="3"/>
  <c r="P948" i="3"/>
  <c r="Q948" i="3"/>
  <c r="R948" i="3"/>
  <c r="K949" i="3"/>
  <c r="L949" i="3"/>
  <c r="M949" i="3"/>
  <c r="N949" i="3"/>
  <c r="O949" i="3"/>
  <c r="P949" i="3"/>
  <c r="Q949" i="3"/>
  <c r="R949" i="3"/>
  <c r="K950" i="3"/>
  <c r="L950" i="3"/>
  <c r="M950" i="3"/>
  <c r="N950" i="3"/>
  <c r="O950" i="3"/>
  <c r="P950" i="3"/>
  <c r="Q950" i="3"/>
  <c r="R950" i="3"/>
  <c r="K951" i="3"/>
  <c r="L951" i="3"/>
  <c r="M951" i="3"/>
  <c r="N951" i="3"/>
  <c r="O951" i="3"/>
  <c r="P951" i="3"/>
  <c r="Q951" i="3"/>
  <c r="R951" i="3"/>
  <c r="K952" i="3"/>
  <c r="L952" i="3"/>
  <c r="M952" i="3"/>
  <c r="N952" i="3"/>
  <c r="O952" i="3"/>
  <c r="P952" i="3"/>
  <c r="Q952" i="3"/>
  <c r="R952" i="3"/>
  <c r="K953" i="3"/>
  <c r="L953" i="3"/>
  <c r="M953" i="3"/>
  <c r="N953" i="3"/>
  <c r="O953" i="3"/>
  <c r="P953" i="3"/>
  <c r="Q953" i="3"/>
  <c r="R953" i="3"/>
  <c r="K954" i="3"/>
  <c r="L954" i="3"/>
  <c r="M954" i="3"/>
  <c r="N954" i="3"/>
  <c r="O954" i="3"/>
  <c r="P954" i="3"/>
  <c r="Q954" i="3"/>
  <c r="R954" i="3"/>
  <c r="K955" i="3"/>
  <c r="L955" i="3"/>
  <c r="M955" i="3"/>
  <c r="N955" i="3"/>
  <c r="O955" i="3"/>
  <c r="P955" i="3"/>
  <c r="Q955" i="3"/>
  <c r="R955" i="3"/>
  <c r="K956" i="3"/>
  <c r="L956" i="3"/>
  <c r="M956" i="3"/>
  <c r="N956" i="3"/>
  <c r="O956" i="3"/>
  <c r="P956" i="3"/>
  <c r="Q956" i="3"/>
  <c r="R956" i="3"/>
  <c r="K957" i="3"/>
  <c r="L957" i="3"/>
  <c r="M957" i="3"/>
  <c r="N957" i="3"/>
  <c r="O957" i="3"/>
  <c r="P957" i="3"/>
  <c r="Q957" i="3"/>
  <c r="R957" i="3"/>
  <c r="K958" i="3"/>
  <c r="L958" i="3"/>
  <c r="M958" i="3"/>
  <c r="N958" i="3"/>
  <c r="O958" i="3"/>
  <c r="P958" i="3"/>
  <c r="Q958" i="3"/>
  <c r="R958" i="3"/>
  <c r="K959" i="3"/>
  <c r="L959" i="3"/>
  <c r="M959" i="3"/>
  <c r="N959" i="3"/>
  <c r="O959" i="3"/>
  <c r="P959" i="3"/>
  <c r="Q959" i="3"/>
  <c r="R959" i="3"/>
  <c r="K960" i="3"/>
  <c r="L960" i="3"/>
  <c r="M960" i="3"/>
  <c r="N960" i="3"/>
  <c r="O960" i="3"/>
  <c r="P960" i="3"/>
  <c r="Q960" i="3"/>
  <c r="R960" i="3"/>
  <c r="K961" i="3"/>
  <c r="L961" i="3"/>
  <c r="M961" i="3"/>
  <c r="N961" i="3"/>
  <c r="O961" i="3"/>
  <c r="P961" i="3"/>
  <c r="Q961" i="3"/>
  <c r="R961" i="3"/>
  <c r="K962" i="3"/>
  <c r="L962" i="3"/>
  <c r="M962" i="3"/>
  <c r="N962" i="3"/>
  <c r="O962" i="3"/>
  <c r="P962" i="3"/>
  <c r="Q962" i="3"/>
  <c r="R962" i="3"/>
  <c r="K963" i="3"/>
  <c r="L963" i="3"/>
  <c r="M963" i="3"/>
  <c r="N963" i="3"/>
  <c r="O963" i="3"/>
  <c r="P963" i="3"/>
  <c r="Q963" i="3"/>
  <c r="R963" i="3"/>
  <c r="K964" i="3"/>
  <c r="L964" i="3"/>
  <c r="M964" i="3"/>
  <c r="N964" i="3"/>
  <c r="O964" i="3"/>
  <c r="P964" i="3"/>
  <c r="Q964" i="3"/>
  <c r="R964" i="3"/>
  <c r="K965" i="3"/>
  <c r="L965" i="3"/>
  <c r="M965" i="3"/>
  <c r="N965" i="3"/>
  <c r="O965" i="3"/>
  <c r="P965" i="3"/>
  <c r="Q965" i="3"/>
  <c r="R965" i="3"/>
  <c r="K966" i="3"/>
  <c r="L966" i="3"/>
  <c r="M966" i="3"/>
  <c r="N966" i="3"/>
  <c r="O966" i="3"/>
  <c r="P966" i="3"/>
  <c r="Q966" i="3"/>
  <c r="R966" i="3"/>
  <c r="K967" i="3"/>
  <c r="L967" i="3"/>
  <c r="M967" i="3"/>
  <c r="N967" i="3"/>
  <c r="O967" i="3"/>
  <c r="P967" i="3"/>
  <c r="Q967" i="3"/>
  <c r="R967" i="3"/>
  <c r="K968" i="3"/>
  <c r="L968" i="3"/>
  <c r="M968" i="3"/>
  <c r="N968" i="3"/>
  <c r="O968" i="3"/>
  <c r="P968" i="3"/>
  <c r="Q968" i="3"/>
  <c r="R968" i="3"/>
  <c r="K969" i="3"/>
  <c r="L969" i="3"/>
  <c r="M969" i="3"/>
  <c r="N969" i="3"/>
  <c r="O969" i="3"/>
  <c r="P969" i="3"/>
  <c r="Q969" i="3"/>
  <c r="R969" i="3"/>
  <c r="K970" i="3"/>
  <c r="L970" i="3"/>
  <c r="M970" i="3"/>
  <c r="N970" i="3"/>
  <c r="O970" i="3"/>
  <c r="P970" i="3"/>
  <c r="Q970" i="3"/>
  <c r="R970" i="3"/>
  <c r="K971" i="3"/>
  <c r="L971" i="3"/>
  <c r="M971" i="3"/>
  <c r="N971" i="3"/>
  <c r="O971" i="3"/>
  <c r="P971" i="3"/>
  <c r="Q971" i="3"/>
  <c r="R971" i="3"/>
  <c r="K972" i="3"/>
  <c r="L972" i="3"/>
  <c r="M972" i="3"/>
  <c r="N972" i="3"/>
  <c r="O972" i="3"/>
  <c r="P972" i="3"/>
  <c r="Q972" i="3"/>
  <c r="R972" i="3"/>
  <c r="K973" i="3"/>
  <c r="L973" i="3"/>
  <c r="M973" i="3"/>
  <c r="N973" i="3"/>
  <c r="O973" i="3"/>
  <c r="P973" i="3"/>
  <c r="Q973" i="3"/>
  <c r="R973" i="3"/>
  <c r="K974" i="3"/>
  <c r="L974" i="3"/>
  <c r="M974" i="3"/>
  <c r="N974" i="3"/>
  <c r="O974" i="3"/>
  <c r="P974" i="3"/>
  <c r="Q974" i="3"/>
  <c r="R974" i="3"/>
  <c r="K975" i="3"/>
  <c r="L975" i="3"/>
  <c r="M975" i="3"/>
  <c r="N975" i="3"/>
  <c r="O975" i="3"/>
  <c r="P975" i="3"/>
  <c r="Q975" i="3"/>
  <c r="R975" i="3"/>
  <c r="K976" i="3"/>
  <c r="L976" i="3"/>
  <c r="M976" i="3"/>
  <c r="N976" i="3"/>
  <c r="O976" i="3"/>
  <c r="P976" i="3"/>
  <c r="Q976" i="3"/>
  <c r="R976" i="3"/>
  <c r="K977" i="3"/>
  <c r="L977" i="3"/>
  <c r="M977" i="3"/>
  <c r="N977" i="3"/>
  <c r="O977" i="3"/>
  <c r="P977" i="3"/>
  <c r="Q977" i="3"/>
  <c r="R977" i="3"/>
  <c r="K978" i="3"/>
  <c r="L978" i="3"/>
  <c r="M978" i="3"/>
  <c r="N978" i="3"/>
  <c r="O978" i="3"/>
  <c r="P978" i="3"/>
  <c r="Q978" i="3"/>
  <c r="R978" i="3"/>
  <c r="K979" i="3"/>
  <c r="L979" i="3"/>
  <c r="M979" i="3"/>
  <c r="N979" i="3"/>
  <c r="O979" i="3"/>
  <c r="P979" i="3"/>
  <c r="Q979" i="3"/>
  <c r="R979" i="3"/>
  <c r="K980" i="3"/>
  <c r="L980" i="3"/>
  <c r="M980" i="3"/>
  <c r="N980" i="3"/>
  <c r="O980" i="3"/>
  <c r="P980" i="3"/>
  <c r="Q980" i="3"/>
  <c r="R980" i="3"/>
  <c r="K981" i="3"/>
  <c r="L981" i="3"/>
  <c r="M981" i="3"/>
  <c r="N981" i="3"/>
  <c r="O981" i="3"/>
  <c r="P981" i="3"/>
  <c r="Q981" i="3"/>
  <c r="R981" i="3"/>
  <c r="K982" i="3"/>
  <c r="L982" i="3"/>
  <c r="M982" i="3"/>
  <c r="N982" i="3"/>
  <c r="O982" i="3"/>
  <c r="P982" i="3"/>
  <c r="Q982" i="3"/>
  <c r="R982" i="3"/>
  <c r="K983" i="3"/>
  <c r="L983" i="3"/>
  <c r="M983" i="3"/>
  <c r="N983" i="3"/>
  <c r="O983" i="3"/>
  <c r="P983" i="3"/>
  <c r="Q983" i="3"/>
  <c r="R983" i="3"/>
  <c r="K984" i="3"/>
  <c r="L984" i="3"/>
  <c r="M984" i="3"/>
  <c r="N984" i="3"/>
  <c r="O984" i="3"/>
  <c r="P984" i="3"/>
  <c r="Q984" i="3"/>
  <c r="R984" i="3"/>
  <c r="K985" i="3"/>
  <c r="L985" i="3"/>
  <c r="M985" i="3"/>
  <c r="N985" i="3"/>
  <c r="O985" i="3"/>
  <c r="P985" i="3"/>
  <c r="Q985" i="3"/>
  <c r="R985" i="3"/>
  <c r="K986" i="3"/>
  <c r="L986" i="3"/>
  <c r="M986" i="3"/>
  <c r="N986" i="3"/>
  <c r="O986" i="3"/>
  <c r="P986" i="3"/>
  <c r="Q986" i="3"/>
  <c r="R986" i="3"/>
  <c r="K987" i="3"/>
  <c r="L987" i="3"/>
  <c r="M987" i="3"/>
  <c r="N987" i="3"/>
  <c r="O987" i="3"/>
  <c r="P987" i="3"/>
  <c r="Q987" i="3"/>
  <c r="R987" i="3"/>
  <c r="K988" i="3"/>
  <c r="L988" i="3"/>
  <c r="M988" i="3"/>
  <c r="N988" i="3"/>
  <c r="O988" i="3"/>
  <c r="P988" i="3"/>
  <c r="Q988" i="3"/>
  <c r="R988" i="3"/>
  <c r="K989" i="3"/>
  <c r="L989" i="3"/>
  <c r="M989" i="3"/>
  <c r="N989" i="3"/>
  <c r="O989" i="3"/>
  <c r="P989" i="3"/>
  <c r="Q989" i="3"/>
  <c r="R989" i="3"/>
  <c r="K990" i="3"/>
  <c r="L990" i="3"/>
  <c r="M990" i="3"/>
  <c r="N990" i="3"/>
  <c r="O990" i="3"/>
  <c r="P990" i="3"/>
  <c r="Q990" i="3"/>
  <c r="R990" i="3"/>
  <c r="K991" i="3"/>
  <c r="L991" i="3"/>
  <c r="M991" i="3"/>
  <c r="N991" i="3"/>
  <c r="O991" i="3"/>
  <c r="P991" i="3"/>
  <c r="Q991" i="3"/>
  <c r="R991" i="3"/>
  <c r="K992" i="3"/>
  <c r="L992" i="3"/>
  <c r="M992" i="3"/>
  <c r="N992" i="3"/>
  <c r="O992" i="3"/>
  <c r="P992" i="3"/>
  <c r="Q992" i="3"/>
  <c r="R992" i="3"/>
  <c r="K993" i="3"/>
  <c r="L993" i="3"/>
  <c r="M993" i="3"/>
  <c r="N993" i="3"/>
  <c r="O993" i="3"/>
  <c r="P993" i="3"/>
  <c r="Q993" i="3"/>
  <c r="R993" i="3"/>
  <c r="K994" i="3"/>
  <c r="L994" i="3"/>
  <c r="M994" i="3"/>
  <c r="N994" i="3"/>
  <c r="O994" i="3"/>
  <c r="P994" i="3"/>
  <c r="Q994" i="3"/>
  <c r="R994" i="3"/>
  <c r="K995" i="3"/>
  <c r="L995" i="3"/>
  <c r="M995" i="3"/>
  <c r="N995" i="3"/>
  <c r="O995" i="3"/>
  <c r="P995" i="3"/>
  <c r="Q995" i="3"/>
  <c r="R995" i="3"/>
  <c r="K996" i="3"/>
  <c r="L996" i="3"/>
  <c r="M996" i="3"/>
  <c r="N996" i="3"/>
  <c r="O996" i="3"/>
  <c r="P996" i="3"/>
  <c r="Q996" i="3"/>
  <c r="R996" i="3"/>
  <c r="K997" i="3"/>
  <c r="L997" i="3"/>
  <c r="M997" i="3"/>
  <c r="N997" i="3"/>
  <c r="O997" i="3"/>
  <c r="P997" i="3"/>
  <c r="Q997" i="3"/>
  <c r="R997" i="3"/>
  <c r="K998" i="3"/>
  <c r="L998" i="3"/>
  <c r="M998" i="3"/>
  <c r="N998" i="3"/>
  <c r="O998" i="3"/>
  <c r="P998" i="3"/>
  <c r="Q998" i="3"/>
  <c r="R998" i="3"/>
  <c r="K999" i="3"/>
  <c r="L999" i="3"/>
  <c r="M999" i="3"/>
  <c r="N999" i="3"/>
  <c r="O999" i="3"/>
  <c r="P999" i="3"/>
  <c r="Q999" i="3"/>
  <c r="R999" i="3"/>
  <c r="K1000" i="3"/>
  <c r="L1000" i="3"/>
  <c r="M1000" i="3"/>
  <c r="N1000" i="3"/>
  <c r="O1000" i="3"/>
  <c r="P1000" i="3"/>
  <c r="Q1000" i="3"/>
  <c r="R1000" i="3"/>
  <c r="K1001" i="3"/>
  <c r="L1001" i="3"/>
  <c r="M1001" i="3"/>
  <c r="N1001" i="3"/>
  <c r="O1001" i="3"/>
  <c r="P1001" i="3"/>
  <c r="Q1001" i="3"/>
  <c r="R1001" i="3"/>
  <c r="K1002" i="3"/>
  <c r="L1002" i="3"/>
  <c r="M1002" i="3"/>
  <c r="N1002" i="3"/>
  <c r="O1002" i="3"/>
  <c r="P1002" i="3"/>
  <c r="Q1002" i="3"/>
  <c r="R1002" i="3"/>
  <c r="K1003" i="3"/>
  <c r="L1003" i="3"/>
  <c r="M1003" i="3"/>
  <c r="N1003" i="3"/>
  <c r="O1003" i="3"/>
  <c r="P1003" i="3"/>
  <c r="Q1003" i="3"/>
  <c r="R1003" i="3"/>
  <c r="K1004" i="3"/>
  <c r="L1004" i="3"/>
  <c r="M1004" i="3"/>
  <c r="N1004" i="3"/>
  <c r="O1004" i="3"/>
  <c r="P1004" i="3"/>
  <c r="Q1004" i="3"/>
  <c r="R1004" i="3"/>
  <c r="K1005" i="3"/>
  <c r="L1005" i="3"/>
  <c r="M1005" i="3"/>
  <c r="N1005" i="3"/>
  <c r="O1005" i="3"/>
  <c r="P1005" i="3"/>
  <c r="Q1005" i="3"/>
  <c r="R1005" i="3"/>
  <c r="K1006" i="3"/>
  <c r="L1006" i="3"/>
  <c r="M1006" i="3"/>
  <c r="N1006" i="3"/>
  <c r="O1006" i="3"/>
  <c r="P1006" i="3"/>
  <c r="Q1006" i="3"/>
  <c r="R1006" i="3"/>
  <c r="K1007" i="3"/>
  <c r="L1007" i="3"/>
  <c r="M1007" i="3"/>
  <c r="N1007" i="3"/>
  <c r="O1007" i="3"/>
  <c r="P1007" i="3"/>
  <c r="Q1007" i="3"/>
  <c r="R1007" i="3"/>
  <c r="K1008" i="3"/>
  <c r="L1008" i="3"/>
  <c r="M1008" i="3"/>
  <c r="N1008" i="3"/>
  <c r="O1008" i="3"/>
  <c r="P1008" i="3"/>
  <c r="Q1008" i="3"/>
  <c r="R1008" i="3"/>
  <c r="K1009" i="3"/>
  <c r="L1009" i="3"/>
  <c r="M1009" i="3"/>
  <c r="N1009" i="3"/>
  <c r="O1009" i="3"/>
  <c r="P1009" i="3"/>
  <c r="Q1009" i="3"/>
  <c r="R1009" i="3"/>
  <c r="K1010" i="3"/>
  <c r="L1010" i="3"/>
  <c r="M1010" i="3"/>
  <c r="N1010" i="3"/>
  <c r="O1010" i="3"/>
  <c r="P1010" i="3"/>
  <c r="Q1010" i="3"/>
  <c r="R1010" i="3"/>
  <c r="K1011" i="3"/>
  <c r="L1011" i="3"/>
  <c r="M1011" i="3"/>
  <c r="N1011" i="3"/>
  <c r="O1011" i="3"/>
  <c r="P1011" i="3"/>
  <c r="Q1011" i="3"/>
  <c r="R1011" i="3"/>
  <c r="K1012" i="3"/>
  <c r="L1012" i="3"/>
  <c r="M1012" i="3"/>
  <c r="N1012" i="3"/>
  <c r="O1012" i="3"/>
  <c r="P1012" i="3"/>
  <c r="Q1012" i="3"/>
  <c r="R1012" i="3"/>
  <c r="K1013" i="3"/>
  <c r="L1013" i="3"/>
  <c r="M1013" i="3"/>
  <c r="N1013" i="3"/>
  <c r="O1013" i="3"/>
  <c r="P1013" i="3"/>
  <c r="Q1013" i="3"/>
  <c r="R1013" i="3"/>
  <c r="K1014" i="3"/>
  <c r="L1014" i="3"/>
  <c r="M1014" i="3"/>
  <c r="N1014" i="3"/>
  <c r="O1014" i="3"/>
  <c r="P1014" i="3"/>
  <c r="Q1014" i="3"/>
  <c r="R1014" i="3"/>
  <c r="K1015" i="3"/>
  <c r="L1015" i="3"/>
  <c r="M1015" i="3"/>
  <c r="N1015" i="3"/>
  <c r="O1015" i="3"/>
  <c r="P1015" i="3"/>
  <c r="Q1015" i="3"/>
  <c r="R1015" i="3"/>
  <c r="K1016" i="3"/>
  <c r="L1016" i="3"/>
  <c r="M1016" i="3"/>
  <c r="N1016" i="3"/>
  <c r="O1016" i="3"/>
  <c r="P1016" i="3"/>
  <c r="Q1016" i="3"/>
  <c r="R1016" i="3"/>
  <c r="K1017" i="3"/>
  <c r="L1017" i="3"/>
  <c r="M1017" i="3"/>
  <c r="N1017" i="3"/>
  <c r="O1017" i="3"/>
  <c r="P1017" i="3"/>
  <c r="Q1017" i="3"/>
  <c r="R1017" i="3"/>
  <c r="K1018" i="3"/>
  <c r="L1018" i="3"/>
  <c r="M1018" i="3"/>
  <c r="N1018" i="3"/>
  <c r="O1018" i="3"/>
  <c r="P1018" i="3"/>
  <c r="Q1018" i="3"/>
  <c r="R1018" i="3"/>
  <c r="K1019" i="3"/>
  <c r="L1019" i="3"/>
  <c r="M1019" i="3"/>
  <c r="N1019" i="3"/>
  <c r="O1019" i="3"/>
  <c r="P1019" i="3"/>
  <c r="Q1019" i="3"/>
  <c r="R1019" i="3"/>
  <c r="K1020" i="3"/>
  <c r="L1020" i="3"/>
  <c r="M1020" i="3"/>
  <c r="N1020" i="3"/>
  <c r="O1020" i="3"/>
  <c r="P1020" i="3"/>
  <c r="Q1020" i="3"/>
  <c r="R1020" i="3"/>
  <c r="K1021" i="3"/>
  <c r="L1021" i="3"/>
  <c r="M1021" i="3"/>
  <c r="N1021" i="3"/>
  <c r="O1021" i="3"/>
  <c r="P1021" i="3"/>
  <c r="Q1021" i="3"/>
  <c r="R1021" i="3"/>
  <c r="K1022" i="3"/>
  <c r="L1022" i="3"/>
  <c r="M1022" i="3"/>
  <c r="N1022" i="3"/>
  <c r="O1022" i="3"/>
  <c r="P1022" i="3"/>
  <c r="Q1022" i="3"/>
  <c r="R1022" i="3"/>
  <c r="K1023" i="3"/>
  <c r="L1023" i="3"/>
  <c r="M1023" i="3"/>
  <c r="N1023" i="3"/>
  <c r="O1023" i="3"/>
  <c r="P1023" i="3"/>
  <c r="Q1023" i="3"/>
  <c r="R1023" i="3"/>
  <c r="K1024" i="3"/>
  <c r="L1024" i="3"/>
  <c r="M1024" i="3"/>
  <c r="N1024" i="3"/>
  <c r="O1024" i="3"/>
  <c r="P1024" i="3"/>
  <c r="Q1024" i="3"/>
  <c r="R1024" i="3"/>
  <c r="K1025" i="3"/>
  <c r="L1025" i="3"/>
  <c r="M1025" i="3"/>
  <c r="N1025" i="3"/>
  <c r="O1025" i="3"/>
  <c r="P1025" i="3"/>
  <c r="Q1025" i="3"/>
  <c r="R1025" i="3"/>
  <c r="K1026" i="3"/>
  <c r="L1026" i="3"/>
  <c r="M1026" i="3"/>
  <c r="N1026" i="3"/>
  <c r="O1026" i="3"/>
  <c r="P1026" i="3"/>
  <c r="Q1026" i="3"/>
  <c r="R1026" i="3"/>
  <c r="K1027" i="3"/>
  <c r="L1027" i="3"/>
  <c r="M1027" i="3"/>
  <c r="N1027" i="3"/>
  <c r="O1027" i="3"/>
  <c r="P1027" i="3"/>
  <c r="Q1027" i="3"/>
  <c r="R1027" i="3"/>
  <c r="K1028" i="3"/>
  <c r="L1028" i="3"/>
  <c r="M1028" i="3"/>
  <c r="N1028" i="3"/>
  <c r="O1028" i="3"/>
  <c r="P1028" i="3"/>
  <c r="Q1028" i="3"/>
  <c r="R1028" i="3"/>
  <c r="K1029" i="3"/>
  <c r="L1029" i="3"/>
  <c r="M1029" i="3"/>
  <c r="N1029" i="3"/>
  <c r="O1029" i="3"/>
  <c r="P1029" i="3"/>
  <c r="Q1029" i="3"/>
  <c r="R1029" i="3"/>
  <c r="K1030" i="3"/>
  <c r="L1030" i="3"/>
  <c r="M1030" i="3"/>
  <c r="N1030" i="3"/>
  <c r="O1030" i="3"/>
  <c r="P1030" i="3"/>
  <c r="Q1030" i="3"/>
  <c r="R1030" i="3"/>
  <c r="K1031" i="3"/>
  <c r="L1031" i="3"/>
  <c r="M1031" i="3"/>
  <c r="N1031" i="3"/>
  <c r="O1031" i="3"/>
  <c r="P1031" i="3"/>
  <c r="Q1031" i="3"/>
  <c r="R1031" i="3"/>
  <c r="K1032" i="3"/>
  <c r="L1032" i="3"/>
  <c r="M1032" i="3"/>
  <c r="N1032" i="3"/>
  <c r="O1032" i="3"/>
  <c r="P1032" i="3"/>
  <c r="Q1032" i="3"/>
  <c r="R1032" i="3"/>
  <c r="K1033" i="3"/>
  <c r="L1033" i="3"/>
  <c r="M1033" i="3"/>
  <c r="N1033" i="3"/>
  <c r="O1033" i="3"/>
  <c r="P1033" i="3"/>
  <c r="Q1033" i="3"/>
  <c r="R1033" i="3"/>
  <c r="K1034" i="3"/>
  <c r="L1034" i="3"/>
  <c r="M1034" i="3"/>
  <c r="N1034" i="3"/>
  <c r="O1034" i="3"/>
  <c r="P1034" i="3"/>
  <c r="Q1034" i="3"/>
  <c r="R1034" i="3"/>
  <c r="K1035" i="3"/>
  <c r="L1035" i="3"/>
  <c r="M1035" i="3"/>
  <c r="N1035" i="3"/>
  <c r="O1035" i="3"/>
  <c r="P1035" i="3"/>
  <c r="Q1035" i="3"/>
  <c r="R1035" i="3"/>
  <c r="K1036" i="3"/>
  <c r="L1036" i="3"/>
  <c r="M1036" i="3"/>
  <c r="N1036" i="3"/>
  <c r="O1036" i="3"/>
  <c r="P1036" i="3"/>
  <c r="Q1036" i="3"/>
  <c r="R1036" i="3"/>
  <c r="K1037" i="3"/>
  <c r="L1037" i="3"/>
  <c r="M1037" i="3"/>
  <c r="N1037" i="3"/>
  <c r="O1037" i="3"/>
  <c r="P1037" i="3"/>
  <c r="Q1037" i="3"/>
  <c r="R1037" i="3"/>
  <c r="K1038" i="3"/>
  <c r="L1038" i="3"/>
  <c r="M1038" i="3"/>
  <c r="N1038" i="3"/>
  <c r="O1038" i="3"/>
  <c r="P1038" i="3"/>
  <c r="Q1038" i="3"/>
  <c r="R1038" i="3"/>
  <c r="K1039" i="3"/>
  <c r="L1039" i="3"/>
  <c r="M1039" i="3"/>
  <c r="N1039" i="3"/>
  <c r="O1039" i="3"/>
  <c r="P1039" i="3"/>
  <c r="Q1039" i="3"/>
  <c r="R1039" i="3"/>
  <c r="K1040" i="3"/>
  <c r="L1040" i="3"/>
  <c r="M1040" i="3"/>
  <c r="N1040" i="3"/>
  <c r="O1040" i="3"/>
  <c r="P1040" i="3"/>
  <c r="Q1040" i="3"/>
  <c r="R1040" i="3"/>
  <c r="K1041" i="3"/>
  <c r="L1041" i="3"/>
  <c r="M1041" i="3"/>
  <c r="N1041" i="3"/>
  <c r="O1041" i="3"/>
  <c r="P1041" i="3"/>
  <c r="Q1041" i="3"/>
  <c r="R1041" i="3"/>
  <c r="K1042" i="3"/>
  <c r="L1042" i="3"/>
  <c r="M1042" i="3"/>
  <c r="N1042" i="3"/>
  <c r="O1042" i="3"/>
  <c r="P1042" i="3"/>
  <c r="Q1042" i="3"/>
  <c r="R1042" i="3"/>
  <c r="K1043" i="3"/>
  <c r="L1043" i="3"/>
  <c r="M1043" i="3"/>
  <c r="N1043" i="3"/>
  <c r="O1043" i="3"/>
  <c r="P1043" i="3"/>
  <c r="Q1043" i="3"/>
  <c r="R1043" i="3"/>
  <c r="K1044" i="3"/>
  <c r="L1044" i="3"/>
  <c r="M1044" i="3"/>
  <c r="N1044" i="3"/>
  <c r="O1044" i="3"/>
  <c r="P1044" i="3"/>
  <c r="Q1044" i="3"/>
  <c r="R1044" i="3"/>
  <c r="K1045" i="3"/>
  <c r="L1045" i="3"/>
  <c r="M1045" i="3"/>
  <c r="N1045" i="3"/>
  <c r="O1045" i="3"/>
  <c r="P1045" i="3"/>
  <c r="Q1045" i="3"/>
  <c r="R1045" i="3"/>
  <c r="K1046" i="3"/>
  <c r="L1046" i="3"/>
  <c r="M1046" i="3"/>
  <c r="N1046" i="3"/>
  <c r="O1046" i="3"/>
  <c r="P1046" i="3"/>
  <c r="Q1046" i="3"/>
  <c r="R1046" i="3"/>
  <c r="K1047" i="3"/>
  <c r="L1047" i="3"/>
  <c r="M1047" i="3"/>
  <c r="N1047" i="3"/>
  <c r="O1047" i="3"/>
  <c r="P1047" i="3"/>
  <c r="Q1047" i="3"/>
  <c r="R1047" i="3"/>
  <c r="K1048" i="3"/>
  <c r="L1048" i="3"/>
  <c r="M1048" i="3"/>
  <c r="N1048" i="3"/>
  <c r="O1048" i="3"/>
  <c r="P1048" i="3"/>
  <c r="Q1048" i="3"/>
  <c r="R1048" i="3"/>
  <c r="K1049" i="3"/>
  <c r="L1049" i="3"/>
  <c r="M1049" i="3"/>
  <c r="N1049" i="3"/>
  <c r="O1049" i="3"/>
  <c r="P1049" i="3"/>
  <c r="Q1049" i="3"/>
  <c r="R1049" i="3"/>
  <c r="K1050" i="3"/>
  <c r="L1050" i="3"/>
  <c r="M1050" i="3"/>
  <c r="N1050" i="3"/>
  <c r="O1050" i="3"/>
  <c r="P1050" i="3"/>
  <c r="Q1050" i="3"/>
  <c r="R1050" i="3"/>
  <c r="K1051" i="3"/>
  <c r="L1051" i="3"/>
  <c r="M1051" i="3"/>
  <c r="N1051" i="3"/>
  <c r="O1051" i="3"/>
  <c r="P1051" i="3"/>
  <c r="Q1051" i="3"/>
  <c r="R1051" i="3"/>
  <c r="K1052" i="3"/>
  <c r="L1052" i="3"/>
  <c r="M1052" i="3"/>
  <c r="N1052" i="3"/>
  <c r="O1052" i="3"/>
  <c r="P1052" i="3"/>
  <c r="Q1052" i="3"/>
  <c r="R1052" i="3"/>
  <c r="K1053" i="3"/>
  <c r="L1053" i="3"/>
  <c r="M1053" i="3"/>
  <c r="N1053" i="3"/>
  <c r="O1053" i="3"/>
  <c r="P1053" i="3"/>
  <c r="Q1053" i="3"/>
  <c r="R1053" i="3"/>
  <c r="K1054" i="3"/>
  <c r="L1054" i="3"/>
  <c r="M1054" i="3"/>
  <c r="N1054" i="3"/>
  <c r="O1054" i="3"/>
  <c r="P1054" i="3"/>
  <c r="Q1054" i="3"/>
  <c r="R1054" i="3"/>
  <c r="K1055" i="3"/>
  <c r="L1055" i="3"/>
  <c r="M1055" i="3"/>
  <c r="N1055" i="3"/>
  <c r="O1055" i="3"/>
  <c r="P1055" i="3"/>
  <c r="Q1055" i="3"/>
  <c r="R1055" i="3"/>
  <c r="K1056" i="3"/>
  <c r="L1056" i="3"/>
  <c r="M1056" i="3"/>
  <c r="N1056" i="3"/>
  <c r="O1056" i="3"/>
  <c r="P1056" i="3"/>
  <c r="Q1056" i="3"/>
  <c r="R1056" i="3"/>
  <c r="K1057" i="3"/>
  <c r="L1057" i="3"/>
  <c r="M1057" i="3"/>
  <c r="N1057" i="3"/>
  <c r="O1057" i="3"/>
  <c r="P1057" i="3"/>
  <c r="Q1057" i="3"/>
  <c r="R1057" i="3"/>
  <c r="K1058" i="3"/>
  <c r="L1058" i="3"/>
  <c r="M1058" i="3"/>
  <c r="N1058" i="3"/>
  <c r="O1058" i="3"/>
  <c r="P1058" i="3"/>
  <c r="Q1058" i="3"/>
  <c r="R1058" i="3"/>
  <c r="K1059" i="3"/>
  <c r="L1059" i="3"/>
  <c r="M1059" i="3"/>
  <c r="N1059" i="3"/>
  <c r="O1059" i="3"/>
  <c r="P1059" i="3"/>
  <c r="Q1059" i="3"/>
  <c r="R1059" i="3"/>
  <c r="K1060" i="3"/>
  <c r="L1060" i="3"/>
  <c r="M1060" i="3"/>
  <c r="N1060" i="3"/>
  <c r="O1060" i="3"/>
  <c r="P1060" i="3"/>
  <c r="Q1060" i="3"/>
  <c r="R1060" i="3"/>
  <c r="K1061" i="3"/>
  <c r="L1061" i="3"/>
  <c r="M1061" i="3"/>
  <c r="N1061" i="3"/>
  <c r="O1061" i="3"/>
  <c r="P1061" i="3"/>
  <c r="Q1061" i="3"/>
  <c r="R1061" i="3"/>
  <c r="K1062" i="3"/>
  <c r="L1062" i="3"/>
  <c r="M1062" i="3"/>
  <c r="N1062" i="3"/>
  <c r="O1062" i="3"/>
  <c r="P1062" i="3"/>
  <c r="Q1062" i="3"/>
  <c r="R1062" i="3"/>
  <c r="K1063" i="3"/>
  <c r="L1063" i="3"/>
  <c r="M1063" i="3"/>
  <c r="N1063" i="3"/>
  <c r="O1063" i="3"/>
  <c r="P1063" i="3"/>
  <c r="Q1063" i="3"/>
  <c r="R1063" i="3"/>
  <c r="K1064" i="3"/>
  <c r="L1064" i="3"/>
  <c r="M1064" i="3"/>
  <c r="N1064" i="3"/>
  <c r="O1064" i="3"/>
  <c r="P1064" i="3"/>
  <c r="Q1064" i="3"/>
  <c r="R1064" i="3"/>
  <c r="K1065" i="3"/>
  <c r="L1065" i="3"/>
  <c r="M1065" i="3"/>
  <c r="N1065" i="3"/>
  <c r="O1065" i="3"/>
  <c r="P1065" i="3"/>
  <c r="Q1065" i="3"/>
  <c r="R1065" i="3"/>
  <c r="K1066" i="3"/>
  <c r="L1066" i="3"/>
  <c r="M1066" i="3"/>
  <c r="N1066" i="3"/>
  <c r="O1066" i="3"/>
  <c r="P1066" i="3"/>
  <c r="Q1066" i="3"/>
  <c r="R1066" i="3"/>
  <c r="K1067" i="3"/>
  <c r="L1067" i="3"/>
  <c r="M1067" i="3"/>
  <c r="N1067" i="3"/>
  <c r="O1067" i="3"/>
  <c r="P1067" i="3"/>
  <c r="Q1067" i="3"/>
  <c r="R1067" i="3"/>
  <c r="K1068" i="3"/>
  <c r="L1068" i="3"/>
  <c r="M1068" i="3"/>
  <c r="N1068" i="3"/>
  <c r="O1068" i="3"/>
  <c r="P1068" i="3"/>
  <c r="Q1068" i="3"/>
  <c r="R1068" i="3"/>
  <c r="K1069" i="3"/>
  <c r="L1069" i="3"/>
  <c r="M1069" i="3"/>
  <c r="N1069" i="3"/>
  <c r="O1069" i="3"/>
  <c r="P1069" i="3"/>
  <c r="Q1069" i="3"/>
  <c r="R1069" i="3"/>
  <c r="K1070" i="3"/>
  <c r="L1070" i="3"/>
  <c r="M1070" i="3"/>
  <c r="N1070" i="3"/>
  <c r="O1070" i="3"/>
  <c r="P1070" i="3"/>
  <c r="Q1070" i="3"/>
  <c r="R1070" i="3"/>
  <c r="K1071" i="3"/>
  <c r="L1071" i="3"/>
  <c r="M1071" i="3"/>
  <c r="N1071" i="3"/>
  <c r="O1071" i="3"/>
  <c r="P1071" i="3"/>
  <c r="Q1071" i="3"/>
  <c r="R1071" i="3"/>
  <c r="K1072" i="3"/>
  <c r="L1072" i="3"/>
  <c r="M1072" i="3"/>
  <c r="N1072" i="3"/>
  <c r="O1072" i="3"/>
  <c r="P1072" i="3"/>
  <c r="Q1072" i="3"/>
  <c r="R1072" i="3"/>
  <c r="K1073" i="3"/>
  <c r="L1073" i="3"/>
  <c r="M1073" i="3"/>
  <c r="N1073" i="3"/>
  <c r="O1073" i="3"/>
  <c r="P1073" i="3"/>
  <c r="Q1073" i="3"/>
  <c r="R1073" i="3"/>
  <c r="K1074" i="3"/>
  <c r="L1074" i="3"/>
  <c r="M1074" i="3"/>
  <c r="N1074" i="3"/>
  <c r="O1074" i="3"/>
  <c r="P1074" i="3"/>
  <c r="Q1074" i="3"/>
  <c r="R1074" i="3"/>
  <c r="K1075" i="3"/>
  <c r="L1075" i="3"/>
  <c r="M1075" i="3"/>
  <c r="N1075" i="3"/>
  <c r="O1075" i="3"/>
  <c r="P1075" i="3"/>
  <c r="Q1075" i="3"/>
  <c r="R1075" i="3"/>
  <c r="K1076" i="3"/>
  <c r="L1076" i="3"/>
  <c r="M1076" i="3"/>
  <c r="N1076" i="3"/>
  <c r="O1076" i="3"/>
  <c r="P1076" i="3"/>
  <c r="Q1076" i="3"/>
  <c r="R1076" i="3"/>
  <c r="K1077" i="3"/>
  <c r="L1077" i="3"/>
  <c r="M1077" i="3"/>
  <c r="N1077" i="3"/>
  <c r="O1077" i="3"/>
  <c r="P1077" i="3"/>
  <c r="Q1077" i="3"/>
  <c r="R1077" i="3"/>
  <c r="K1078" i="3"/>
  <c r="L1078" i="3"/>
  <c r="M1078" i="3"/>
  <c r="N1078" i="3"/>
  <c r="O1078" i="3"/>
  <c r="P1078" i="3"/>
  <c r="Q1078" i="3"/>
  <c r="R1078" i="3"/>
  <c r="K1079" i="3"/>
  <c r="L1079" i="3"/>
  <c r="M1079" i="3"/>
  <c r="N1079" i="3"/>
  <c r="O1079" i="3"/>
  <c r="P1079" i="3"/>
  <c r="Q1079" i="3"/>
  <c r="R1079" i="3"/>
  <c r="K1080" i="3"/>
  <c r="L1080" i="3"/>
  <c r="M1080" i="3"/>
  <c r="N1080" i="3"/>
  <c r="O1080" i="3"/>
  <c r="P1080" i="3"/>
  <c r="Q1080" i="3"/>
  <c r="R1080" i="3"/>
  <c r="K1081" i="3"/>
  <c r="L1081" i="3"/>
  <c r="M1081" i="3"/>
  <c r="N1081" i="3"/>
  <c r="O1081" i="3"/>
  <c r="P1081" i="3"/>
  <c r="Q1081" i="3"/>
  <c r="R1081" i="3"/>
  <c r="K1082" i="3"/>
  <c r="L1082" i="3"/>
  <c r="M1082" i="3"/>
  <c r="N1082" i="3"/>
  <c r="O1082" i="3"/>
  <c r="P1082" i="3"/>
  <c r="Q1082" i="3"/>
  <c r="R1082" i="3"/>
  <c r="K1083" i="3"/>
  <c r="L1083" i="3"/>
  <c r="M1083" i="3"/>
  <c r="N1083" i="3"/>
  <c r="O1083" i="3"/>
  <c r="P1083" i="3"/>
  <c r="Q1083" i="3"/>
  <c r="R1083" i="3"/>
  <c r="K1084" i="3"/>
  <c r="L1084" i="3"/>
  <c r="M1084" i="3"/>
  <c r="N1084" i="3"/>
  <c r="O1084" i="3"/>
  <c r="P1084" i="3"/>
  <c r="Q1084" i="3"/>
  <c r="R1084" i="3"/>
  <c r="K1085" i="3"/>
  <c r="L1085" i="3"/>
  <c r="M1085" i="3"/>
  <c r="N1085" i="3"/>
  <c r="O1085" i="3"/>
  <c r="P1085" i="3"/>
  <c r="Q1085" i="3"/>
  <c r="R1085" i="3"/>
  <c r="K1086" i="3"/>
  <c r="L1086" i="3"/>
  <c r="M1086" i="3"/>
  <c r="N1086" i="3"/>
  <c r="O1086" i="3"/>
  <c r="P1086" i="3"/>
  <c r="Q1086" i="3"/>
  <c r="R1086" i="3"/>
  <c r="K1087" i="3"/>
  <c r="L1087" i="3"/>
  <c r="M1087" i="3"/>
  <c r="N1087" i="3"/>
  <c r="O1087" i="3"/>
  <c r="P1087" i="3"/>
  <c r="Q1087" i="3"/>
  <c r="R1087" i="3"/>
  <c r="K1088" i="3"/>
  <c r="L1088" i="3"/>
  <c r="M1088" i="3"/>
  <c r="N1088" i="3"/>
  <c r="O1088" i="3"/>
  <c r="P1088" i="3"/>
  <c r="Q1088" i="3"/>
  <c r="R1088" i="3"/>
  <c r="K1089" i="3"/>
  <c r="L1089" i="3"/>
  <c r="M1089" i="3"/>
  <c r="N1089" i="3"/>
  <c r="O1089" i="3"/>
  <c r="P1089" i="3"/>
  <c r="Q1089" i="3"/>
  <c r="R1089" i="3"/>
  <c r="K1090" i="3"/>
  <c r="L1090" i="3"/>
  <c r="M1090" i="3"/>
  <c r="N1090" i="3"/>
  <c r="O1090" i="3"/>
  <c r="P1090" i="3"/>
  <c r="Q1090" i="3"/>
  <c r="R1090" i="3"/>
  <c r="K1091" i="3"/>
  <c r="L1091" i="3"/>
  <c r="M1091" i="3"/>
  <c r="N1091" i="3"/>
  <c r="O1091" i="3"/>
  <c r="P1091" i="3"/>
  <c r="Q1091" i="3"/>
  <c r="R1091" i="3"/>
  <c r="K1092" i="3"/>
  <c r="L1092" i="3"/>
  <c r="M1092" i="3"/>
  <c r="N1092" i="3"/>
  <c r="O1092" i="3"/>
  <c r="P1092" i="3"/>
  <c r="Q1092" i="3"/>
  <c r="R1092" i="3"/>
  <c r="K1093" i="3"/>
  <c r="L1093" i="3"/>
  <c r="M1093" i="3"/>
  <c r="N1093" i="3"/>
  <c r="O1093" i="3"/>
  <c r="P1093" i="3"/>
  <c r="Q1093" i="3"/>
  <c r="R1093" i="3"/>
  <c r="K1094" i="3"/>
  <c r="L1094" i="3"/>
  <c r="M1094" i="3"/>
  <c r="N1094" i="3"/>
  <c r="O1094" i="3"/>
  <c r="P1094" i="3"/>
  <c r="Q1094" i="3"/>
  <c r="R1094" i="3"/>
  <c r="K1095" i="3"/>
  <c r="L1095" i="3"/>
  <c r="M1095" i="3"/>
  <c r="N1095" i="3"/>
  <c r="O1095" i="3"/>
  <c r="P1095" i="3"/>
  <c r="Q1095" i="3"/>
  <c r="R1095" i="3"/>
  <c r="K1096" i="3"/>
  <c r="L1096" i="3"/>
  <c r="M1096" i="3"/>
  <c r="N1096" i="3"/>
  <c r="O1096" i="3"/>
  <c r="P1096" i="3"/>
  <c r="Q1096" i="3"/>
  <c r="R1096" i="3"/>
  <c r="K1097" i="3"/>
  <c r="L1097" i="3"/>
  <c r="M1097" i="3"/>
  <c r="N1097" i="3"/>
  <c r="O1097" i="3"/>
  <c r="P1097" i="3"/>
  <c r="Q1097" i="3"/>
  <c r="R1097" i="3"/>
  <c r="K1098" i="3"/>
  <c r="L1098" i="3"/>
  <c r="M1098" i="3"/>
  <c r="N1098" i="3"/>
  <c r="O1098" i="3"/>
  <c r="P1098" i="3"/>
  <c r="Q1098" i="3"/>
  <c r="R1098" i="3"/>
  <c r="K1099" i="3"/>
  <c r="L1099" i="3"/>
  <c r="M1099" i="3"/>
  <c r="N1099" i="3"/>
  <c r="O1099" i="3"/>
  <c r="P1099" i="3"/>
  <c r="Q1099" i="3"/>
  <c r="R1099" i="3"/>
  <c r="K1100" i="3"/>
  <c r="L1100" i="3"/>
  <c r="M1100" i="3"/>
  <c r="N1100" i="3"/>
  <c r="O1100" i="3"/>
  <c r="P1100" i="3"/>
  <c r="Q1100" i="3"/>
  <c r="R1100" i="3"/>
  <c r="K1101" i="3"/>
  <c r="L1101" i="3"/>
  <c r="M1101" i="3"/>
  <c r="N1101" i="3"/>
  <c r="O1101" i="3"/>
  <c r="P1101" i="3"/>
  <c r="Q1101" i="3"/>
  <c r="R1101" i="3"/>
  <c r="K1102" i="3"/>
  <c r="L1102" i="3"/>
  <c r="M1102" i="3"/>
  <c r="N1102" i="3"/>
  <c r="O1102" i="3"/>
  <c r="P1102" i="3"/>
  <c r="Q1102" i="3"/>
  <c r="R1102" i="3"/>
  <c r="K1103" i="3"/>
  <c r="L1103" i="3"/>
  <c r="M1103" i="3"/>
  <c r="N1103" i="3"/>
  <c r="O1103" i="3"/>
  <c r="P1103" i="3"/>
  <c r="Q1103" i="3"/>
  <c r="R1103" i="3"/>
  <c r="K1104" i="3"/>
  <c r="L1104" i="3"/>
  <c r="M1104" i="3"/>
  <c r="N1104" i="3"/>
  <c r="O1104" i="3"/>
  <c r="P1104" i="3"/>
  <c r="Q1104" i="3"/>
  <c r="R1104" i="3"/>
  <c r="K1105" i="3"/>
  <c r="L1105" i="3"/>
  <c r="M1105" i="3"/>
  <c r="N1105" i="3"/>
  <c r="O1105" i="3"/>
  <c r="P1105" i="3"/>
  <c r="Q1105" i="3"/>
  <c r="R1105" i="3"/>
  <c r="K1106" i="3"/>
  <c r="L1106" i="3"/>
  <c r="M1106" i="3"/>
  <c r="N1106" i="3"/>
  <c r="O1106" i="3"/>
  <c r="P1106" i="3"/>
  <c r="Q1106" i="3"/>
  <c r="R1106" i="3"/>
  <c r="K1107" i="3"/>
  <c r="L1107" i="3"/>
  <c r="M1107" i="3"/>
  <c r="N1107" i="3"/>
  <c r="O1107" i="3"/>
  <c r="P1107" i="3"/>
  <c r="Q1107" i="3"/>
  <c r="R1107" i="3"/>
  <c r="K1108" i="3"/>
  <c r="L1108" i="3"/>
  <c r="M1108" i="3"/>
  <c r="N1108" i="3"/>
  <c r="O1108" i="3"/>
  <c r="P1108" i="3"/>
  <c r="Q1108" i="3"/>
  <c r="R1108" i="3"/>
  <c r="K1109" i="3"/>
  <c r="L1109" i="3"/>
  <c r="M1109" i="3"/>
  <c r="N1109" i="3"/>
  <c r="O1109" i="3"/>
  <c r="P1109" i="3"/>
  <c r="Q1109" i="3"/>
  <c r="R1109" i="3"/>
  <c r="K1110" i="3"/>
  <c r="L1110" i="3"/>
  <c r="M1110" i="3"/>
  <c r="N1110" i="3"/>
  <c r="O1110" i="3"/>
  <c r="P1110" i="3"/>
  <c r="Q1110" i="3"/>
  <c r="R1110" i="3"/>
  <c r="K1111" i="3"/>
  <c r="L1111" i="3"/>
  <c r="M1111" i="3"/>
  <c r="N1111" i="3"/>
  <c r="O1111" i="3"/>
  <c r="P1111" i="3"/>
  <c r="Q1111" i="3"/>
  <c r="R1111" i="3"/>
  <c r="K1112" i="3"/>
  <c r="L1112" i="3"/>
  <c r="M1112" i="3"/>
  <c r="N1112" i="3"/>
  <c r="O1112" i="3"/>
  <c r="P1112" i="3"/>
  <c r="Q1112" i="3"/>
  <c r="R1112" i="3"/>
  <c r="K1113" i="3"/>
  <c r="L1113" i="3"/>
  <c r="M1113" i="3"/>
  <c r="N1113" i="3"/>
  <c r="O1113" i="3"/>
  <c r="P1113" i="3"/>
  <c r="Q1113" i="3"/>
  <c r="R1113" i="3"/>
  <c r="K1114" i="3"/>
  <c r="L1114" i="3"/>
  <c r="M1114" i="3"/>
  <c r="N1114" i="3"/>
  <c r="O1114" i="3"/>
  <c r="P1114" i="3"/>
  <c r="Q1114" i="3"/>
  <c r="R1114" i="3"/>
  <c r="K1115" i="3"/>
  <c r="L1115" i="3"/>
  <c r="M1115" i="3"/>
  <c r="N1115" i="3"/>
  <c r="O1115" i="3"/>
  <c r="P1115" i="3"/>
  <c r="Q1115" i="3"/>
  <c r="R1115" i="3"/>
  <c r="K1116" i="3"/>
  <c r="L1116" i="3"/>
  <c r="M1116" i="3"/>
  <c r="N1116" i="3"/>
  <c r="O1116" i="3"/>
  <c r="P1116" i="3"/>
  <c r="Q1116" i="3"/>
  <c r="R1116" i="3"/>
  <c r="K1117" i="3"/>
  <c r="L1117" i="3"/>
  <c r="M1117" i="3"/>
  <c r="N1117" i="3"/>
  <c r="O1117" i="3"/>
  <c r="P1117" i="3"/>
  <c r="Q1117" i="3"/>
  <c r="R1117" i="3"/>
  <c r="K1118" i="3"/>
  <c r="L1118" i="3"/>
  <c r="M1118" i="3"/>
  <c r="N1118" i="3"/>
  <c r="O1118" i="3"/>
  <c r="P1118" i="3"/>
  <c r="Q1118" i="3"/>
  <c r="R1118" i="3"/>
  <c r="K1119" i="3"/>
  <c r="L1119" i="3"/>
  <c r="M1119" i="3"/>
  <c r="N1119" i="3"/>
  <c r="O1119" i="3"/>
  <c r="P1119" i="3"/>
  <c r="Q1119" i="3"/>
  <c r="R1119" i="3"/>
  <c r="K1120" i="3"/>
  <c r="L1120" i="3"/>
  <c r="M1120" i="3"/>
  <c r="N1120" i="3"/>
  <c r="O1120" i="3"/>
  <c r="P1120" i="3"/>
  <c r="Q1120" i="3"/>
  <c r="R1120" i="3"/>
  <c r="K1121" i="3"/>
  <c r="L1121" i="3"/>
  <c r="M1121" i="3"/>
  <c r="N1121" i="3"/>
  <c r="O1121" i="3"/>
  <c r="P1121" i="3"/>
  <c r="Q1121" i="3"/>
  <c r="R1121" i="3"/>
  <c r="K1122" i="3"/>
  <c r="L1122" i="3"/>
  <c r="M1122" i="3"/>
  <c r="N1122" i="3"/>
  <c r="O1122" i="3"/>
  <c r="P1122" i="3"/>
  <c r="Q1122" i="3"/>
  <c r="R1122" i="3"/>
  <c r="K1123" i="3"/>
  <c r="L1123" i="3"/>
  <c r="M1123" i="3"/>
  <c r="N1123" i="3"/>
  <c r="O1123" i="3"/>
  <c r="P1123" i="3"/>
  <c r="Q1123" i="3"/>
  <c r="R1123" i="3"/>
  <c r="K1124" i="3"/>
  <c r="L1124" i="3"/>
  <c r="M1124" i="3"/>
  <c r="N1124" i="3"/>
  <c r="O1124" i="3"/>
  <c r="P1124" i="3"/>
  <c r="Q1124" i="3"/>
  <c r="R1124" i="3"/>
  <c r="K1125" i="3"/>
  <c r="L1125" i="3"/>
  <c r="M1125" i="3"/>
  <c r="N1125" i="3"/>
  <c r="O1125" i="3"/>
  <c r="P1125" i="3"/>
  <c r="Q1125" i="3"/>
  <c r="R1125" i="3"/>
  <c r="K1126" i="3"/>
  <c r="L1126" i="3"/>
  <c r="M1126" i="3"/>
  <c r="N1126" i="3"/>
  <c r="O1126" i="3"/>
  <c r="P1126" i="3"/>
  <c r="Q1126" i="3"/>
  <c r="R1126" i="3"/>
  <c r="K1127" i="3"/>
  <c r="L1127" i="3"/>
  <c r="M1127" i="3"/>
  <c r="N1127" i="3"/>
  <c r="O1127" i="3"/>
  <c r="P1127" i="3"/>
  <c r="Q1127" i="3"/>
  <c r="R1127" i="3"/>
  <c r="K1128" i="3"/>
  <c r="L1128" i="3"/>
  <c r="M1128" i="3"/>
  <c r="N1128" i="3"/>
  <c r="O1128" i="3"/>
  <c r="P1128" i="3"/>
  <c r="Q1128" i="3"/>
  <c r="R1128" i="3"/>
  <c r="K1129" i="3"/>
  <c r="L1129" i="3"/>
  <c r="M1129" i="3"/>
  <c r="N1129" i="3"/>
  <c r="O1129" i="3"/>
  <c r="P1129" i="3"/>
  <c r="Q1129" i="3"/>
  <c r="R1129" i="3"/>
  <c r="K1130" i="3"/>
  <c r="L1130" i="3"/>
  <c r="M1130" i="3"/>
  <c r="N1130" i="3"/>
  <c r="O1130" i="3"/>
  <c r="P1130" i="3"/>
  <c r="Q1130" i="3"/>
  <c r="R1130" i="3"/>
  <c r="K1131" i="3"/>
  <c r="L1131" i="3"/>
  <c r="M1131" i="3"/>
  <c r="N1131" i="3"/>
  <c r="O1131" i="3"/>
  <c r="P1131" i="3"/>
  <c r="Q1131" i="3"/>
  <c r="R1131" i="3"/>
  <c r="K1132" i="3"/>
  <c r="L1132" i="3"/>
  <c r="M1132" i="3"/>
  <c r="N1132" i="3"/>
  <c r="O1132" i="3"/>
  <c r="P1132" i="3"/>
  <c r="Q1132" i="3"/>
  <c r="R1132" i="3"/>
  <c r="K1133" i="3"/>
  <c r="L1133" i="3"/>
  <c r="M1133" i="3"/>
  <c r="N1133" i="3"/>
  <c r="O1133" i="3"/>
  <c r="P1133" i="3"/>
  <c r="Q1133" i="3"/>
  <c r="R1133" i="3"/>
  <c r="K1134" i="3"/>
  <c r="L1134" i="3"/>
  <c r="M1134" i="3"/>
  <c r="N1134" i="3"/>
  <c r="O1134" i="3"/>
  <c r="P1134" i="3"/>
  <c r="Q1134" i="3"/>
  <c r="R1134" i="3"/>
  <c r="K1135" i="3"/>
  <c r="L1135" i="3"/>
  <c r="M1135" i="3"/>
  <c r="N1135" i="3"/>
  <c r="O1135" i="3"/>
  <c r="P1135" i="3"/>
  <c r="Q1135" i="3"/>
  <c r="R1135" i="3"/>
  <c r="K1136" i="3"/>
  <c r="L1136" i="3"/>
  <c r="M1136" i="3"/>
  <c r="N1136" i="3"/>
  <c r="O1136" i="3"/>
  <c r="P1136" i="3"/>
  <c r="Q1136" i="3"/>
  <c r="R1136" i="3"/>
  <c r="K1137" i="3"/>
  <c r="L1137" i="3"/>
  <c r="M1137" i="3"/>
  <c r="N1137" i="3"/>
  <c r="O1137" i="3"/>
  <c r="P1137" i="3"/>
  <c r="Q1137" i="3"/>
  <c r="R1137" i="3"/>
  <c r="K1138" i="3"/>
  <c r="L1138" i="3"/>
  <c r="M1138" i="3"/>
  <c r="N1138" i="3"/>
  <c r="O1138" i="3"/>
  <c r="P1138" i="3"/>
  <c r="Q1138" i="3"/>
  <c r="R1138" i="3"/>
  <c r="K1139" i="3"/>
  <c r="L1139" i="3"/>
  <c r="M1139" i="3"/>
  <c r="N1139" i="3"/>
  <c r="O1139" i="3"/>
  <c r="P1139" i="3"/>
  <c r="Q1139" i="3"/>
  <c r="R1139" i="3"/>
  <c r="K1140" i="3"/>
  <c r="L1140" i="3"/>
  <c r="M1140" i="3"/>
  <c r="N1140" i="3"/>
  <c r="O1140" i="3"/>
  <c r="P1140" i="3"/>
  <c r="Q1140" i="3"/>
  <c r="R1140" i="3"/>
  <c r="K1141" i="3"/>
  <c r="L1141" i="3"/>
  <c r="M1141" i="3"/>
  <c r="N1141" i="3"/>
  <c r="O1141" i="3"/>
  <c r="P1141" i="3"/>
  <c r="Q1141" i="3"/>
  <c r="R1141" i="3"/>
  <c r="K1142" i="3"/>
  <c r="L1142" i="3"/>
  <c r="M1142" i="3"/>
  <c r="N1142" i="3"/>
  <c r="O1142" i="3"/>
  <c r="P1142" i="3"/>
  <c r="Q1142" i="3"/>
  <c r="R1142" i="3"/>
  <c r="K1143" i="3"/>
  <c r="L1143" i="3"/>
  <c r="M1143" i="3"/>
  <c r="N1143" i="3"/>
  <c r="O1143" i="3"/>
  <c r="P1143" i="3"/>
  <c r="Q1143" i="3"/>
  <c r="R1143" i="3"/>
  <c r="K1144" i="3"/>
  <c r="L1144" i="3"/>
  <c r="M1144" i="3"/>
  <c r="N1144" i="3"/>
  <c r="O1144" i="3"/>
  <c r="P1144" i="3"/>
  <c r="Q1144" i="3"/>
  <c r="R1144" i="3"/>
  <c r="K1145" i="3"/>
  <c r="L1145" i="3"/>
  <c r="M1145" i="3"/>
  <c r="N1145" i="3"/>
  <c r="O1145" i="3"/>
  <c r="P1145" i="3"/>
  <c r="Q1145" i="3"/>
  <c r="R1145" i="3"/>
  <c r="K1146" i="3"/>
  <c r="L1146" i="3"/>
  <c r="M1146" i="3"/>
  <c r="N1146" i="3"/>
  <c r="O1146" i="3"/>
  <c r="P1146" i="3"/>
  <c r="Q1146" i="3"/>
  <c r="R1146" i="3"/>
  <c r="K1147" i="3"/>
  <c r="L1147" i="3"/>
  <c r="M1147" i="3"/>
  <c r="N1147" i="3"/>
  <c r="O1147" i="3"/>
  <c r="P1147" i="3"/>
  <c r="Q1147" i="3"/>
  <c r="R1147" i="3"/>
  <c r="K1148" i="3"/>
  <c r="L1148" i="3"/>
  <c r="M1148" i="3"/>
  <c r="N1148" i="3"/>
  <c r="O1148" i="3"/>
  <c r="P1148" i="3"/>
  <c r="Q1148" i="3"/>
  <c r="R1148" i="3"/>
  <c r="K1149" i="3"/>
  <c r="L1149" i="3"/>
  <c r="M1149" i="3"/>
  <c r="N1149" i="3"/>
  <c r="O1149" i="3"/>
  <c r="P1149" i="3"/>
  <c r="Q1149" i="3"/>
  <c r="R1149" i="3"/>
  <c r="K1150" i="3"/>
  <c r="L1150" i="3"/>
  <c r="M1150" i="3"/>
  <c r="N1150" i="3"/>
  <c r="O1150" i="3"/>
  <c r="P1150" i="3"/>
  <c r="Q1150" i="3"/>
  <c r="R1150" i="3"/>
  <c r="K1151" i="3"/>
  <c r="L1151" i="3"/>
  <c r="M1151" i="3"/>
  <c r="N1151" i="3"/>
  <c r="O1151" i="3"/>
  <c r="P1151" i="3"/>
  <c r="Q1151" i="3"/>
  <c r="R1151" i="3"/>
  <c r="K1152" i="3"/>
  <c r="L1152" i="3"/>
  <c r="M1152" i="3"/>
  <c r="N1152" i="3"/>
  <c r="O1152" i="3"/>
  <c r="P1152" i="3"/>
  <c r="Q1152" i="3"/>
  <c r="R1152" i="3"/>
  <c r="K1153" i="3"/>
  <c r="L1153" i="3"/>
  <c r="M1153" i="3"/>
  <c r="N1153" i="3"/>
  <c r="O1153" i="3"/>
  <c r="P1153" i="3"/>
  <c r="Q1153" i="3"/>
  <c r="R1153" i="3"/>
  <c r="K1154" i="3"/>
  <c r="L1154" i="3"/>
  <c r="M1154" i="3"/>
  <c r="N1154" i="3"/>
  <c r="O1154" i="3"/>
  <c r="P1154" i="3"/>
  <c r="Q1154" i="3"/>
  <c r="R1154" i="3"/>
  <c r="K1155" i="3"/>
  <c r="L1155" i="3"/>
  <c r="M1155" i="3"/>
  <c r="N1155" i="3"/>
  <c r="O1155" i="3"/>
  <c r="P1155" i="3"/>
  <c r="Q1155" i="3"/>
  <c r="R1155" i="3"/>
  <c r="K1156" i="3"/>
  <c r="L1156" i="3"/>
  <c r="M1156" i="3"/>
  <c r="N1156" i="3"/>
  <c r="O1156" i="3"/>
  <c r="P1156" i="3"/>
  <c r="Q1156" i="3"/>
  <c r="R1156" i="3"/>
  <c r="K1157" i="3"/>
  <c r="L1157" i="3"/>
  <c r="M1157" i="3"/>
  <c r="N1157" i="3"/>
  <c r="O1157" i="3"/>
  <c r="P1157" i="3"/>
  <c r="Q1157" i="3"/>
  <c r="R1157" i="3"/>
  <c r="K1158" i="3"/>
  <c r="L1158" i="3"/>
  <c r="M1158" i="3"/>
  <c r="N1158" i="3"/>
  <c r="O1158" i="3"/>
  <c r="P1158" i="3"/>
  <c r="Q1158" i="3"/>
  <c r="R1158" i="3"/>
  <c r="K1159" i="3"/>
  <c r="L1159" i="3"/>
  <c r="M1159" i="3"/>
  <c r="N1159" i="3"/>
  <c r="O1159" i="3"/>
  <c r="P1159" i="3"/>
  <c r="Q1159" i="3"/>
  <c r="R1159" i="3"/>
  <c r="K1160" i="3"/>
  <c r="L1160" i="3"/>
  <c r="M1160" i="3"/>
  <c r="N1160" i="3"/>
  <c r="O1160" i="3"/>
  <c r="P1160" i="3"/>
  <c r="Q1160" i="3"/>
  <c r="R1160" i="3"/>
  <c r="K1161" i="3"/>
  <c r="L1161" i="3"/>
  <c r="M1161" i="3"/>
  <c r="N1161" i="3"/>
  <c r="O1161" i="3"/>
  <c r="P1161" i="3"/>
  <c r="Q1161" i="3"/>
  <c r="R1161" i="3"/>
  <c r="K1162" i="3"/>
  <c r="L1162" i="3"/>
  <c r="M1162" i="3"/>
  <c r="N1162" i="3"/>
  <c r="O1162" i="3"/>
  <c r="P1162" i="3"/>
  <c r="Q1162" i="3"/>
  <c r="R1162" i="3"/>
  <c r="K1163" i="3"/>
  <c r="L1163" i="3"/>
  <c r="M1163" i="3"/>
  <c r="N1163" i="3"/>
  <c r="O1163" i="3"/>
  <c r="P1163" i="3"/>
  <c r="Q1163" i="3"/>
  <c r="R1163" i="3"/>
  <c r="K1164" i="3"/>
  <c r="L1164" i="3"/>
  <c r="M1164" i="3"/>
  <c r="N1164" i="3"/>
  <c r="O1164" i="3"/>
  <c r="P1164" i="3"/>
  <c r="Q1164" i="3"/>
  <c r="R1164" i="3"/>
  <c r="K1165" i="3"/>
  <c r="L1165" i="3"/>
  <c r="M1165" i="3"/>
  <c r="N1165" i="3"/>
  <c r="O1165" i="3"/>
  <c r="P1165" i="3"/>
  <c r="Q1165" i="3"/>
  <c r="R1165" i="3"/>
  <c r="K1166" i="3"/>
  <c r="L1166" i="3"/>
  <c r="M1166" i="3"/>
  <c r="N1166" i="3"/>
  <c r="O1166" i="3"/>
  <c r="P1166" i="3"/>
  <c r="Q1166" i="3"/>
  <c r="R1166" i="3"/>
  <c r="K1167" i="3"/>
  <c r="L1167" i="3"/>
  <c r="M1167" i="3"/>
  <c r="N1167" i="3"/>
  <c r="O1167" i="3"/>
  <c r="P1167" i="3"/>
  <c r="Q1167" i="3"/>
  <c r="R1167" i="3"/>
  <c r="K1168" i="3"/>
  <c r="L1168" i="3"/>
  <c r="M1168" i="3"/>
  <c r="N1168" i="3"/>
  <c r="O1168" i="3"/>
  <c r="P1168" i="3"/>
  <c r="Q1168" i="3"/>
  <c r="R1168" i="3"/>
  <c r="K1169" i="3"/>
  <c r="L1169" i="3"/>
  <c r="M1169" i="3"/>
  <c r="N1169" i="3"/>
  <c r="O1169" i="3"/>
  <c r="P1169" i="3"/>
  <c r="Q1169" i="3"/>
  <c r="R1169" i="3"/>
  <c r="K1170" i="3"/>
  <c r="L1170" i="3"/>
  <c r="M1170" i="3"/>
  <c r="N1170" i="3"/>
  <c r="O1170" i="3"/>
  <c r="P1170" i="3"/>
  <c r="Q1170" i="3"/>
  <c r="R1170" i="3"/>
  <c r="K1171" i="3"/>
  <c r="L1171" i="3"/>
  <c r="M1171" i="3"/>
  <c r="N1171" i="3"/>
  <c r="O1171" i="3"/>
  <c r="P1171" i="3"/>
  <c r="Q1171" i="3"/>
  <c r="R1171" i="3"/>
  <c r="K1172" i="3"/>
  <c r="L1172" i="3"/>
  <c r="M1172" i="3"/>
  <c r="N1172" i="3"/>
  <c r="O1172" i="3"/>
  <c r="P1172" i="3"/>
  <c r="Q1172" i="3"/>
  <c r="R1172" i="3"/>
  <c r="K1173" i="3"/>
  <c r="L1173" i="3"/>
  <c r="M1173" i="3"/>
  <c r="N1173" i="3"/>
  <c r="O1173" i="3"/>
  <c r="P1173" i="3"/>
  <c r="Q1173" i="3"/>
  <c r="R1173" i="3"/>
  <c r="K1174" i="3"/>
  <c r="L1174" i="3"/>
  <c r="M1174" i="3"/>
  <c r="N1174" i="3"/>
  <c r="O1174" i="3"/>
  <c r="P1174" i="3"/>
  <c r="Q1174" i="3"/>
  <c r="R1174" i="3"/>
  <c r="K1175" i="3"/>
  <c r="L1175" i="3"/>
  <c r="M1175" i="3"/>
  <c r="N1175" i="3"/>
  <c r="O1175" i="3"/>
  <c r="P1175" i="3"/>
  <c r="Q1175" i="3"/>
  <c r="R1175" i="3"/>
  <c r="K1176" i="3"/>
  <c r="L1176" i="3"/>
  <c r="M1176" i="3"/>
  <c r="N1176" i="3"/>
  <c r="O1176" i="3"/>
  <c r="P1176" i="3"/>
  <c r="Q1176" i="3"/>
  <c r="R1176" i="3"/>
  <c r="K1177" i="3"/>
  <c r="L1177" i="3"/>
  <c r="M1177" i="3"/>
  <c r="N1177" i="3"/>
  <c r="O1177" i="3"/>
  <c r="P1177" i="3"/>
  <c r="Q1177" i="3"/>
  <c r="R1177" i="3"/>
  <c r="K1178" i="3"/>
  <c r="L1178" i="3"/>
  <c r="M1178" i="3"/>
  <c r="N1178" i="3"/>
  <c r="O1178" i="3"/>
  <c r="P1178" i="3"/>
  <c r="Q1178" i="3"/>
  <c r="R1178" i="3"/>
  <c r="K1179" i="3"/>
  <c r="L1179" i="3"/>
  <c r="M1179" i="3"/>
  <c r="N1179" i="3"/>
  <c r="O1179" i="3"/>
  <c r="P1179" i="3"/>
  <c r="Q1179" i="3"/>
  <c r="R1179" i="3"/>
  <c r="K1180" i="3"/>
  <c r="L1180" i="3"/>
  <c r="M1180" i="3"/>
  <c r="N1180" i="3"/>
  <c r="O1180" i="3"/>
  <c r="P1180" i="3"/>
  <c r="Q1180" i="3"/>
  <c r="R1180" i="3"/>
  <c r="K1181" i="3"/>
  <c r="L1181" i="3"/>
  <c r="M1181" i="3"/>
  <c r="N1181" i="3"/>
  <c r="O1181" i="3"/>
  <c r="P1181" i="3"/>
  <c r="Q1181" i="3"/>
  <c r="R1181" i="3"/>
  <c r="K1182" i="3"/>
  <c r="L1182" i="3"/>
  <c r="M1182" i="3"/>
  <c r="N1182" i="3"/>
  <c r="O1182" i="3"/>
  <c r="P1182" i="3"/>
  <c r="Q1182" i="3"/>
  <c r="R1182" i="3"/>
  <c r="K1183" i="3"/>
  <c r="L1183" i="3"/>
  <c r="M1183" i="3"/>
  <c r="N1183" i="3"/>
  <c r="O1183" i="3"/>
  <c r="P1183" i="3"/>
  <c r="Q1183" i="3"/>
  <c r="R1183" i="3"/>
  <c r="K1184" i="3"/>
  <c r="L1184" i="3"/>
  <c r="M1184" i="3"/>
  <c r="N1184" i="3"/>
  <c r="O1184" i="3"/>
  <c r="P1184" i="3"/>
  <c r="Q1184" i="3"/>
  <c r="R1184" i="3"/>
  <c r="K1185" i="3"/>
  <c r="L1185" i="3"/>
  <c r="M1185" i="3"/>
  <c r="N1185" i="3"/>
  <c r="O1185" i="3"/>
  <c r="P1185" i="3"/>
  <c r="Q1185" i="3"/>
  <c r="R1185" i="3"/>
  <c r="K1186" i="3"/>
  <c r="L1186" i="3"/>
  <c r="M1186" i="3"/>
  <c r="N1186" i="3"/>
  <c r="O1186" i="3"/>
  <c r="P1186" i="3"/>
  <c r="Q1186" i="3"/>
  <c r="R1186" i="3"/>
  <c r="K1187" i="3"/>
  <c r="L1187" i="3"/>
  <c r="M1187" i="3"/>
  <c r="N1187" i="3"/>
  <c r="O1187" i="3"/>
  <c r="P1187" i="3"/>
  <c r="Q1187" i="3"/>
  <c r="R1187" i="3"/>
  <c r="K1188" i="3"/>
  <c r="L1188" i="3"/>
  <c r="M1188" i="3"/>
  <c r="N1188" i="3"/>
  <c r="O1188" i="3"/>
  <c r="P1188" i="3"/>
  <c r="Q1188" i="3"/>
  <c r="R1188" i="3"/>
  <c r="K1189" i="3"/>
  <c r="L1189" i="3"/>
  <c r="M1189" i="3"/>
  <c r="N1189" i="3"/>
  <c r="O1189" i="3"/>
  <c r="P1189" i="3"/>
  <c r="Q1189" i="3"/>
  <c r="R1189" i="3"/>
  <c r="K1190" i="3"/>
  <c r="L1190" i="3"/>
  <c r="M1190" i="3"/>
  <c r="N1190" i="3"/>
  <c r="O1190" i="3"/>
  <c r="P1190" i="3"/>
  <c r="Q1190" i="3"/>
  <c r="R1190" i="3"/>
  <c r="K1191" i="3"/>
  <c r="L1191" i="3"/>
  <c r="M1191" i="3"/>
  <c r="N1191" i="3"/>
  <c r="O1191" i="3"/>
  <c r="P1191" i="3"/>
  <c r="Q1191" i="3"/>
  <c r="R1191" i="3"/>
  <c r="K1192" i="3"/>
  <c r="L1192" i="3"/>
  <c r="M1192" i="3"/>
  <c r="N1192" i="3"/>
  <c r="O1192" i="3"/>
  <c r="P1192" i="3"/>
  <c r="Q1192" i="3"/>
  <c r="R1192" i="3"/>
  <c r="K1193" i="3"/>
  <c r="L1193" i="3"/>
  <c r="M1193" i="3"/>
  <c r="N1193" i="3"/>
  <c r="O1193" i="3"/>
  <c r="P1193" i="3"/>
  <c r="Q1193" i="3"/>
  <c r="R1193" i="3"/>
  <c r="K1194" i="3"/>
  <c r="L1194" i="3"/>
  <c r="M1194" i="3"/>
  <c r="N1194" i="3"/>
  <c r="O1194" i="3"/>
  <c r="P1194" i="3"/>
  <c r="Q1194" i="3"/>
  <c r="R1194" i="3"/>
  <c r="K1195" i="3"/>
  <c r="L1195" i="3"/>
  <c r="M1195" i="3"/>
  <c r="N1195" i="3"/>
  <c r="O1195" i="3"/>
  <c r="P1195" i="3"/>
  <c r="Q1195" i="3"/>
  <c r="R1195" i="3"/>
  <c r="K1196" i="3"/>
  <c r="L1196" i="3"/>
  <c r="M1196" i="3"/>
  <c r="N1196" i="3"/>
  <c r="O1196" i="3"/>
  <c r="P1196" i="3"/>
  <c r="Q1196" i="3"/>
  <c r="R1196" i="3"/>
  <c r="K1197" i="3"/>
  <c r="L1197" i="3"/>
  <c r="M1197" i="3"/>
  <c r="N1197" i="3"/>
  <c r="O1197" i="3"/>
  <c r="P1197" i="3"/>
  <c r="Q1197" i="3"/>
  <c r="R1197" i="3"/>
  <c r="K1198" i="3"/>
  <c r="L1198" i="3"/>
  <c r="M1198" i="3"/>
  <c r="N1198" i="3"/>
  <c r="O1198" i="3"/>
  <c r="P1198" i="3"/>
  <c r="Q1198" i="3"/>
  <c r="R1198" i="3"/>
  <c r="K1199" i="3"/>
  <c r="L1199" i="3"/>
  <c r="M1199" i="3"/>
  <c r="N1199" i="3"/>
  <c r="O1199" i="3"/>
  <c r="P1199" i="3"/>
  <c r="Q1199" i="3"/>
  <c r="R1199" i="3"/>
  <c r="K1200" i="3"/>
  <c r="L1200" i="3"/>
  <c r="M1200" i="3"/>
  <c r="N1200" i="3"/>
  <c r="O1200" i="3"/>
  <c r="P1200" i="3"/>
  <c r="Q1200" i="3"/>
  <c r="R1200" i="3"/>
  <c r="K1201" i="3"/>
  <c r="L1201" i="3"/>
  <c r="M1201" i="3"/>
  <c r="N1201" i="3"/>
  <c r="O1201" i="3"/>
  <c r="P1201" i="3"/>
  <c r="Q1201" i="3"/>
  <c r="R1201" i="3"/>
  <c r="K1202" i="3"/>
  <c r="L1202" i="3"/>
  <c r="M1202" i="3"/>
  <c r="N1202" i="3"/>
  <c r="O1202" i="3"/>
  <c r="P1202" i="3"/>
  <c r="Q1202" i="3"/>
  <c r="R1202" i="3"/>
  <c r="K1203" i="3"/>
  <c r="L1203" i="3"/>
  <c r="M1203" i="3"/>
  <c r="N1203" i="3"/>
  <c r="O1203" i="3"/>
  <c r="P1203" i="3"/>
  <c r="Q1203" i="3"/>
  <c r="R1203" i="3"/>
  <c r="K1204" i="3"/>
  <c r="L1204" i="3"/>
  <c r="M1204" i="3"/>
  <c r="N1204" i="3"/>
  <c r="O1204" i="3"/>
  <c r="P1204" i="3"/>
  <c r="Q1204" i="3"/>
  <c r="R1204" i="3"/>
  <c r="K1205" i="3"/>
  <c r="L1205" i="3"/>
  <c r="M1205" i="3"/>
  <c r="N1205" i="3"/>
  <c r="O1205" i="3"/>
  <c r="P1205" i="3"/>
  <c r="Q1205" i="3"/>
  <c r="R1205" i="3"/>
  <c r="K1206" i="3"/>
  <c r="L1206" i="3"/>
  <c r="M1206" i="3"/>
  <c r="N1206" i="3"/>
  <c r="O1206" i="3"/>
  <c r="P1206" i="3"/>
  <c r="Q1206" i="3"/>
  <c r="R1206" i="3"/>
  <c r="K1207" i="3"/>
  <c r="L1207" i="3"/>
  <c r="M1207" i="3"/>
  <c r="N1207" i="3"/>
  <c r="O1207" i="3"/>
  <c r="P1207" i="3"/>
  <c r="Q1207" i="3"/>
  <c r="R1207" i="3"/>
  <c r="K1208" i="3"/>
  <c r="L1208" i="3"/>
  <c r="M1208" i="3"/>
  <c r="N1208" i="3"/>
  <c r="O1208" i="3"/>
  <c r="P1208" i="3"/>
  <c r="Q1208" i="3"/>
  <c r="R1208" i="3"/>
  <c r="K1209" i="3"/>
  <c r="L1209" i="3"/>
  <c r="M1209" i="3"/>
  <c r="N1209" i="3"/>
  <c r="O1209" i="3"/>
  <c r="P1209" i="3"/>
  <c r="Q1209" i="3"/>
  <c r="R1209" i="3"/>
  <c r="K1210" i="3"/>
  <c r="L1210" i="3"/>
  <c r="M1210" i="3"/>
  <c r="N1210" i="3"/>
  <c r="O1210" i="3"/>
  <c r="P1210" i="3"/>
  <c r="Q1210" i="3"/>
  <c r="R1210" i="3"/>
  <c r="K1211" i="3"/>
  <c r="L1211" i="3"/>
  <c r="M1211" i="3"/>
  <c r="N1211" i="3"/>
  <c r="O1211" i="3"/>
  <c r="P1211" i="3"/>
  <c r="Q1211" i="3"/>
  <c r="R1211" i="3"/>
  <c r="K1212" i="3"/>
  <c r="L1212" i="3"/>
  <c r="M1212" i="3"/>
  <c r="N1212" i="3"/>
  <c r="O1212" i="3"/>
  <c r="P1212" i="3"/>
  <c r="Q1212" i="3"/>
  <c r="R1212" i="3"/>
  <c r="K1213" i="3"/>
  <c r="L1213" i="3"/>
  <c r="M1213" i="3"/>
  <c r="N1213" i="3"/>
  <c r="O1213" i="3"/>
  <c r="P1213" i="3"/>
  <c r="Q1213" i="3"/>
  <c r="R1213" i="3"/>
  <c r="K1214" i="3"/>
  <c r="L1214" i="3"/>
  <c r="M1214" i="3"/>
  <c r="N1214" i="3"/>
  <c r="O1214" i="3"/>
  <c r="P1214" i="3"/>
  <c r="Q1214" i="3"/>
  <c r="R1214" i="3"/>
  <c r="K1215" i="3"/>
  <c r="L1215" i="3"/>
  <c r="M1215" i="3"/>
  <c r="N1215" i="3"/>
  <c r="O1215" i="3"/>
  <c r="P1215" i="3"/>
  <c r="Q1215" i="3"/>
  <c r="R1215" i="3"/>
  <c r="K1216" i="3"/>
  <c r="L1216" i="3"/>
  <c r="M1216" i="3"/>
  <c r="N1216" i="3"/>
  <c r="O1216" i="3"/>
  <c r="P1216" i="3"/>
  <c r="Q1216" i="3"/>
  <c r="R1216" i="3"/>
  <c r="K1217" i="3"/>
  <c r="L1217" i="3"/>
  <c r="M1217" i="3"/>
  <c r="N1217" i="3"/>
  <c r="O1217" i="3"/>
  <c r="P1217" i="3"/>
  <c r="Q1217" i="3"/>
  <c r="R1217" i="3"/>
  <c r="K1218" i="3"/>
  <c r="L1218" i="3"/>
  <c r="M1218" i="3"/>
  <c r="N1218" i="3"/>
  <c r="O1218" i="3"/>
  <c r="P1218" i="3"/>
  <c r="Q1218" i="3"/>
  <c r="R1218" i="3"/>
  <c r="K1219" i="3"/>
  <c r="L1219" i="3"/>
  <c r="M1219" i="3"/>
  <c r="N1219" i="3"/>
  <c r="O1219" i="3"/>
  <c r="P1219" i="3"/>
  <c r="Q1219" i="3"/>
  <c r="R1219" i="3"/>
  <c r="K1220" i="3"/>
  <c r="L1220" i="3"/>
  <c r="M1220" i="3"/>
  <c r="N1220" i="3"/>
  <c r="O1220" i="3"/>
  <c r="P1220" i="3"/>
  <c r="Q1220" i="3"/>
  <c r="R1220" i="3"/>
  <c r="K1221" i="3"/>
  <c r="L1221" i="3"/>
  <c r="M1221" i="3"/>
  <c r="N1221" i="3"/>
  <c r="O1221" i="3"/>
  <c r="P1221" i="3"/>
  <c r="Q1221" i="3"/>
  <c r="R1221" i="3"/>
  <c r="K1222" i="3"/>
  <c r="L1222" i="3"/>
  <c r="M1222" i="3"/>
  <c r="N1222" i="3"/>
  <c r="O1222" i="3"/>
  <c r="P1222" i="3"/>
  <c r="Q1222" i="3"/>
  <c r="R1222" i="3"/>
  <c r="K1223" i="3"/>
  <c r="L1223" i="3"/>
  <c r="M1223" i="3"/>
  <c r="N1223" i="3"/>
  <c r="O1223" i="3"/>
  <c r="P1223" i="3"/>
  <c r="Q1223" i="3"/>
  <c r="R1223" i="3"/>
  <c r="K1224" i="3"/>
  <c r="L1224" i="3"/>
  <c r="M1224" i="3"/>
  <c r="N1224" i="3"/>
  <c r="O1224" i="3"/>
  <c r="P1224" i="3"/>
  <c r="Q1224" i="3"/>
  <c r="R1224" i="3"/>
  <c r="K1225" i="3"/>
  <c r="L1225" i="3"/>
  <c r="M1225" i="3"/>
  <c r="N1225" i="3"/>
  <c r="O1225" i="3"/>
  <c r="P1225" i="3"/>
  <c r="Q1225" i="3"/>
  <c r="R1225" i="3"/>
  <c r="K1226" i="3"/>
  <c r="L1226" i="3"/>
  <c r="M1226" i="3"/>
  <c r="N1226" i="3"/>
  <c r="O1226" i="3"/>
  <c r="P1226" i="3"/>
  <c r="Q1226" i="3"/>
  <c r="R1226" i="3"/>
  <c r="K1227" i="3"/>
  <c r="L1227" i="3"/>
  <c r="M1227" i="3"/>
  <c r="N1227" i="3"/>
  <c r="O1227" i="3"/>
  <c r="P1227" i="3"/>
  <c r="Q1227" i="3"/>
  <c r="R1227" i="3"/>
  <c r="K1228" i="3"/>
  <c r="L1228" i="3"/>
  <c r="M1228" i="3"/>
  <c r="N1228" i="3"/>
  <c r="O1228" i="3"/>
  <c r="P1228" i="3"/>
  <c r="Q1228" i="3"/>
  <c r="R1228" i="3"/>
  <c r="K1229" i="3"/>
  <c r="L1229" i="3"/>
  <c r="M1229" i="3"/>
  <c r="N1229" i="3"/>
  <c r="O1229" i="3"/>
  <c r="P1229" i="3"/>
  <c r="Q1229" i="3"/>
  <c r="R1229" i="3"/>
  <c r="K1230" i="3"/>
  <c r="L1230" i="3"/>
  <c r="M1230" i="3"/>
  <c r="N1230" i="3"/>
  <c r="O1230" i="3"/>
  <c r="P1230" i="3"/>
  <c r="Q1230" i="3"/>
  <c r="R1230" i="3"/>
  <c r="K1231" i="3"/>
  <c r="L1231" i="3"/>
  <c r="M1231" i="3"/>
  <c r="N1231" i="3"/>
  <c r="O1231" i="3"/>
  <c r="P1231" i="3"/>
  <c r="Q1231" i="3"/>
  <c r="R1231" i="3"/>
  <c r="K1232" i="3"/>
  <c r="L1232" i="3"/>
  <c r="M1232" i="3"/>
  <c r="N1232" i="3"/>
  <c r="O1232" i="3"/>
  <c r="P1232" i="3"/>
  <c r="Q1232" i="3"/>
  <c r="R1232" i="3"/>
  <c r="K1233" i="3"/>
  <c r="L1233" i="3"/>
  <c r="M1233" i="3"/>
  <c r="N1233" i="3"/>
  <c r="O1233" i="3"/>
  <c r="P1233" i="3"/>
  <c r="Q1233" i="3"/>
  <c r="R1233" i="3"/>
  <c r="K1234" i="3"/>
  <c r="L1234" i="3"/>
  <c r="M1234" i="3"/>
  <c r="N1234" i="3"/>
  <c r="O1234" i="3"/>
  <c r="P1234" i="3"/>
  <c r="Q1234" i="3"/>
  <c r="R1234" i="3"/>
  <c r="K1235" i="3"/>
  <c r="L1235" i="3"/>
  <c r="M1235" i="3"/>
  <c r="N1235" i="3"/>
  <c r="O1235" i="3"/>
  <c r="P1235" i="3"/>
  <c r="Q1235" i="3"/>
  <c r="R1235" i="3"/>
  <c r="K1236" i="3"/>
  <c r="L1236" i="3"/>
  <c r="M1236" i="3"/>
  <c r="N1236" i="3"/>
  <c r="O1236" i="3"/>
  <c r="P1236" i="3"/>
  <c r="Q1236" i="3"/>
  <c r="R1236" i="3"/>
  <c r="K1237" i="3"/>
  <c r="L1237" i="3"/>
  <c r="M1237" i="3"/>
  <c r="N1237" i="3"/>
  <c r="O1237" i="3"/>
  <c r="P1237" i="3"/>
  <c r="Q1237" i="3"/>
  <c r="R1237" i="3"/>
  <c r="K1238" i="3"/>
  <c r="L1238" i="3"/>
  <c r="M1238" i="3"/>
  <c r="N1238" i="3"/>
  <c r="O1238" i="3"/>
  <c r="P1238" i="3"/>
  <c r="Q1238" i="3"/>
  <c r="R1238" i="3"/>
  <c r="K1239" i="3"/>
  <c r="L1239" i="3"/>
  <c r="M1239" i="3"/>
  <c r="N1239" i="3"/>
  <c r="O1239" i="3"/>
  <c r="P1239" i="3"/>
  <c r="Q1239" i="3"/>
  <c r="R1239" i="3"/>
  <c r="K1240" i="3"/>
  <c r="L1240" i="3"/>
  <c r="M1240" i="3"/>
  <c r="N1240" i="3"/>
  <c r="O1240" i="3"/>
  <c r="P1240" i="3"/>
  <c r="Q1240" i="3"/>
  <c r="R1240" i="3"/>
  <c r="K1241" i="3"/>
  <c r="L1241" i="3"/>
  <c r="M1241" i="3"/>
  <c r="N1241" i="3"/>
  <c r="O1241" i="3"/>
  <c r="P1241" i="3"/>
  <c r="Q1241" i="3"/>
  <c r="R1241" i="3"/>
  <c r="K1242" i="3"/>
  <c r="L1242" i="3"/>
  <c r="M1242" i="3"/>
  <c r="N1242" i="3"/>
  <c r="O1242" i="3"/>
  <c r="P1242" i="3"/>
  <c r="Q1242" i="3"/>
  <c r="R1242" i="3"/>
  <c r="K1243" i="3"/>
  <c r="L1243" i="3"/>
  <c r="M1243" i="3"/>
  <c r="N1243" i="3"/>
  <c r="O1243" i="3"/>
  <c r="P1243" i="3"/>
  <c r="Q1243" i="3"/>
  <c r="R1243" i="3"/>
  <c r="K1244" i="3"/>
  <c r="L1244" i="3"/>
  <c r="M1244" i="3"/>
  <c r="N1244" i="3"/>
  <c r="O1244" i="3"/>
  <c r="P1244" i="3"/>
  <c r="Q1244" i="3"/>
  <c r="R1244" i="3"/>
  <c r="K1245" i="3"/>
  <c r="L1245" i="3"/>
  <c r="M1245" i="3"/>
  <c r="N1245" i="3"/>
  <c r="O1245" i="3"/>
  <c r="P1245" i="3"/>
  <c r="Q1245" i="3"/>
  <c r="R1245" i="3"/>
  <c r="K1246" i="3"/>
  <c r="L1246" i="3"/>
  <c r="M1246" i="3"/>
  <c r="N1246" i="3"/>
  <c r="O1246" i="3"/>
  <c r="P1246" i="3"/>
  <c r="Q1246" i="3"/>
  <c r="R1246" i="3"/>
  <c r="K1247" i="3"/>
  <c r="L1247" i="3"/>
  <c r="M1247" i="3"/>
  <c r="N1247" i="3"/>
  <c r="O1247" i="3"/>
  <c r="P1247" i="3"/>
  <c r="Q1247" i="3"/>
  <c r="R1247" i="3"/>
  <c r="K1248" i="3"/>
  <c r="L1248" i="3"/>
  <c r="M1248" i="3"/>
  <c r="N1248" i="3"/>
  <c r="O1248" i="3"/>
  <c r="P1248" i="3"/>
  <c r="Q1248" i="3"/>
  <c r="R1248" i="3"/>
  <c r="K1249" i="3"/>
  <c r="L1249" i="3"/>
  <c r="M1249" i="3"/>
  <c r="N1249" i="3"/>
  <c r="O1249" i="3"/>
  <c r="P1249" i="3"/>
  <c r="Q1249" i="3"/>
  <c r="R1249" i="3"/>
  <c r="K1250" i="3"/>
  <c r="L1250" i="3"/>
  <c r="M1250" i="3"/>
  <c r="N1250" i="3"/>
  <c r="O1250" i="3"/>
  <c r="P1250" i="3"/>
  <c r="Q1250" i="3"/>
  <c r="R1250" i="3"/>
  <c r="K1251" i="3"/>
  <c r="L1251" i="3"/>
  <c r="M1251" i="3"/>
  <c r="N1251" i="3"/>
  <c r="O1251" i="3"/>
  <c r="P1251" i="3"/>
  <c r="Q1251" i="3"/>
  <c r="R1251" i="3"/>
  <c r="K1252" i="3"/>
  <c r="L1252" i="3"/>
  <c r="M1252" i="3"/>
  <c r="N1252" i="3"/>
  <c r="O1252" i="3"/>
  <c r="P1252" i="3"/>
  <c r="Q1252" i="3"/>
  <c r="R1252" i="3"/>
  <c r="K1253" i="3"/>
  <c r="L1253" i="3"/>
  <c r="M1253" i="3"/>
  <c r="N1253" i="3"/>
  <c r="O1253" i="3"/>
  <c r="P1253" i="3"/>
  <c r="Q1253" i="3"/>
  <c r="R1253" i="3"/>
  <c r="K1254" i="3"/>
  <c r="L1254" i="3"/>
  <c r="M1254" i="3"/>
  <c r="N1254" i="3"/>
  <c r="O1254" i="3"/>
  <c r="P1254" i="3"/>
  <c r="Q1254" i="3"/>
  <c r="R1254" i="3"/>
  <c r="K1255" i="3"/>
  <c r="L1255" i="3"/>
  <c r="M1255" i="3"/>
  <c r="N1255" i="3"/>
  <c r="O1255" i="3"/>
  <c r="P1255" i="3"/>
  <c r="Q1255" i="3"/>
  <c r="R1255" i="3"/>
  <c r="K1256" i="3"/>
  <c r="L1256" i="3"/>
  <c r="M1256" i="3"/>
  <c r="N1256" i="3"/>
  <c r="O1256" i="3"/>
  <c r="P1256" i="3"/>
  <c r="Q1256" i="3"/>
  <c r="R1256" i="3"/>
  <c r="K1257" i="3"/>
  <c r="L1257" i="3"/>
  <c r="M1257" i="3"/>
  <c r="N1257" i="3"/>
  <c r="O1257" i="3"/>
  <c r="P1257" i="3"/>
  <c r="Q1257" i="3"/>
  <c r="R1257" i="3"/>
  <c r="K1258" i="3"/>
  <c r="L1258" i="3"/>
  <c r="M1258" i="3"/>
  <c r="N1258" i="3"/>
  <c r="O1258" i="3"/>
  <c r="P1258" i="3"/>
  <c r="Q1258" i="3"/>
  <c r="R1258" i="3"/>
  <c r="K1259" i="3"/>
  <c r="L1259" i="3"/>
  <c r="M1259" i="3"/>
  <c r="N1259" i="3"/>
  <c r="O1259" i="3"/>
  <c r="P1259" i="3"/>
  <c r="Q1259" i="3"/>
  <c r="R1259" i="3"/>
  <c r="K1260" i="3"/>
  <c r="L1260" i="3"/>
  <c r="M1260" i="3"/>
  <c r="N1260" i="3"/>
  <c r="O1260" i="3"/>
  <c r="P1260" i="3"/>
  <c r="Q1260" i="3"/>
  <c r="R1260" i="3"/>
  <c r="K1261" i="3"/>
  <c r="L1261" i="3"/>
  <c r="M1261" i="3"/>
  <c r="N1261" i="3"/>
  <c r="O1261" i="3"/>
  <c r="P1261" i="3"/>
  <c r="Q1261" i="3"/>
  <c r="R1261" i="3"/>
  <c r="K1262" i="3"/>
  <c r="L1262" i="3"/>
  <c r="M1262" i="3"/>
  <c r="N1262" i="3"/>
  <c r="O1262" i="3"/>
  <c r="P1262" i="3"/>
  <c r="Q1262" i="3"/>
  <c r="R1262" i="3"/>
  <c r="K1263" i="3"/>
  <c r="L1263" i="3"/>
  <c r="M1263" i="3"/>
  <c r="N1263" i="3"/>
  <c r="O1263" i="3"/>
  <c r="P1263" i="3"/>
  <c r="Q1263" i="3"/>
  <c r="R1263" i="3"/>
  <c r="K1264" i="3"/>
  <c r="L1264" i="3"/>
  <c r="M1264" i="3"/>
  <c r="N1264" i="3"/>
  <c r="O1264" i="3"/>
  <c r="P1264" i="3"/>
  <c r="Q1264" i="3"/>
  <c r="R1264" i="3"/>
  <c r="K1265" i="3"/>
  <c r="L1265" i="3"/>
  <c r="M1265" i="3"/>
  <c r="N1265" i="3"/>
  <c r="O1265" i="3"/>
  <c r="P1265" i="3"/>
  <c r="Q1265" i="3"/>
  <c r="R1265" i="3"/>
  <c r="K1266" i="3"/>
  <c r="L1266" i="3"/>
  <c r="M1266" i="3"/>
  <c r="N1266" i="3"/>
  <c r="O1266" i="3"/>
  <c r="P1266" i="3"/>
  <c r="Q1266" i="3"/>
  <c r="R1266" i="3"/>
  <c r="K1267" i="3"/>
  <c r="L1267" i="3"/>
  <c r="M1267" i="3"/>
  <c r="N1267" i="3"/>
  <c r="O1267" i="3"/>
  <c r="P1267" i="3"/>
  <c r="Q1267" i="3"/>
  <c r="R1267" i="3"/>
  <c r="K1268" i="3"/>
  <c r="L1268" i="3"/>
  <c r="M1268" i="3"/>
  <c r="N1268" i="3"/>
  <c r="O1268" i="3"/>
  <c r="P1268" i="3"/>
  <c r="Q1268" i="3"/>
  <c r="R1268" i="3"/>
  <c r="K1269" i="3"/>
  <c r="L1269" i="3"/>
  <c r="M1269" i="3"/>
  <c r="N1269" i="3"/>
  <c r="O1269" i="3"/>
  <c r="P1269" i="3"/>
  <c r="Q1269" i="3"/>
  <c r="R1269" i="3"/>
  <c r="K1270" i="3"/>
  <c r="L1270" i="3"/>
  <c r="M1270" i="3"/>
  <c r="N1270" i="3"/>
  <c r="O1270" i="3"/>
  <c r="P1270" i="3"/>
  <c r="Q1270" i="3"/>
  <c r="R1270" i="3"/>
  <c r="K1271" i="3"/>
  <c r="L1271" i="3"/>
  <c r="M1271" i="3"/>
  <c r="N1271" i="3"/>
  <c r="O1271" i="3"/>
  <c r="P1271" i="3"/>
  <c r="Q1271" i="3"/>
  <c r="R1271" i="3"/>
  <c r="K1272" i="3"/>
  <c r="L1272" i="3"/>
  <c r="M1272" i="3"/>
  <c r="N1272" i="3"/>
  <c r="O1272" i="3"/>
  <c r="P1272" i="3"/>
  <c r="Q1272" i="3"/>
  <c r="R1272" i="3"/>
  <c r="K1273" i="3"/>
  <c r="L1273" i="3"/>
  <c r="M1273" i="3"/>
  <c r="N1273" i="3"/>
  <c r="O1273" i="3"/>
  <c r="P1273" i="3"/>
  <c r="Q1273" i="3"/>
  <c r="R1273" i="3"/>
  <c r="K1274" i="3"/>
  <c r="L1274" i="3"/>
  <c r="M1274" i="3"/>
  <c r="N1274" i="3"/>
  <c r="O1274" i="3"/>
  <c r="P1274" i="3"/>
  <c r="Q1274" i="3"/>
  <c r="R1274" i="3"/>
  <c r="K1275" i="3"/>
  <c r="L1275" i="3"/>
  <c r="M1275" i="3"/>
  <c r="N1275" i="3"/>
  <c r="O1275" i="3"/>
  <c r="P1275" i="3"/>
  <c r="Q1275" i="3"/>
  <c r="R1275" i="3"/>
  <c r="K1276" i="3"/>
  <c r="L1276" i="3"/>
  <c r="M1276" i="3"/>
  <c r="N1276" i="3"/>
  <c r="O1276" i="3"/>
  <c r="P1276" i="3"/>
  <c r="Q1276" i="3"/>
  <c r="R1276" i="3"/>
  <c r="K1277" i="3"/>
  <c r="L1277" i="3"/>
  <c r="M1277" i="3"/>
  <c r="N1277" i="3"/>
  <c r="O1277" i="3"/>
  <c r="P1277" i="3"/>
  <c r="Q1277" i="3"/>
  <c r="R1277" i="3"/>
  <c r="K1278" i="3"/>
  <c r="L1278" i="3"/>
  <c r="M1278" i="3"/>
  <c r="N1278" i="3"/>
  <c r="O1278" i="3"/>
  <c r="P1278" i="3"/>
  <c r="Q1278" i="3"/>
  <c r="R1278" i="3"/>
  <c r="K1279" i="3"/>
  <c r="L1279" i="3"/>
  <c r="M1279" i="3"/>
  <c r="N1279" i="3"/>
  <c r="O1279" i="3"/>
  <c r="P1279" i="3"/>
  <c r="Q1279" i="3"/>
  <c r="R1279" i="3"/>
  <c r="K1280" i="3"/>
  <c r="L1280" i="3"/>
  <c r="M1280" i="3"/>
  <c r="N1280" i="3"/>
  <c r="O1280" i="3"/>
  <c r="P1280" i="3"/>
  <c r="Q1280" i="3"/>
  <c r="R1280" i="3"/>
  <c r="K1281" i="3"/>
  <c r="L1281" i="3"/>
  <c r="M1281" i="3"/>
  <c r="N1281" i="3"/>
  <c r="O1281" i="3"/>
  <c r="P1281" i="3"/>
  <c r="Q1281" i="3"/>
  <c r="R1281" i="3"/>
  <c r="K1282" i="3"/>
  <c r="L1282" i="3"/>
  <c r="M1282" i="3"/>
  <c r="N1282" i="3"/>
  <c r="O1282" i="3"/>
  <c r="P1282" i="3"/>
  <c r="Q1282" i="3"/>
  <c r="R1282" i="3"/>
  <c r="K1283" i="3"/>
  <c r="L1283" i="3"/>
  <c r="M1283" i="3"/>
  <c r="N1283" i="3"/>
  <c r="O1283" i="3"/>
  <c r="P1283" i="3"/>
  <c r="Q1283" i="3"/>
  <c r="R1283" i="3"/>
  <c r="K1284" i="3"/>
  <c r="L1284" i="3"/>
  <c r="M1284" i="3"/>
  <c r="N1284" i="3"/>
  <c r="O1284" i="3"/>
  <c r="P1284" i="3"/>
  <c r="Q1284" i="3"/>
  <c r="R1284" i="3"/>
  <c r="K1285" i="3"/>
  <c r="L1285" i="3"/>
  <c r="M1285" i="3"/>
  <c r="N1285" i="3"/>
  <c r="O1285" i="3"/>
  <c r="P1285" i="3"/>
  <c r="Q1285" i="3"/>
  <c r="R1285" i="3"/>
  <c r="K1286" i="3"/>
  <c r="L1286" i="3"/>
  <c r="M1286" i="3"/>
  <c r="N1286" i="3"/>
  <c r="O1286" i="3"/>
  <c r="P1286" i="3"/>
  <c r="Q1286" i="3"/>
  <c r="R1286" i="3"/>
  <c r="K1287" i="3"/>
  <c r="L1287" i="3"/>
  <c r="M1287" i="3"/>
  <c r="N1287" i="3"/>
  <c r="O1287" i="3"/>
  <c r="P1287" i="3"/>
  <c r="Q1287" i="3"/>
  <c r="R1287" i="3"/>
  <c r="K1288" i="3"/>
  <c r="L1288" i="3"/>
  <c r="M1288" i="3"/>
  <c r="N1288" i="3"/>
  <c r="O1288" i="3"/>
  <c r="P1288" i="3"/>
  <c r="Q1288" i="3"/>
  <c r="R1288" i="3"/>
  <c r="K1289" i="3"/>
  <c r="L1289" i="3"/>
  <c r="M1289" i="3"/>
  <c r="N1289" i="3"/>
  <c r="O1289" i="3"/>
  <c r="P1289" i="3"/>
  <c r="Q1289" i="3"/>
  <c r="R1289" i="3"/>
  <c r="K1290" i="3"/>
  <c r="L1290" i="3"/>
  <c r="M1290" i="3"/>
  <c r="N1290" i="3"/>
  <c r="O1290" i="3"/>
  <c r="P1290" i="3"/>
  <c r="Q1290" i="3"/>
  <c r="R1290" i="3"/>
  <c r="K1291" i="3"/>
  <c r="L1291" i="3"/>
  <c r="M1291" i="3"/>
  <c r="N1291" i="3"/>
  <c r="O1291" i="3"/>
  <c r="P1291" i="3"/>
  <c r="Q1291" i="3"/>
  <c r="R1291" i="3"/>
  <c r="K1292" i="3"/>
  <c r="L1292" i="3"/>
  <c r="M1292" i="3"/>
  <c r="N1292" i="3"/>
  <c r="O1292" i="3"/>
  <c r="P1292" i="3"/>
  <c r="Q1292" i="3"/>
  <c r="R1292" i="3"/>
  <c r="K1293" i="3"/>
  <c r="L1293" i="3"/>
  <c r="M1293" i="3"/>
  <c r="N1293" i="3"/>
  <c r="O1293" i="3"/>
  <c r="P1293" i="3"/>
  <c r="Q1293" i="3"/>
  <c r="R1293" i="3"/>
  <c r="K1294" i="3"/>
  <c r="L1294" i="3"/>
  <c r="M1294" i="3"/>
  <c r="N1294" i="3"/>
  <c r="O1294" i="3"/>
  <c r="P1294" i="3"/>
  <c r="Q1294" i="3"/>
  <c r="R1294" i="3"/>
  <c r="K1295" i="3"/>
  <c r="L1295" i="3"/>
  <c r="M1295" i="3"/>
  <c r="N1295" i="3"/>
  <c r="O1295" i="3"/>
  <c r="P1295" i="3"/>
  <c r="Q1295" i="3"/>
  <c r="R1295" i="3"/>
  <c r="K1296" i="3"/>
  <c r="L1296" i="3"/>
  <c r="M1296" i="3"/>
  <c r="N1296" i="3"/>
  <c r="O1296" i="3"/>
  <c r="P1296" i="3"/>
  <c r="Q1296" i="3"/>
  <c r="R1296" i="3"/>
  <c r="K1297" i="3"/>
  <c r="L1297" i="3"/>
  <c r="M1297" i="3"/>
  <c r="N1297" i="3"/>
  <c r="O1297" i="3"/>
  <c r="P1297" i="3"/>
  <c r="Q1297" i="3"/>
  <c r="R1297" i="3"/>
  <c r="K1298" i="3"/>
  <c r="L1298" i="3"/>
  <c r="M1298" i="3"/>
  <c r="N1298" i="3"/>
  <c r="O1298" i="3"/>
  <c r="P1298" i="3"/>
  <c r="Q1298" i="3"/>
  <c r="R1298" i="3"/>
  <c r="K1299" i="3"/>
  <c r="L1299" i="3"/>
  <c r="M1299" i="3"/>
  <c r="N1299" i="3"/>
  <c r="O1299" i="3"/>
  <c r="P1299" i="3"/>
  <c r="Q1299" i="3"/>
  <c r="R1299" i="3"/>
  <c r="K1300" i="3"/>
  <c r="L1300" i="3"/>
  <c r="M1300" i="3"/>
  <c r="N1300" i="3"/>
  <c r="O1300" i="3"/>
  <c r="P1300" i="3"/>
  <c r="Q1300" i="3"/>
  <c r="R1300" i="3"/>
  <c r="K1301" i="3"/>
  <c r="L1301" i="3"/>
  <c r="M1301" i="3"/>
  <c r="N1301" i="3"/>
  <c r="O1301" i="3"/>
  <c r="P1301" i="3"/>
  <c r="Q1301" i="3"/>
  <c r="R1301" i="3"/>
  <c r="K1302" i="3"/>
  <c r="L1302" i="3"/>
  <c r="M1302" i="3"/>
  <c r="N1302" i="3"/>
  <c r="O1302" i="3"/>
  <c r="P1302" i="3"/>
  <c r="Q1302" i="3"/>
  <c r="R1302" i="3"/>
  <c r="K1303" i="3"/>
  <c r="L1303" i="3"/>
  <c r="M1303" i="3"/>
  <c r="N1303" i="3"/>
  <c r="O1303" i="3"/>
  <c r="P1303" i="3"/>
  <c r="Q1303" i="3"/>
  <c r="R1303" i="3"/>
  <c r="K1304" i="3"/>
  <c r="L1304" i="3"/>
  <c r="M1304" i="3"/>
  <c r="N1304" i="3"/>
  <c r="O1304" i="3"/>
  <c r="P1304" i="3"/>
  <c r="Q1304" i="3"/>
  <c r="R1304" i="3"/>
  <c r="K1305" i="3"/>
  <c r="L1305" i="3"/>
  <c r="M1305" i="3"/>
  <c r="N1305" i="3"/>
  <c r="O1305" i="3"/>
  <c r="P1305" i="3"/>
  <c r="Q1305" i="3"/>
  <c r="R1305" i="3"/>
  <c r="K1306" i="3"/>
  <c r="L1306" i="3"/>
  <c r="M1306" i="3"/>
  <c r="N1306" i="3"/>
  <c r="O1306" i="3"/>
  <c r="P1306" i="3"/>
  <c r="Q1306" i="3"/>
  <c r="R1306" i="3"/>
  <c r="K1307" i="3"/>
  <c r="L1307" i="3"/>
  <c r="M1307" i="3"/>
  <c r="N1307" i="3"/>
  <c r="O1307" i="3"/>
  <c r="P1307" i="3"/>
  <c r="Q1307" i="3"/>
  <c r="R1307" i="3"/>
  <c r="K1308" i="3"/>
  <c r="L1308" i="3"/>
  <c r="M1308" i="3"/>
  <c r="N1308" i="3"/>
  <c r="O1308" i="3"/>
  <c r="P1308" i="3"/>
  <c r="Q1308" i="3"/>
  <c r="R1308" i="3"/>
  <c r="K1309" i="3"/>
  <c r="L1309" i="3"/>
  <c r="M1309" i="3"/>
  <c r="N1309" i="3"/>
  <c r="O1309" i="3"/>
  <c r="P1309" i="3"/>
  <c r="Q1309" i="3"/>
  <c r="R1309" i="3"/>
  <c r="K1310" i="3"/>
  <c r="L1310" i="3"/>
  <c r="M1310" i="3"/>
  <c r="N1310" i="3"/>
  <c r="O1310" i="3"/>
  <c r="P1310" i="3"/>
  <c r="Q1310" i="3"/>
  <c r="R1310" i="3"/>
  <c r="K1311" i="3"/>
  <c r="L1311" i="3"/>
  <c r="M1311" i="3"/>
  <c r="N1311" i="3"/>
  <c r="O1311" i="3"/>
  <c r="P1311" i="3"/>
  <c r="Q1311" i="3"/>
  <c r="R1311" i="3"/>
  <c r="K1312" i="3"/>
  <c r="L1312" i="3"/>
  <c r="M1312" i="3"/>
  <c r="N1312" i="3"/>
  <c r="O1312" i="3"/>
  <c r="P1312" i="3"/>
  <c r="Q1312" i="3"/>
  <c r="R1312" i="3"/>
  <c r="K1313" i="3"/>
  <c r="L1313" i="3"/>
  <c r="M1313" i="3"/>
  <c r="N1313" i="3"/>
  <c r="O1313" i="3"/>
  <c r="P1313" i="3"/>
  <c r="Q1313" i="3"/>
  <c r="R1313" i="3"/>
  <c r="K1314" i="3"/>
  <c r="L1314" i="3"/>
  <c r="M1314" i="3"/>
  <c r="N1314" i="3"/>
  <c r="O1314" i="3"/>
  <c r="P1314" i="3"/>
  <c r="Q1314" i="3"/>
  <c r="R1314" i="3"/>
  <c r="K1315" i="3"/>
  <c r="L1315" i="3"/>
  <c r="M1315" i="3"/>
  <c r="N1315" i="3"/>
  <c r="O1315" i="3"/>
  <c r="P1315" i="3"/>
  <c r="Q1315" i="3"/>
  <c r="R1315" i="3"/>
  <c r="K1316" i="3"/>
  <c r="L1316" i="3"/>
  <c r="M1316" i="3"/>
  <c r="N1316" i="3"/>
  <c r="O1316" i="3"/>
  <c r="P1316" i="3"/>
  <c r="Q1316" i="3"/>
  <c r="R1316" i="3"/>
  <c r="K1317" i="3"/>
  <c r="L1317" i="3"/>
  <c r="M1317" i="3"/>
  <c r="N1317" i="3"/>
  <c r="O1317" i="3"/>
  <c r="P1317" i="3"/>
  <c r="Q1317" i="3"/>
  <c r="R1317" i="3"/>
  <c r="K1318" i="3"/>
  <c r="L1318" i="3"/>
  <c r="M1318" i="3"/>
  <c r="N1318" i="3"/>
  <c r="O1318" i="3"/>
  <c r="P1318" i="3"/>
  <c r="Q1318" i="3"/>
  <c r="R1318" i="3"/>
  <c r="K1319" i="3"/>
  <c r="L1319" i="3"/>
  <c r="M1319" i="3"/>
  <c r="N1319" i="3"/>
  <c r="O1319" i="3"/>
  <c r="P1319" i="3"/>
  <c r="Q1319" i="3"/>
  <c r="R1319" i="3"/>
  <c r="K1320" i="3"/>
  <c r="L1320" i="3"/>
  <c r="M1320" i="3"/>
  <c r="N1320" i="3"/>
  <c r="O1320" i="3"/>
  <c r="P1320" i="3"/>
  <c r="Q1320" i="3"/>
  <c r="R1320" i="3"/>
  <c r="K1321" i="3"/>
  <c r="L1321" i="3"/>
  <c r="M1321" i="3"/>
  <c r="N1321" i="3"/>
  <c r="O1321" i="3"/>
  <c r="P1321" i="3"/>
  <c r="Q1321" i="3"/>
  <c r="R1321" i="3"/>
  <c r="K1322" i="3"/>
  <c r="L1322" i="3"/>
  <c r="M1322" i="3"/>
  <c r="N1322" i="3"/>
  <c r="O1322" i="3"/>
  <c r="P1322" i="3"/>
  <c r="Q1322" i="3"/>
  <c r="R1322" i="3"/>
  <c r="K1323" i="3"/>
  <c r="L1323" i="3"/>
  <c r="M1323" i="3"/>
  <c r="N1323" i="3"/>
  <c r="O1323" i="3"/>
  <c r="P1323" i="3"/>
  <c r="Q1323" i="3"/>
  <c r="R1323" i="3"/>
  <c r="K1324" i="3"/>
  <c r="L1324" i="3"/>
  <c r="M1324" i="3"/>
  <c r="N1324" i="3"/>
  <c r="O1324" i="3"/>
  <c r="P1324" i="3"/>
  <c r="Q1324" i="3"/>
  <c r="R1324" i="3"/>
  <c r="K1325" i="3"/>
  <c r="L1325" i="3"/>
  <c r="M1325" i="3"/>
  <c r="N1325" i="3"/>
  <c r="O1325" i="3"/>
  <c r="P1325" i="3"/>
  <c r="Q1325" i="3"/>
  <c r="R1325" i="3"/>
  <c r="K1326" i="3"/>
  <c r="L1326" i="3"/>
  <c r="M1326" i="3"/>
  <c r="N1326" i="3"/>
  <c r="O1326" i="3"/>
  <c r="P1326" i="3"/>
  <c r="Q1326" i="3"/>
  <c r="R1326" i="3"/>
  <c r="K1327" i="3"/>
  <c r="L1327" i="3"/>
  <c r="M1327" i="3"/>
  <c r="N1327" i="3"/>
  <c r="O1327" i="3"/>
  <c r="P1327" i="3"/>
  <c r="Q1327" i="3"/>
  <c r="R1327" i="3"/>
  <c r="K1328" i="3"/>
  <c r="L1328" i="3"/>
  <c r="M1328" i="3"/>
  <c r="N1328" i="3"/>
  <c r="O1328" i="3"/>
  <c r="P1328" i="3"/>
  <c r="Q1328" i="3"/>
  <c r="R1328" i="3"/>
  <c r="K1329" i="3"/>
  <c r="L1329" i="3"/>
  <c r="M1329" i="3"/>
  <c r="N1329" i="3"/>
  <c r="O1329" i="3"/>
  <c r="P1329" i="3"/>
  <c r="Q1329" i="3"/>
  <c r="R1329" i="3"/>
  <c r="K1330" i="3"/>
  <c r="L1330" i="3"/>
  <c r="M1330" i="3"/>
  <c r="N1330" i="3"/>
  <c r="O1330" i="3"/>
  <c r="P1330" i="3"/>
  <c r="Q1330" i="3"/>
  <c r="R1330" i="3"/>
  <c r="K1331" i="3"/>
  <c r="L1331" i="3"/>
  <c r="M1331" i="3"/>
  <c r="N1331" i="3"/>
  <c r="O1331" i="3"/>
  <c r="P1331" i="3"/>
  <c r="Q1331" i="3"/>
  <c r="R1331" i="3"/>
  <c r="K1332" i="3"/>
  <c r="L1332" i="3"/>
  <c r="M1332" i="3"/>
  <c r="N1332" i="3"/>
  <c r="O1332" i="3"/>
  <c r="P1332" i="3"/>
  <c r="Q1332" i="3"/>
  <c r="R1332" i="3"/>
  <c r="K1333" i="3"/>
  <c r="L1333" i="3"/>
  <c r="M1333" i="3"/>
  <c r="N1333" i="3"/>
  <c r="O1333" i="3"/>
  <c r="P1333" i="3"/>
  <c r="Q1333" i="3"/>
  <c r="R1333" i="3"/>
  <c r="K1334" i="3"/>
  <c r="L1334" i="3"/>
  <c r="M1334" i="3"/>
  <c r="N1334" i="3"/>
  <c r="O1334" i="3"/>
  <c r="P1334" i="3"/>
  <c r="Q1334" i="3"/>
  <c r="R1334" i="3"/>
  <c r="K1335" i="3"/>
  <c r="L1335" i="3"/>
  <c r="M1335" i="3"/>
  <c r="N1335" i="3"/>
  <c r="O1335" i="3"/>
  <c r="P1335" i="3"/>
  <c r="Q1335" i="3"/>
  <c r="R1335" i="3"/>
  <c r="K1336" i="3"/>
  <c r="L1336" i="3"/>
  <c r="M1336" i="3"/>
  <c r="N1336" i="3"/>
  <c r="O1336" i="3"/>
  <c r="P1336" i="3"/>
  <c r="Q1336" i="3"/>
  <c r="R1336" i="3"/>
  <c r="K1337" i="3"/>
  <c r="L1337" i="3"/>
  <c r="M1337" i="3"/>
  <c r="N1337" i="3"/>
  <c r="O1337" i="3"/>
  <c r="P1337" i="3"/>
  <c r="Q1337" i="3"/>
  <c r="R1337" i="3"/>
  <c r="K1338" i="3"/>
  <c r="L1338" i="3"/>
  <c r="M1338" i="3"/>
  <c r="N1338" i="3"/>
  <c r="O1338" i="3"/>
  <c r="P1338" i="3"/>
  <c r="Q1338" i="3"/>
  <c r="R1338" i="3"/>
  <c r="K1339" i="3"/>
  <c r="L1339" i="3"/>
  <c r="M1339" i="3"/>
  <c r="N1339" i="3"/>
  <c r="O1339" i="3"/>
  <c r="P1339" i="3"/>
  <c r="Q1339" i="3"/>
  <c r="R1339" i="3"/>
  <c r="K1340" i="3"/>
  <c r="L1340" i="3"/>
  <c r="M1340" i="3"/>
  <c r="N1340" i="3"/>
  <c r="O1340" i="3"/>
  <c r="P1340" i="3"/>
  <c r="Q1340" i="3"/>
  <c r="R1340" i="3"/>
  <c r="K1341" i="3"/>
  <c r="L1341" i="3"/>
  <c r="M1341" i="3"/>
  <c r="N1341" i="3"/>
  <c r="O1341" i="3"/>
  <c r="P1341" i="3"/>
  <c r="Q1341" i="3"/>
  <c r="R1341" i="3"/>
  <c r="K1342" i="3"/>
  <c r="L1342" i="3"/>
  <c r="M1342" i="3"/>
  <c r="N1342" i="3"/>
  <c r="O1342" i="3"/>
  <c r="P1342" i="3"/>
  <c r="Q1342" i="3"/>
  <c r="R1342" i="3"/>
  <c r="K1343" i="3"/>
  <c r="L1343" i="3"/>
  <c r="M1343" i="3"/>
  <c r="N1343" i="3"/>
  <c r="O1343" i="3"/>
  <c r="P1343" i="3"/>
  <c r="Q1343" i="3"/>
  <c r="R1343" i="3"/>
  <c r="K1344" i="3"/>
  <c r="L1344" i="3"/>
  <c r="M1344" i="3"/>
  <c r="N1344" i="3"/>
  <c r="O1344" i="3"/>
  <c r="P1344" i="3"/>
  <c r="Q1344" i="3"/>
  <c r="R1344" i="3"/>
  <c r="K1345" i="3"/>
  <c r="L1345" i="3"/>
  <c r="M1345" i="3"/>
  <c r="N1345" i="3"/>
  <c r="O1345" i="3"/>
  <c r="P1345" i="3"/>
  <c r="Q1345" i="3"/>
  <c r="R1345" i="3"/>
  <c r="K1346" i="3"/>
  <c r="L1346" i="3"/>
  <c r="M1346" i="3"/>
  <c r="N1346" i="3"/>
  <c r="O1346" i="3"/>
  <c r="P1346" i="3"/>
  <c r="Q1346" i="3"/>
  <c r="R1346" i="3"/>
  <c r="K1347" i="3"/>
  <c r="L1347" i="3"/>
  <c r="M1347" i="3"/>
  <c r="N1347" i="3"/>
  <c r="O1347" i="3"/>
  <c r="P1347" i="3"/>
  <c r="Q1347" i="3"/>
  <c r="R1347" i="3"/>
  <c r="K1348" i="3"/>
  <c r="L1348" i="3"/>
  <c r="M1348" i="3"/>
  <c r="N1348" i="3"/>
  <c r="O1348" i="3"/>
  <c r="P1348" i="3"/>
  <c r="Q1348" i="3"/>
  <c r="R1348" i="3"/>
  <c r="K1349" i="3"/>
  <c r="L1349" i="3"/>
  <c r="M1349" i="3"/>
  <c r="N1349" i="3"/>
  <c r="O1349" i="3"/>
  <c r="P1349" i="3"/>
  <c r="Q1349" i="3"/>
  <c r="R1349" i="3"/>
  <c r="K1350" i="3"/>
  <c r="L1350" i="3"/>
  <c r="M1350" i="3"/>
  <c r="N1350" i="3"/>
  <c r="O1350" i="3"/>
  <c r="P1350" i="3"/>
  <c r="Q1350" i="3"/>
  <c r="R1350" i="3"/>
  <c r="K1351" i="3"/>
  <c r="L1351" i="3"/>
  <c r="M1351" i="3"/>
  <c r="N1351" i="3"/>
  <c r="O1351" i="3"/>
  <c r="P1351" i="3"/>
  <c r="Q1351" i="3"/>
  <c r="R1351" i="3"/>
  <c r="K1352" i="3"/>
  <c r="L1352" i="3"/>
  <c r="M1352" i="3"/>
  <c r="N1352" i="3"/>
  <c r="O1352" i="3"/>
  <c r="P1352" i="3"/>
  <c r="Q1352" i="3"/>
  <c r="R1352" i="3"/>
  <c r="K1353" i="3"/>
  <c r="L1353" i="3"/>
  <c r="M1353" i="3"/>
  <c r="N1353" i="3"/>
  <c r="O1353" i="3"/>
  <c r="P1353" i="3"/>
  <c r="Q1353" i="3"/>
  <c r="R1353" i="3"/>
  <c r="K1354" i="3"/>
  <c r="L1354" i="3"/>
  <c r="M1354" i="3"/>
  <c r="N1354" i="3"/>
  <c r="O1354" i="3"/>
  <c r="P1354" i="3"/>
  <c r="Q1354" i="3"/>
  <c r="R1354" i="3"/>
  <c r="K1355" i="3"/>
  <c r="L1355" i="3"/>
  <c r="M1355" i="3"/>
  <c r="N1355" i="3"/>
  <c r="O1355" i="3"/>
  <c r="P1355" i="3"/>
  <c r="Q1355" i="3"/>
  <c r="R1355" i="3"/>
  <c r="K1356" i="3"/>
  <c r="L1356" i="3"/>
  <c r="M1356" i="3"/>
  <c r="N1356" i="3"/>
  <c r="O1356" i="3"/>
  <c r="P1356" i="3"/>
  <c r="Q1356" i="3"/>
  <c r="R1356" i="3"/>
  <c r="K1357" i="3"/>
  <c r="L1357" i="3"/>
  <c r="M1357" i="3"/>
  <c r="N1357" i="3"/>
  <c r="O1357" i="3"/>
  <c r="P1357" i="3"/>
  <c r="Q1357" i="3"/>
  <c r="R1357" i="3"/>
  <c r="K1358" i="3"/>
  <c r="L1358" i="3"/>
  <c r="M1358" i="3"/>
  <c r="N1358" i="3"/>
  <c r="O1358" i="3"/>
  <c r="P1358" i="3"/>
  <c r="Q1358" i="3"/>
  <c r="R1358" i="3"/>
  <c r="K1359" i="3"/>
  <c r="L1359" i="3"/>
  <c r="M1359" i="3"/>
  <c r="N1359" i="3"/>
  <c r="O1359" i="3"/>
  <c r="P1359" i="3"/>
  <c r="Q1359" i="3"/>
  <c r="R1359" i="3"/>
  <c r="K1360" i="3"/>
  <c r="L1360" i="3"/>
  <c r="M1360" i="3"/>
  <c r="N1360" i="3"/>
  <c r="O1360" i="3"/>
  <c r="P1360" i="3"/>
  <c r="Q1360" i="3"/>
  <c r="R1360" i="3"/>
  <c r="K1361" i="3"/>
  <c r="L1361" i="3"/>
  <c r="M1361" i="3"/>
  <c r="N1361" i="3"/>
  <c r="O1361" i="3"/>
  <c r="P1361" i="3"/>
  <c r="Q1361" i="3"/>
  <c r="R1361" i="3"/>
  <c r="K1362" i="3"/>
  <c r="L1362" i="3"/>
  <c r="M1362" i="3"/>
  <c r="N1362" i="3"/>
  <c r="O1362" i="3"/>
  <c r="P1362" i="3"/>
  <c r="Q1362" i="3"/>
  <c r="R1362" i="3"/>
  <c r="K1363" i="3"/>
  <c r="L1363" i="3"/>
  <c r="M1363" i="3"/>
  <c r="N1363" i="3"/>
  <c r="O1363" i="3"/>
  <c r="P1363" i="3"/>
  <c r="Q1363" i="3"/>
  <c r="R1363" i="3"/>
  <c r="K1364" i="3"/>
  <c r="L1364" i="3"/>
  <c r="M1364" i="3"/>
  <c r="N1364" i="3"/>
  <c r="O1364" i="3"/>
  <c r="P1364" i="3"/>
  <c r="Q1364" i="3"/>
  <c r="R1364" i="3"/>
  <c r="K1365" i="3"/>
  <c r="L1365" i="3"/>
  <c r="M1365" i="3"/>
  <c r="N1365" i="3"/>
  <c r="O1365" i="3"/>
  <c r="P1365" i="3"/>
  <c r="Q1365" i="3"/>
  <c r="R1365" i="3"/>
  <c r="K1366" i="3"/>
  <c r="L1366" i="3"/>
  <c r="M1366" i="3"/>
  <c r="N1366" i="3"/>
  <c r="O1366" i="3"/>
  <c r="P1366" i="3"/>
  <c r="Q1366" i="3"/>
  <c r="R1366" i="3"/>
  <c r="K1367" i="3"/>
  <c r="L1367" i="3"/>
  <c r="M1367" i="3"/>
  <c r="N1367" i="3"/>
  <c r="O1367" i="3"/>
  <c r="P1367" i="3"/>
  <c r="Q1367" i="3"/>
  <c r="R1367" i="3"/>
  <c r="K1368" i="3"/>
  <c r="L1368" i="3"/>
  <c r="M1368" i="3"/>
  <c r="N1368" i="3"/>
  <c r="O1368" i="3"/>
  <c r="P1368" i="3"/>
  <c r="Q1368" i="3"/>
  <c r="R1368" i="3"/>
  <c r="K1369" i="3"/>
  <c r="L1369" i="3"/>
  <c r="M1369" i="3"/>
  <c r="N1369" i="3"/>
  <c r="O1369" i="3"/>
  <c r="P1369" i="3"/>
  <c r="Q1369" i="3"/>
  <c r="R1369" i="3"/>
  <c r="K1370" i="3"/>
  <c r="L1370" i="3"/>
  <c r="M1370" i="3"/>
  <c r="N1370" i="3"/>
  <c r="O1370" i="3"/>
  <c r="P1370" i="3"/>
  <c r="Q1370" i="3"/>
  <c r="R1370" i="3"/>
  <c r="K1371" i="3"/>
  <c r="L1371" i="3"/>
  <c r="M1371" i="3"/>
  <c r="N1371" i="3"/>
  <c r="O1371" i="3"/>
  <c r="P1371" i="3"/>
  <c r="Q1371" i="3"/>
  <c r="R1371" i="3"/>
  <c r="K1372" i="3"/>
  <c r="L1372" i="3"/>
  <c r="M1372" i="3"/>
  <c r="N1372" i="3"/>
  <c r="O1372" i="3"/>
  <c r="P1372" i="3"/>
  <c r="Q1372" i="3"/>
  <c r="R1372" i="3"/>
  <c r="K1373" i="3"/>
  <c r="L1373" i="3"/>
  <c r="M1373" i="3"/>
  <c r="N1373" i="3"/>
  <c r="O1373" i="3"/>
  <c r="P1373" i="3"/>
  <c r="Q1373" i="3"/>
  <c r="R1373" i="3"/>
  <c r="K1374" i="3"/>
  <c r="L1374" i="3"/>
  <c r="M1374" i="3"/>
  <c r="N1374" i="3"/>
  <c r="O1374" i="3"/>
  <c r="P1374" i="3"/>
  <c r="Q1374" i="3"/>
  <c r="R1374" i="3"/>
  <c r="K1375" i="3"/>
  <c r="L1375" i="3"/>
  <c r="M1375" i="3"/>
  <c r="N1375" i="3"/>
  <c r="O1375" i="3"/>
  <c r="P1375" i="3"/>
  <c r="Q1375" i="3"/>
  <c r="R1375" i="3"/>
  <c r="K1376" i="3"/>
  <c r="L1376" i="3"/>
  <c r="M1376" i="3"/>
  <c r="N1376" i="3"/>
  <c r="O1376" i="3"/>
  <c r="P1376" i="3"/>
  <c r="Q1376" i="3"/>
  <c r="R1376" i="3"/>
  <c r="K1377" i="3"/>
  <c r="L1377" i="3"/>
  <c r="M1377" i="3"/>
  <c r="N1377" i="3"/>
  <c r="O1377" i="3"/>
  <c r="P1377" i="3"/>
  <c r="Q1377" i="3"/>
  <c r="R1377" i="3"/>
  <c r="K1378" i="3"/>
  <c r="L1378" i="3"/>
  <c r="M1378" i="3"/>
  <c r="N1378" i="3"/>
  <c r="O1378" i="3"/>
  <c r="P1378" i="3"/>
  <c r="Q1378" i="3"/>
  <c r="R1378" i="3"/>
  <c r="K1379" i="3"/>
  <c r="L1379" i="3"/>
  <c r="M1379" i="3"/>
  <c r="N1379" i="3"/>
  <c r="O1379" i="3"/>
  <c r="P1379" i="3"/>
  <c r="Q1379" i="3"/>
  <c r="R1379" i="3"/>
  <c r="K1380" i="3"/>
  <c r="L1380" i="3"/>
  <c r="M1380" i="3"/>
  <c r="N1380" i="3"/>
  <c r="O1380" i="3"/>
  <c r="P1380" i="3"/>
  <c r="Q1380" i="3"/>
  <c r="R1380" i="3"/>
  <c r="K1381" i="3"/>
  <c r="L1381" i="3"/>
  <c r="M1381" i="3"/>
  <c r="N1381" i="3"/>
  <c r="O1381" i="3"/>
  <c r="P1381" i="3"/>
  <c r="Q1381" i="3"/>
  <c r="R1381" i="3"/>
  <c r="K1382" i="3"/>
  <c r="L1382" i="3"/>
  <c r="M1382" i="3"/>
  <c r="N1382" i="3"/>
  <c r="O1382" i="3"/>
  <c r="P1382" i="3"/>
  <c r="Q1382" i="3"/>
  <c r="R1382" i="3"/>
  <c r="K1383" i="3"/>
  <c r="L1383" i="3"/>
  <c r="M1383" i="3"/>
  <c r="N1383" i="3"/>
  <c r="O1383" i="3"/>
  <c r="P1383" i="3"/>
  <c r="Q1383" i="3"/>
  <c r="R1383" i="3"/>
  <c r="K1384" i="3"/>
  <c r="L1384" i="3"/>
  <c r="M1384" i="3"/>
  <c r="N1384" i="3"/>
  <c r="O1384" i="3"/>
  <c r="P1384" i="3"/>
  <c r="Q1384" i="3"/>
  <c r="R1384" i="3"/>
  <c r="K1385" i="3"/>
  <c r="L1385" i="3"/>
  <c r="M1385" i="3"/>
  <c r="N1385" i="3"/>
  <c r="O1385" i="3"/>
  <c r="P1385" i="3"/>
  <c r="Q1385" i="3"/>
  <c r="R1385" i="3"/>
  <c r="K1386" i="3"/>
  <c r="L1386" i="3"/>
  <c r="M1386" i="3"/>
  <c r="N1386" i="3"/>
  <c r="O1386" i="3"/>
  <c r="P1386" i="3"/>
  <c r="Q1386" i="3"/>
  <c r="R1386" i="3"/>
  <c r="K1387" i="3"/>
  <c r="L1387" i="3"/>
  <c r="M1387" i="3"/>
  <c r="N1387" i="3"/>
  <c r="O1387" i="3"/>
  <c r="P1387" i="3"/>
  <c r="Q1387" i="3"/>
  <c r="R1387" i="3"/>
  <c r="K1388" i="3"/>
  <c r="L1388" i="3"/>
  <c r="M1388" i="3"/>
  <c r="N1388" i="3"/>
  <c r="O1388" i="3"/>
  <c r="P1388" i="3"/>
  <c r="Q1388" i="3"/>
  <c r="R1388" i="3"/>
  <c r="K1389" i="3"/>
  <c r="L1389" i="3"/>
  <c r="M1389" i="3"/>
  <c r="N1389" i="3"/>
  <c r="O1389" i="3"/>
  <c r="P1389" i="3"/>
  <c r="Q1389" i="3"/>
  <c r="R1389" i="3"/>
  <c r="K1390" i="3"/>
  <c r="L1390" i="3"/>
  <c r="M1390" i="3"/>
  <c r="N1390" i="3"/>
  <c r="O1390" i="3"/>
  <c r="P1390" i="3"/>
  <c r="Q1390" i="3"/>
  <c r="R1390" i="3"/>
  <c r="K1391" i="3"/>
  <c r="L1391" i="3"/>
  <c r="M1391" i="3"/>
  <c r="N1391" i="3"/>
  <c r="O1391" i="3"/>
  <c r="P1391" i="3"/>
  <c r="Q1391" i="3"/>
  <c r="R1391" i="3"/>
  <c r="K1392" i="3"/>
  <c r="L1392" i="3"/>
  <c r="M1392" i="3"/>
  <c r="N1392" i="3"/>
  <c r="O1392" i="3"/>
  <c r="P1392" i="3"/>
  <c r="Q1392" i="3"/>
  <c r="R1392" i="3"/>
  <c r="K1393" i="3"/>
  <c r="L1393" i="3"/>
  <c r="M1393" i="3"/>
  <c r="N1393" i="3"/>
  <c r="O1393" i="3"/>
  <c r="P1393" i="3"/>
  <c r="Q1393" i="3"/>
  <c r="R1393" i="3"/>
  <c r="K1394" i="3"/>
  <c r="L1394" i="3"/>
  <c r="M1394" i="3"/>
  <c r="N1394" i="3"/>
  <c r="O1394" i="3"/>
  <c r="P1394" i="3"/>
  <c r="Q1394" i="3"/>
  <c r="R1394" i="3"/>
  <c r="K1395" i="3"/>
  <c r="L1395" i="3"/>
  <c r="M1395" i="3"/>
  <c r="N1395" i="3"/>
  <c r="O1395" i="3"/>
  <c r="P1395" i="3"/>
  <c r="Q1395" i="3"/>
  <c r="R1395" i="3"/>
  <c r="K1396" i="3"/>
  <c r="L1396" i="3"/>
  <c r="M1396" i="3"/>
  <c r="N1396" i="3"/>
  <c r="O1396" i="3"/>
  <c r="P1396" i="3"/>
  <c r="Q1396" i="3"/>
  <c r="R1396" i="3"/>
  <c r="K1397" i="3"/>
  <c r="L1397" i="3"/>
  <c r="M1397" i="3"/>
  <c r="N1397" i="3"/>
  <c r="O1397" i="3"/>
  <c r="P1397" i="3"/>
  <c r="Q1397" i="3"/>
  <c r="R1397" i="3"/>
  <c r="K1398" i="3"/>
  <c r="L1398" i="3"/>
  <c r="M1398" i="3"/>
  <c r="N1398" i="3"/>
  <c r="O1398" i="3"/>
  <c r="P1398" i="3"/>
  <c r="Q1398" i="3"/>
  <c r="R1398" i="3"/>
  <c r="K1399" i="3"/>
  <c r="L1399" i="3"/>
  <c r="M1399" i="3"/>
  <c r="N1399" i="3"/>
  <c r="O1399" i="3"/>
  <c r="P1399" i="3"/>
  <c r="Q1399" i="3"/>
  <c r="R1399" i="3"/>
  <c r="K1400" i="3"/>
  <c r="L1400" i="3"/>
  <c r="M1400" i="3"/>
  <c r="N1400" i="3"/>
  <c r="O1400" i="3"/>
  <c r="P1400" i="3"/>
  <c r="Q1400" i="3"/>
  <c r="R1400" i="3"/>
  <c r="K1401" i="3"/>
  <c r="L1401" i="3"/>
  <c r="M1401" i="3"/>
  <c r="N1401" i="3"/>
  <c r="O1401" i="3"/>
  <c r="P1401" i="3"/>
  <c r="Q1401" i="3"/>
  <c r="R1401" i="3"/>
  <c r="K1402" i="3"/>
  <c r="L1402" i="3"/>
  <c r="M1402" i="3"/>
  <c r="N1402" i="3"/>
  <c r="O1402" i="3"/>
  <c r="P1402" i="3"/>
  <c r="Q1402" i="3"/>
  <c r="R1402" i="3"/>
  <c r="K1403" i="3"/>
  <c r="L1403" i="3"/>
  <c r="M1403" i="3"/>
  <c r="N1403" i="3"/>
  <c r="O1403" i="3"/>
  <c r="P1403" i="3"/>
  <c r="Q1403" i="3"/>
  <c r="R1403" i="3"/>
  <c r="K1404" i="3"/>
  <c r="L1404" i="3"/>
  <c r="M1404" i="3"/>
  <c r="N1404" i="3"/>
  <c r="O1404" i="3"/>
  <c r="P1404" i="3"/>
  <c r="Q1404" i="3"/>
  <c r="R1404" i="3"/>
  <c r="K1405" i="3"/>
  <c r="L1405" i="3"/>
  <c r="M1405" i="3"/>
  <c r="N1405" i="3"/>
  <c r="O1405" i="3"/>
  <c r="P1405" i="3"/>
  <c r="Q1405" i="3"/>
  <c r="R1405" i="3"/>
  <c r="K1406" i="3"/>
  <c r="L1406" i="3"/>
  <c r="M1406" i="3"/>
  <c r="N1406" i="3"/>
  <c r="O1406" i="3"/>
  <c r="P1406" i="3"/>
  <c r="Q1406" i="3"/>
  <c r="R1406" i="3"/>
  <c r="K1407" i="3"/>
  <c r="L1407" i="3"/>
  <c r="M1407" i="3"/>
  <c r="N1407" i="3"/>
  <c r="O1407" i="3"/>
  <c r="P1407" i="3"/>
  <c r="Q1407" i="3"/>
  <c r="R1407" i="3"/>
  <c r="K1408" i="3"/>
  <c r="L1408" i="3"/>
  <c r="M1408" i="3"/>
  <c r="N1408" i="3"/>
  <c r="O1408" i="3"/>
  <c r="P1408" i="3"/>
  <c r="Q1408" i="3"/>
  <c r="R1408" i="3"/>
  <c r="K1409" i="3"/>
  <c r="L1409" i="3"/>
  <c r="M1409" i="3"/>
  <c r="N1409" i="3"/>
  <c r="O1409" i="3"/>
  <c r="P1409" i="3"/>
  <c r="Q1409" i="3"/>
  <c r="R1409" i="3"/>
  <c r="K1410" i="3"/>
  <c r="L1410" i="3"/>
  <c r="M1410" i="3"/>
  <c r="N1410" i="3"/>
  <c r="O1410" i="3"/>
  <c r="P1410" i="3"/>
  <c r="Q1410" i="3"/>
  <c r="R1410" i="3"/>
  <c r="K1411" i="3"/>
  <c r="L1411" i="3"/>
  <c r="M1411" i="3"/>
  <c r="N1411" i="3"/>
  <c r="O1411" i="3"/>
  <c r="P1411" i="3"/>
  <c r="Q1411" i="3"/>
  <c r="R1411" i="3"/>
  <c r="K1412" i="3"/>
  <c r="L1412" i="3"/>
  <c r="M1412" i="3"/>
  <c r="N1412" i="3"/>
  <c r="O1412" i="3"/>
  <c r="P1412" i="3"/>
  <c r="Q1412" i="3"/>
  <c r="R1412" i="3"/>
  <c r="K1413" i="3"/>
  <c r="L1413" i="3"/>
  <c r="M1413" i="3"/>
  <c r="N1413" i="3"/>
  <c r="O1413" i="3"/>
  <c r="P1413" i="3"/>
  <c r="Q1413" i="3"/>
  <c r="R1413" i="3"/>
  <c r="K1414" i="3"/>
  <c r="L1414" i="3"/>
  <c r="M1414" i="3"/>
  <c r="N1414" i="3"/>
  <c r="O1414" i="3"/>
  <c r="P1414" i="3"/>
  <c r="Q1414" i="3"/>
  <c r="R1414" i="3"/>
  <c r="K1415" i="3"/>
  <c r="L1415" i="3"/>
  <c r="M1415" i="3"/>
  <c r="N1415" i="3"/>
  <c r="O1415" i="3"/>
  <c r="P1415" i="3"/>
  <c r="Q1415" i="3"/>
  <c r="R1415" i="3"/>
  <c r="K1416" i="3"/>
  <c r="L1416" i="3"/>
  <c r="M1416" i="3"/>
  <c r="N1416" i="3"/>
  <c r="O1416" i="3"/>
  <c r="P1416" i="3"/>
  <c r="Q1416" i="3"/>
  <c r="R1416" i="3"/>
  <c r="K1417" i="3"/>
  <c r="L1417" i="3"/>
  <c r="M1417" i="3"/>
  <c r="N1417" i="3"/>
  <c r="O1417" i="3"/>
  <c r="P1417" i="3"/>
  <c r="Q1417" i="3"/>
  <c r="R1417" i="3"/>
  <c r="K1418" i="3"/>
  <c r="L1418" i="3"/>
  <c r="M1418" i="3"/>
  <c r="N1418" i="3"/>
  <c r="O1418" i="3"/>
  <c r="P1418" i="3"/>
  <c r="Q1418" i="3"/>
  <c r="R1418" i="3"/>
  <c r="K1419" i="3"/>
  <c r="L1419" i="3"/>
  <c r="M1419" i="3"/>
  <c r="N1419" i="3"/>
  <c r="O1419" i="3"/>
  <c r="P1419" i="3"/>
  <c r="Q1419" i="3"/>
  <c r="R1419" i="3"/>
  <c r="K1420" i="3"/>
  <c r="L1420" i="3"/>
  <c r="M1420" i="3"/>
  <c r="N1420" i="3"/>
  <c r="O1420" i="3"/>
  <c r="P1420" i="3"/>
  <c r="Q1420" i="3"/>
  <c r="R1420" i="3"/>
  <c r="K1421" i="3"/>
  <c r="L1421" i="3"/>
  <c r="M1421" i="3"/>
  <c r="N1421" i="3"/>
  <c r="O1421" i="3"/>
  <c r="P1421" i="3"/>
  <c r="Q1421" i="3"/>
  <c r="R1421" i="3"/>
  <c r="K1422" i="3"/>
  <c r="L1422" i="3"/>
  <c r="M1422" i="3"/>
  <c r="N1422" i="3"/>
  <c r="O1422" i="3"/>
  <c r="P1422" i="3"/>
  <c r="Q1422" i="3"/>
  <c r="R1422" i="3"/>
  <c r="K1423" i="3"/>
  <c r="L1423" i="3"/>
  <c r="M1423" i="3"/>
  <c r="N1423" i="3"/>
  <c r="O1423" i="3"/>
  <c r="P1423" i="3"/>
  <c r="Q1423" i="3"/>
  <c r="R1423" i="3"/>
  <c r="K1424" i="3"/>
  <c r="L1424" i="3"/>
  <c r="M1424" i="3"/>
  <c r="N1424" i="3"/>
  <c r="O1424" i="3"/>
  <c r="P1424" i="3"/>
  <c r="Q1424" i="3"/>
  <c r="R1424" i="3"/>
  <c r="K1425" i="3"/>
  <c r="L1425" i="3"/>
  <c r="M1425" i="3"/>
  <c r="N1425" i="3"/>
  <c r="O1425" i="3"/>
  <c r="P1425" i="3"/>
  <c r="Q1425" i="3"/>
  <c r="R1425" i="3"/>
  <c r="K1426" i="3"/>
  <c r="L1426" i="3"/>
  <c r="M1426" i="3"/>
  <c r="N1426" i="3"/>
  <c r="O1426" i="3"/>
  <c r="P1426" i="3"/>
  <c r="Q1426" i="3"/>
  <c r="R1426" i="3"/>
  <c r="K1427" i="3"/>
  <c r="L1427" i="3"/>
  <c r="M1427" i="3"/>
  <c r="N1427" i="3"/>
  <c r="O1427" i="3"/>
  <c r="P1427" i="3"/>
  <c r="Q1427" i="3"/>
  <c r="R1427" i="3"/>
  <c r="K1428" i="3"/>
  <c r="L1428" i="3"/>
  <c r="M1428" i="3"/>
  <c r="N1428" i="3"/>
  <c r="O1428" i="3"/>
  <c r="P1428" i="3"/>
  <c r="Q1428" i="3"/>
  <c r="R1428" i="3"/>
  <c r="K1429" i="3"/>
  <c r="L1429" i="3"/>
  <c r="M1429" i="3"/>
  <c r="N1429" i="3"/>
  <c r="O1429" i="3"/>
  <c r="P1429" i="3"/>
  <c r="Q1429" i="3"/>
  <c r="R1429" i="3"/>
  <c r="K1430" i="3"/>
  <c r="L1430" i="3"/>
  <c r="M1430" i="3"/>
  <c r="N1430" i="3"/>
  <c r="O1430" i="3"/>
  <c r="P1430" i="3"/>
  <c r="Q1430" i="3"/>
  <c r="R1430" i="3"/>
  <c r="K1431" i="3"/>
  <c r="L1431" i="3"/>
  <c r="M1431" i="3"/>
  <c r="N1431" i="3"/>
  <c r="O1431" i="3"/>
  <c r="P1431" i="3"/>
  <c r="Q1431" i="3"/>
  <c r="R1431" i="3"/>
  <c r="K1432" i="3"/>
  <c r="L1432" i="3"/>
  <c r="M1432" i="3"/>
  <c r="N1432" i="3"/>
  <c r="O1432" i="3"/>
  <c r="P1432" i="3"/>
  <c r="Q1432" i="3"/>
  <c r="R1432" i="3"/>
  <c r="K1433" i="3"/>
  <c r="L1433" i="3"/>
  <c r="M1433" i="3"/>
  <c r="N1433" i="3"/>
  <c r="O1433" i="3"/>
  <c r="P1433" i="3"/>
  <c r="Q1433" i="3"/>
  <c r="R1433" i="3"/>
  <c r="K1434" i="3"/>
  <c r="L1434" i="3"/>
  <c r="M1434" i="3"/>
  <c r="N1434" i="3"/>
  <c r="O1434" i="3"/>
  <c r="P1434" i="3"/>
  <c r="Q1434" i="3"/>
  <c r="R1434" i="3"/>
  <c r="K1435" i="3"/>
  <c r="L1435" i="3"/>
  <c r="M1435" i="3"/>
  <c r="N1435" i="3"/>
  <c r="O1435" i="3"/>
  <c r="P1435" i="3"/>
  <c r="Q1435" i="3"/>
  <c r="R1435" i="3"/>
  <c r="K1436" i="3"/>
  <c r="L1436" i="3"/>
  <c r="M1436" i="3"/>
  <c r="N1436" i="3"/>
  <c r="O1436" i="3"/>
  <c r="P1436" i="3"/>
  <c r="Q1436" i="3"/>
  <c r="R1436" i="3"/>
  <c r="K1437" i="3"/>
  <c r="L1437" i="3"/>
  <c r="M1437" i="3"/>
  <c r="N1437" i="3"/>
  <c r="O1437" i="3"/>
  <c r="P1437" i="3"/>
  <c r="Q1437" i="3"/>
  <c r="R1437" i="3"/>
  <c r="K1438" i="3"/>
  <c r="L1438" i="3"/>
  <c r="M1438" i="3"/>
  <c r="N1438" i="3"/>
  <c r="O1438" i="3"/>
  <c r="P1438" i="3"/>
  <c r="Q1438" i="3"/>
  <c r="R1438" i="3"/>
  <c r="K1439" i="3"/>
  <c r="L1439" i="3"/>
  <c r="M1439" i="3"/>
  <c r="N1439" i="3"/>
  <c r="O1439" i="3"/>
  <c r="P1439" i="3"/>
  <c r="Q1439" i="3"/>
  <c r="R1439" i="3"/>
  <c r="K1440" i="3"/>
  <c r="L1440" i="3"/>
  <c r="M1440" i="3"/>
  <c r="N1440" i="3"/>
  <c r="O1440" i="3"/>
  <c r="P1440" i="3"/>
  <c r="Q1440" i="3"/>
  <c r="R1440" i="3"/>
  <c r="K1441" i="3"/>
  <c r="L1441" i="3"/>
  <c r="M1441" i="3"/>
  <c r="N1441" i="3"/>
  <c r="O1441" i="3"/>
  <c r="P1441" i="3"/>
  <c r="Q1441" i="3"/>
  <c r="R1441" i="3"/>
  <c r="K1442" i="3"/>
  <c r="L1442" i="3"/>
  <c r="M1442" i="3"/>
  <c r="N1442" i="3"/>
  <c r="O1442" i="3"/>
  <c r="P1442" i="3"/>
  <c r="Q1442" i="3"/>
  <c r="R1442" i="3"/>
  <c r="K1443" i="3"/>
  <c r="L1443" i="3"/>
  <c r="M1443" i="3"/>
  <c r="N1443" i="3"/>
  <c r="O1443" i="3"/>
  <c r="P1443" i="3"/>
  <c r="Q1443" i="3"/>
  <c r="R1443" i="3"/>
  <c r="K1444" i="3"/>
  <c r="L1444" i="3"/>
  <c r="M1444" i="3"/>
  <c r="N1444" i="3"/>
  <c r="O1444" i="3"/>
  <c r="P1444" i="3"/>
  <c r="Q1444" i="3"/>
  <c r="R1444" i="3"/>
  <c r="K1445" i="3"/>
  <c r="L1445" i="3"/>
  <c r="M1445" i="3"/>
  <c r="N1445" i="3"/>
  <c r="O1445" i="3"/>
  <c r="P1445" i="3"/>
  <c r="Q1445" i="3"/>
  <c r="R1445" i="3"/>
  <c r="K1446" i="3"/>
  <c r="L1446" i="3"/>
  <c r="M1446" i="3"/>
  <c r="N1446" i="3"/>
  <c r="O1446" i="3"/>
  <c r="P1446" i="3"/>
  <c r="Q1446" i="3"/>
  <c r="R1446" i="3"/>
  <c r="K1447" i="3"/>
  <c r="L1447" i="3"/>
  <c r="M1447" i="3"/>
  <c r="N1447" i="3"/>
  <c r="O1447" i="3"/>
  <c r="P1447" i="3"/>
  <c r="Q1447" i="3"/>
  <c r="R1447" i="3"/>
  <c r="K1448" i="3"/>
  <c r="L1448" i="3"/>
  <c r="M1448" i="3"/>
  <c r="N1448" i="3"/>
  <c r="O1448" i="3"/>
  <c r="P1448" i="3"/>
  <c r="Q1448" i="3"/>
  <c r="R1448" i="3"/>
  <c r="K1449" i="3"/>
  <c r="L1449" i="3"/>
  <c r="M1449" i="3"/>
  <c r="N1449" i="3"/>
  <c r="O1449" i="3"/>
  <c r="P1449" i="3"/>
  <c r="Q1449" i="3"/>
  <c r="R1449" i="3"/>
  <c r="K1450" i="3"/>
  <c r="L1450" i="3"/>
  <c r="M1450" i="3"/>
  <c r="N1450" i="3"/>
  <c r="O1450" i="3"/>
  <c r="P1450" i="3"/>
  <c r="Q1450" i="3"/>
  <c r="R1450" i="3"/>
  <c r="K1451" i="3"/>
  <c r="L1451" i="3"/>
  <c r="M1451" i="3"/>
  <c r="N1451" i="3"/>
  <c r="O1451" i="3"/>
  <c r="P1451" i="3"/>
  <c r="Q1451" i="3"/>
  <c r="R1451" i="3"/>
  <c r="K1452" i="3"/>
  <c r="L1452" i="3"/>
  <c r="M1452" i="3"/>
  <c r="N1452" i="3"/>
  <c r="O1452" i="3"/>
  <c r="P1452" i="3"/>
  <c r="Q1452" i="3"/>
  <c r="R1452" i="3"/>
  <c r="K1453" i="3"/>
  <c r="L1453" i="3"/>
  <c r="M1453" i="3"/>
  <c r="N1453" i="3"/>
  <c r="O1453" i="3"/>
  <c r="P1453" i="3"/>
  <c r="Q1453" i="3"/>
  <c r="R1453" i="3"/>
  <c r="K1454" i="3"/>
  <c r="L1454" i="3"/>
  <c r="M1454" i="3"/>
  <c r="N1454" i="3"/>
  <c r="O1454" i="3"/>
  <c r="P1454" i="3"/>
  <c r="Q1454" i="3"/>
  <c r="R1454" i="3"/>
  <c r="K1455" i="3"/>
  <c r="L1455" i="3"/>
  <c r="M1455" i="3"/>
  <c r="N1455" i="3"/>
  <c r="O1455" i="3"/>
  <c r="P1455" i="3"/>
  <c r="Q1455" i="3"/>
  <c r="R1455" i="3"/>
  <c r="K1456" i="3"/>
  <c r="L1456" i="3"/>
  <c r="M1456" i="3"/>
  <c r="N1456" i="3"/>
  <c r="O1456" i="3"/>
  <c r="P1456" i="3"/>
  <c r="Q1456" i="3"/>
  <c r="R1456" i="3"/>
  <c r="K1457" i="3"/>
  <c r="L1457" i="3"/>
  <c r="M1457" i="3"/>
  <c r="N1457" i="3"/>
  <c r="O1457" i="3"/>
  <c r="P1457" i="3"/>
  <c r="Q1457" i="3"/>
  <c r="R1457" i="3"/>
  <c r="K1458" i="3"/>
  <c r="L1458" i="3"/>
  <c r="M1458" i="3"/>
  <c r="N1458" i="3"/>
  <c r="O1458" i="3"/>
  <c r="P1458" i="3"/>
  <c r="Q1458" i="3"/>
  <c r="R1458" i="3"/>
  <c r="K1459" i="3"/>
  <c r="L1459" i="3"/>
  <c r="M1459" i="3"/>
  <c r="N1459" i="3"/>
  <c r="O1459" i="3"/>
  <c r="P1459" i="3"/>
  <c r="Q1459" i="3"/>
  <c r="R1459" i="3"/>
  <c r="K1460" i="3"/>
  <c r="L1460" i="3"/>
  <c r="M1460" i="3"/>
  <c r="N1460" i="3"/>
  <c r="O1460" i="3"/>
  <c r="P1460" i="3"/>
  <c r="Q1460" i="3"/>
  <c r="R1460" i="3"/>
  <c r="K1461" i="3"/>
  <c r="L1461" i="3"/>
  <c r="M1461" i="3"/>
  <c r="N1461" i="3"/>
  <c r="O1461" i="3"/>
  <c r="P1461" i="3"/>
  <c r="Q1461" i="3"/>
  <c r="R1461" i="3"/>
  <c r="K1462" i="3"/>
  <c r="L1462" i="3"/>
  <c r="M1462" i="3"/>
  <c r="N1462" i="3"/>
  <c r="O1462" i="3"/>
  <c r="P1462" i="3"/>
  <c r="Q1462" i="3"/>
  <c r="R1462" i="3"/>
  <c r="K1463" i="3"/>
  <c r="L1463" i="3"/>
  <c r="M1463" i="3"/>
  <c r="N1463" i="3"/>
  <c r="O1463" i="3"/>
  <c r="P1463" i="3"/>
  <c r="Q1463" i="3"/>
  <c r="R1463" i="3"/>
  <c r="K1464" i="3"/>
  <c r="L1464" i="3"/>
  <c r="M1464" i="3"/>
  <c r="N1464" i="3"/>
  <c r="O1464" i="3"/>
  <c r="P1464" i="3"/>
  <c r="Q1464" i="3"/>
  <c r="R1464" i="3"/>
  <c r="K1465" i="3"/>
  <c r="L1465" i="3"/>
  <c r="M1465" i="3"/>
  <c r="N1465" i="3"/>
  <c r="O1465" i="3"/>
  <c r="P1465" i="3"/>
  <c r="Q1465" i="3"/>
  <c r="R1465" i="3"/>
  <c r="K1466" i="3"/>
  <c r="L1466" i="3"/>
  <c r="M1466" i="3"/>
  <c r="N1466" i="3"/>
  <c r="O1466" i="3"/>
  <c r="P1466" i="3"/>
  <c r="Q1466" i="3"/>
  <c r="R1466" i="3"/>
  <c r="K1467" i="3"/>
  <c r="L1467" i="3"/>
  <c r="M1467" i="3"/>
  <c r="N1467" i="3"/>
  <c r="O1467" i="3"/>
  <c r="P1467" i="3"/>
  <c r="Q1467" i="3"/>
  <c r="R1467" i="3"/>
  <c r="K1468" i="3"/>
  <c r="L1468" i="3"/>
  <c r="M1468" i="3"/>
  <c r="N1468" i="3"/>
  <c r="O1468" i="3"/>
  <c r="P1468" i="3"/>
  <c r="Q1468" i="3"/>
  <c r="R1468" i="3"/>
  <c r="K1469" i="3"/>
  <c r="L1469" i="3"/>
  <c r="M1469" i="3"/>
  <c r="N1469" i="3"/>
  <c r="O1469" i="3"/>
  <c r="P1469" i="3"/>
  <c r="Q1469" i="3"/>
  <c r="R1469" i="3"/>
  <c r="K1470" i="3"/>
  <c r="L1470" i="3"/>
  <c r="M1470" i="3"/>
  <c r="N1470" i="3"/>
  <c r="O1470" i="3"/>
  <c r="P1470" i="3"/>
  <c r="Q1470" i="3"/>
  <c r="R1470" i="3"/>
  <c r="K1471" i="3"/>
  <c r="L1471" i="3"/>
  <c r="M1471" i="3"/>
  <c r="N1471" i="3"/>
  <c r="O1471" i="3"/>
  <c r="P1471" i="3"/>
  <c r="Q1471" i="3"/>
  <c r="R1471" i="3"/>
  <c r="K1472" i="3"/>
  <c r="L1472" i="3"/>
  <c r="M1472" i="3"/>
  <c r="N1472" i="3"/>
  <c r="O1472" i="3"/>
  <c r="P1472" i="3"/>
  <c r="Q1472" i="3"/>
  <c r="R1472" i="3"/>
  <c r="K1473" i="3"/>
  <c r="L1473" i="3"/>
  <c r="M1473" i="3"/>
  <c r="N1473" i="3"/>
  <c r="O1473" i="3"/>
  <c r="P1473" i="3"/>
  <c r="Q1473" i="3"/>
  <c r="R1473" i="3"/>
  <c r="K1474" i="3"/>
  <c r="L1474" i="3"/>
  <c r="M1474" i="3"/>
  <c r="N1474" i="3"/>
  <c r="O1474" i="3"/>
  <c r="P1474" i="3"/>
  <c r="Q1474" i="3"/>
  <c r="R1474" i="3"/>
  <c r="K1475" i="3"/>
  <c r="L1475" i="3"/>
  <c r="M1475" i="3"/>
  <c r="N1475" i="3"/>
  <c r="O1475" i="3"/>
  <c r="P1475" i="3"/>
  <c r="Q1475" i="3"/>
  <c r="R1475" i="3"/>
  <c r="K1476" i="3"/>
  <c r="L1476" i="3"/>
  <c r="M1476" i="3"/>
  <c r="N1476" i="3"/>
  <c r="O1476" i="3"/>
  <c r="P1476" i="3"/>
  <c r="Q1476" i="3"/>
  <c r="R1476" i="3"/>
  <c r="K1477" i="3"/>
  <c r="L1477" i="3"/>
  <c r="M1477" i="3"/>
  <c r="N1477" i="3"/>
  <c r="O1477" i="3"/>
  <c r="P1477" i="3"/>
  <c r="Q1477" i="3"/>
  <c r="R1477" i="3"/>
  <c r="K1478" i="3"/>
  <c r="L1478" i="3"/>
  <c r="M1478" i="3"/>
  <c r="N1478" i="3"/>
  <c r="O1478" i="3"/>
  <c r="P1478" i="3"/>
  <c r="Q1478" i="3"/>
  <c r="R1478" i="3"/>
  <c r="K1479" i="3"/>
  <c r="L1479" i="3"/>
  <c r="M1479" i="3"/>
  <c r="N1479" i="3"/>
  <c r="O1479" i="3"/>
  <c r="P1479" i="3"/>
  <c r="Q1479" i="3"/>
  <c r="R1479" i="3"/>
  <c r="K1480" i="3"/>
  <c r="L1480" i="3"/>
  <c r="M1480" i="3"/>
  <c r="N1480" i="3"/>
  <c r="O1480" i="3"/>
  <c r="P1480" i="3"/>
  <c r="Q1480" i="3"/>
  <c r="R1480" i="3"/>
  <c r="K1481" i="3"/>
  <c r="L1481" i="3"/>
  <c r="M1481" i="3"/>
  <c r="N1481" i="3"/>
  <c r="O1481" i="3"/>
  <c r="P1481" i="3"/>
  <c r="Q1481" i="3"/>
  <c r="R1481" i="3"/>
  <c r="K1482" i="3"/>
  <c r="L1482" i="3"/>
  <c r="M1482" i="3"/>
  <c r="N1482" i="3"/>
  <c r="O1482" i="3"/>
  <c r="P1482" i="3"/>
  <c r="Q1482" i="3"/>
  <c r="R1482" i="3"/>
  <c r="K1483" i="3"/>
  <c r="L1483" i="3"/>
  <c r="M1483" i="3"/>
  <c r="N1483" i="3"/>
  <c r="O1483" i="3"/>
  <c r="P1483" i="3"/>
  <c r="Q1483" i="3"/>
  <c r="R1483" i="3"/>
  <c r="K1484" i="3"/>
  <c r="L1484" i="3"/>
  <c r="M1484" i="3"/>
  <c r="N1484" i="3"/>
  <c r="O1484" i="3"/>
  <c r="P1484" i="3"/>
  <c r="Q1484" i="3"/>
  <c r="R1484" i="3"/>
  <c r="K1485" i="3"/>
  <c r="L1485" i="3"/>
  <c r="M1485" i="3"/>
  <c r="N1485" i="3"/>
  <c r="O1485" i="3"/>
  <c r="P1485" i="3"/>
  <c r="Q1485" i="3"/>
  <c r="R1485" i="3"/>
  <c r="K1486" i="3"/>
  <c r="L1486" i="3"/>
  <c r="M1486" i="3"/>
  <c r="N1486" i="3"/>
  <c r="O1486" i="3"/>
  <c r="P1486" i="3"/>
  <c r="Q1486" i="3"/>
  <c r="R1486" i="3"/>
  <c r="K1487" i="3"/>
  <c r="L1487" i="3"/>
  <c r="M1487" i="3"/>
  <c r="N1487" i="3"/>
  <c r="O1487" i="3"/>
  <c r="P1487" i="3"/>
  <c r="Q1487" i="3"/>
  <c r="R1487" i="3"/>
  <c r="K1488" i="3"/>
  <c r="L1488" i="3"/>
  <c r="M1488" i="3"/>
  <c r="N1488" i="3"/>
  <c r="O1488" i="3"/>
  <c r="P1488" i="3"/>
  <c r="Q1488" i="3"/>
  <c r="R1488" i="3"/>
  <c r="K1489" i="3"/>
  <c r="L1489" i="3"/>
  <c r="M1489" i="3"/>
  <c r="N1489" i="3"/>
  <c r="O1489" i="3"/>
  <c r="P1489" i="3"/>
  <c r="Q1489" i="3"/>
  <c r="R1489" i="3"/>
  <c r="K1490" i="3"/>
  <c r="L1490" i="3"/>
  <c r="M1490" i="3"/>
  <c r="N1490" i="3"/>
  <c r="O1490" i="3"/>
  <c r="P1490" i="3"/>
  <c r="Q1490" i="3"/>
  <c r="R1490" i="3"/>
  <c r="K1491" i="3"/>
  <c r="L1491" i="3"/>
  <c r="M1491" i="3"/>
  <c r="N1491" i="3"/>
  <c r="O1491" i="3"/>
  <c r="P1491" i="3"/>
  <c r="Q1491" i="3"/>
  <c r="R1491" i="3"/>
  <c r="K1492" i="3"/>
  <c r="L1492" i="3"/>
  <c r="M1492" i="3"/>
  <c r="N1492" i="3"/>
  <c r="O1492" i="3"/>
  <c r="P1492" i="3"/>
  <c r="Q1492" i="3"/>
  <c r="R1492" i="3"/>
  <c r="K1493" i="3"/>
  <c r="L1493" i="3"/>
  <c r="M1493" i="3"/>
  <c r="N1493" i="3"/>
  <c r="O1493" i="3"/>
  <c r="P1493" i="3"/>
  <c r="Q1493" i="3"/>
  <c r="R1493" i="3"/>
  <c r="K1494" i="3"/>
  <c r="L1494" i="3"/>
  <c r="M1494" i="3"/>
  <c r="N1494" i="3"/>
  <c r="O1494" i="3"/>
  <c r="P1494" i="3"/>
  <c r="Q1494" i="3"/>
  <c r="R1494" i="3"/>
  <c r="K1495" i="3"/>
  <c r="L1495" i="3"/>
  <c r="M1495" i="3"/>
  <c r="N1495" i="3"/>
  <c r="O1495" i="3"/>
  <c r="P1495" i="3"/>
  <c r="Q1495" i="3"/>
  <c r="R1495" i="3"/>
  <c r="K1496" i="3"/>
  <c r="L1496" i="3"/>
  <c r="M1496" i="3"/>
  <c r="N1496" i="3"/>
  <c r="O1496" i="3"/>
  <c r="P1496" i="3"/>
  <c r="Q1496" i="3"/>
  <c r="R1496" i="3"/>
  <c r="K1497" i="3"/>
  <c r="L1497" i="3"/>
  <c r="M1497" i="3"/>
  <c r="N1497" i="3"/>
  <c r="O1497" i="3"/>
  <c r="P1497" i="3"/>
  <c r="Q1497" i="3"/>
  <c r="R1497" i="3"/>
  <c r="K1498" i="3"/>
  <c r="L1498" i="3"/>
  <c r="M1498" i="3"/>
  <c r="N1498" i="3"/>
  <c r="O1498" i="3"/>
  <c r="P1498" i="3"/>
  <c r="Q1498" i="3"/>
  <c r="R1498" i="3"/>
  <c r="K1499" i="3"/>
  <c r="L1499" i="3"/>
  <c r="M1499" i="3"/>
  <c r="N1499" i="3"/>
  <c r="O1499" i="3"/>
  <c r="P1499" i="3"/>
  <c r="Q1499" i="3"/>
  <c r="R1499" i="3"/>
  <c r="K1500" i="3"/>
  <c r="L1500" i="3"/>
  <c r="M1500" i="3"/>
  <c r="N1500" i="3"/>
  <c r="O1500" i="3"/>
  <c r="P1500" i="3"/>
  <c r="Q1500" i="3"/>
  <c r="R1500" i="3"/>
  <c r="K1501" i="3"/>
  <c r="L1501" i="3"/>
  <c r="M1501" i="3"/>
  <c r="N1501" i="3"/>
  <c r="O1501" i="3"/>
  <c r="P1501" i="3"/>
  <c r="Q1501" i="3"/>
  <c r="R1501" i="3"/>
  <c r="K1502" i="3"/>
  <c r="L1502" i="3"/>
  <c r="M1502" i="3"/>
  <c r="N1502" i="3"/>
  <c r="O1502" i="3"/>
  <c r="P1502" i="3"/>
  <c r="Q1502" i="3"/>
  <c r="R1502" i="3"/>
  <c r="K1503" i="3"/>
  <c r="L1503" i="3"/>
  <c r="M1503" i="3"/>
  <c r="N1503" i="3"/>
  <c r="O1503" i="3"/>
  <c r="P1503" i="3"/>
  <c r="Q1503" i="3"/>
  <c r="R1503" i="3"/>
  <c r="K1504" i="3"/>
  <c r="L1504" i="3"/>
  <c r="M1504" i="3"/>
  <c r="N1504" i="3"/>
  <c r="O1504" i="3"/>
  <c r="P1504" i="3"/>
  <c r="Q1504" i="3"/>
  <c r="R1504" i="3"/>
  <c r="K1505" i="3"/>
  <c r="L1505" i="3"/>
  <c r="M1505" i="3"/>
  <c r="N1505" i="3"/>
  <c r="O1505" i="3"/>
  <c r="P1505" i="3"/>
  <c r="Q1505" i="3"/>
  <c r="R1505" i="3"/>
  <c r="K1506" i="3"/>
  <c r="L1506" i="3"/>
  <c r="M1506" i="3"/>
  <c r="N1506" i="3"/>
  <c r="O1506" i="3"/>
  <c r="P1506" i="3"/>
  <c r="Q1506" i="3"/>
  <c r="R1506" i="3"/>
  <c r="K1507" i="3"/>
  <c r="L1507" i="3"/>
  <c r="M1507" i="3"/>
  <c r="N1507" i="3"/>
  <c r="O1507" i="3"/>
  <c r="P1507" i="3"/>
  <c r="Q1507" i="3"/>
  <c r="R1507" i="3"/>
  <c r="K1508" i="3"/>
  <c r="L1508" i="3"/>
  <c r="M1508" i="3"/>
  <c r="N1508" i="3"/>
  <c r="O1508" i="3"/>
  <c r="P1508" i="3"/>
  <c r="Q1508" i="3"/>
  <c r="R1508" i="3"/>
  <c r="K1509" i="3"/>
  <c r="L1509" i="3"/>
  <c r="M1509" i="3"/>
  <c r="N1509" i="3"/>
  <c r="O1509" i="3"/>
  <c r="P1509" i="3"/>
  <c r="Q1509" i="3"/>
  <c r="R1509" i="3"/>
  <c r="K1510" i="3"/>
  <c r="L1510" i="3"/>
  <c r="M1510" i="3"/>
  <c r="N1510" i="3"/>
  <c r="O1510" i="3"/>
  <c r="P1510" i="3"/>
  <c r="Q1510" i="3"/>
  <c r="R1510" i="3"/>
  <c r="K1511" i="3"/>
  <c r="L1511" i="3"/>
  <c r="M1511" i="3"/>
  <c r="N1511" i="3"/>
  <c r="O1511" i="3"/>
  <c r="P1511" i="3"/>
  <c r="Q1511" i="3"/>
  <c r="R1511" i="3"/>
  <c r="K1512" i="3"/>
  <c r="L1512" i="3"/>
  <c r="M1512" i="3"/>
  <c r="N1512" i="3"/>
  <c r="O1512" i="3"/>
  <c r="P1512" i="3"/>
  <c r="Q1512" i="3"/>
  <c r="R1512" i="3"/>
  <c r="K1513" i="3"/>
  <c r="L1513" i="3"/>
  <c r="M1513" i="3"/>
  <c r="N1513" i="3"/>
  <c r="O1513" i="3"/>
  <c r="P1513" i="3"/>
  <c r="Q1513" i="3"/>
  <c r="R1513" i="3"/>
  <c r="K1514" i="3"/>
  <c r="L1514" i="3"/>
  <c r="M1514" i="3"/>
  <c r="N1514" i="3"/>
  <c r="O1514" i="3"/>
  <c r="P1514" i="3"/>
  <c r="Q1514" i="3"/>
  <c r="R1514" i="3"/>
  <c r="K1515" i="3"/>
  <c r="L1515" i="3"/>
  <c r="M1515" i="3"/>
  <c r="N1515" i="3"/>
  <c r="O1515" i="3"/>
  <c r="P1515" i="3"/>
  <c r="Q1515" i="3"/>
  <c r="R1515" i="3"/>
  <c r="K1516" i="3"/>
  <c r="L1516" i="3"/>
  <c r="M1516" i="3"/>
  <c r="N1516" i="3"/>
  <c r="O1516" i="3"/>
  <c r="P1516" i="3"/>
  <c r="Q1516" i="3"/>
  <c r="R1516" i="3"/>
  <c r="K1517" i="3"/>
  <c r="L1517" i="3"/>
  <c r="M1517" i="3"/>
  <c r="N1517" i="3"/>
  <c r="O1517" i="3"/>
  <c r="P1517" i="3"/>
  <c r="Q1517" i="3"/>
  <c r="R1517" i="3"/>
  <c r="K1518" i="3"/>
  <c r="L1518" i="3"/>
  <c r="M1518" i="3"/>
  <c r="N1518" i="3"/>
  <c r="O1518" i="3"/>
  <c r="P1518" i="3"/>
  <c r="Q1518" i="3"/>
  <c r="R1518" i="3"/>
  <c r="K1519" i="3"/>
  <c r="L1519" i="3"/>
  <c r="M1519" i="3"/>
  <c r="N1519" i="3"/>
  <c r="O1519" i="3"/>
  <c r="P1519" i="3"/>
  <c r="Q1519" i="3"/>
  <c r="R1519" i="3"/>
  <c r="K1520" i="3"/>
  <c r="L1520" i="3"/>
  <c r="M1520" i="3"/>
  <c r="N1520" i="3"/>
  <c r="O1520" i="3"/>
  <c r="P1520" i="3"/>
  <c r="Q1520" i="3"/>
  <c r="R1520" i="3"/>
  <c r="K1521" i="3"/>
  <c r="L1521" i="3"/>
  <c r="M1521" i="3"/>
  <c r="N1521" i="3"/>
  <c r="O1521" i="3"/>
  <c r="P1521" i="3"/>
  <c r="Q1521" i="3"/>
  <c r="R1521" i="3"/>
  <c r="K1522" i="3"/>
  <c r="L1522" i="3"/>
  <c r="M1522" i="3"/>
  <c r="N1522" i="3"/>
  <c r="O1522" i="3"/>
  <c r="P1522" i="3"/>
  <c r="Q1522" i="3"/>
  <c r="R1522" i="3"/>
  <c r="K1523" i="3"/>
  <c r="L1523" i="3"/>
  <c r="M1523" i="3"/>
  <c r="N1523" i="3"/>
  <c r="O1523" i="3"/>
  <c r="P1523" i="3"/>
  <c r="Q1523" i="3"/>
  <c r="R1523" i="3"/>
  <c r="K1524" i="3"/>
  <c r="L1524" i="3"/>
  <c r="M1524" i="3"/>
  <c r="N1524" i="3"/>
  <c r="O1524" i="3"/>
  <c r="P1524" i="3"/>
  <c r="Q1524" i="3"/>
  <c r="R1524" i="3"/>
  <c r="K1525" i="3"/>
  <c r="L1525" i="3"/>
  <c r="M1525" i="3"/>
  <c r="N1525" i="3"/>
  <c r="O1525" i="3"/>
  <c r="P1525" i="3"/>
  <c r="Q1525" i="3"/>
  <c r="R1525" i="3"/>
  <c r="K1526" i="3"/>
  <c r="L1526" i="3"/>
  <c r="M1526" i="3"/>
  <c r="N1526" i="3"/>
  <c r="O1526" i="3"/>
  <c r="P1526" i="3"/>
  <c r="Q1526" i="3"/>
  <c r="R1526" i="3"/>
  <c r="K1527" i="3"/>
  <c r="L1527" i="3"/>
  <c r="M1527" i="3"/>
  <c r="N1527" i="3"/>
  <c r="O1527" i="3"/>
  <c r="P1527" i="3"/>
  <c r="Q1527" i="3"/>
  <c r="R1527" i="3"/>
  <c r="K1528" i="3"/>
  <c r="L1528" i="3"/>
  <c r="M1528" i="3"/>
  <c r="N1528" i="3"/>
  <c r="O1528" i="3"/>
  <c r="P1528" i="3"/>
  <c r="Q1528" i="3"/>
  <c r="R1528" i="3"/>
  <c r="K1529" i="3"/>
  <c r="L1529" i="3"/>
  <c r="M1529" i="3"/>
  <c r="N1529" i="3"/>
  <c r="O1529" i="3"/>
  <c r="P1529" i="3"/>
  <c r="Q1529" i="3"/>
  <c r="R1529" i="3"/>
  <c r="K1530" i="3"/>
  <c r="L1530" i="3"/>
  <c r="M1530" i="3"/>
  <c r="N1530" i="3"/>
  <c r="O1530" i="3"/>
  <c r="P1530" i="3"/>
  <c r="Q1530" i="3"/>
  <c r="R1530" i="3"/>
  <c r="K1531" i="3"/>
  <c r="L1531" i="3"/>
  <c r="M1531" i="3"/>
  <c r="N1531" i="3"/>
  <c r="O1531" i="3"/>
  <c r="P1531" i="3"/>
  <c r="Q1531" i="3"/>
  <c r="R1531" i="3"/>
  <c r="K1532" i="3"/>
  <c r="L1532" i="3"/>
  <c r="M1532" i="3"/>
  <c r="N1532" i="3"/>
  <c r="O1532" i="3"/>
  <c r="P1532" i="3"/>
  <c r="Q1532" i="3"/>
  <c r="R1532" i="3"/>
  <c r="K1533" i="3"/>
  <c r="L1533" i="3"/>
  <c r="M1533" i="3"/>
  <c r="N1533" i="3"/>
  <c r="O1533" i="3"/>
  <c r="P1533" i="3"/>
  <c r="Q1533" i="3"/>
  <c r="R1533" i="3"/>
  <c r="K1534" i="3"/>
  <c r="L1534" i="3"/>
  <c r="M1534" i="3"/>
  <c r="N1534" i="3"/>
  <c r="O1534" i="3"/>
  <c r="P1534" i="3"/>
  <c r="Q1534" i="3"/>
  <c r="R1534" i="3"/>
  <c r="K1535" i="3"/>
  <c r="L1535" i="3"/>
  <c r="M1535" i="3"/>
  <c r="N1535" i="3"/>
  <c r="O1535" i="3"/>
  <c r="P1535" i="3"/>
  <c r="Q1535" i="3"/>
  <c r="R1535" i="3"/>
  <c r="K1536" i="3"/>
  <c r="L1536" i="3"/>
  <c r="M1536" i="3"/>
  <c r="N1536" i="3"/>
  <c r="O1536" i="3"/>
  <c r="P1536" i="3"/>
  <c r="Q1536" i="3"/>
  <c r="R1536" i="3"/>
  <c r="K1537" i="3"/>
  <c r="L1537" i="3"/>
  <c r="M1537" i="3"/>
  <c r="N1537" i="3"/>
  <c r="O1537" i="3"/>
  <c r="P1537" i="3"/>
  <c r="Q1537" i="3"/>
  <c r="R1537" i="3"/>
  <c r="K1538" i="3"/>
  <c r="L1538" i="3"/>
  <c r="M1538" i="3"/>
  <c r="N1538" i="3"/>
  <c r="O1538" i="3"/>
  <c r="P1538" i="3"/>
  <c r="Q1538" i="3"/>
  <c r="R1538" i="3"/>
  <c r="K1539" i="3"/>
  <c r="L1539" i="3"/>
  <c r="M1539" i="3"/>
  <c r="N1539" i="3"/>
  <c r="O1539" i="3"/>
  <c r="P1539" i="3"/>
  <c r="Q1539" i="3"/>
  <c r="R1539" i="3"/>
  <c r="K1540" i="3"/>
  <c r="L1540" i="3"/>
  <c r="M1540" i="3"/>
  <c r="N1540" i="3"/>
  <c r="O1540" i="3"/>
  <c r="P1540" i="3"/>
  <c r="Q1540" i="3"/>
  <c r="R1540" i="3"/>
  <c r="K1541" i="3"/>
  <c r="L1541" i="3"/>
  <c r="M1541" i="3"/>
  <c r="N1541" i="3"/>
  <c r="O1541" i="3"/>
  <c r="P1541" i="3"/>
  <c r="Q1541" i="3"/>
  <c r="R1541" i="3"/>
  <c r="K1542" i="3"/>
  <c r="L1542" i="3"/>
  <c r="M1542" i="3"/>
  <c r="N1542" i="3"/>
  <c r="O1542" i="3"/>
  <c r="P1542" i="3"/>
  <c r="Q1542" i="3"/>
  <c r="R1542" i="3"/>
  <c r="K1543" i="3"/>
  <c r="L1543" i="3"/>
  <c r="M1543" i="3"/>
  <c r="N1543" i="3"/>
  <c r="O1543" i="3"/>
  <c r="P1543" i="3"/>
  <c r="Q1543" i="3"/>
  <c r="R1543" i="3"/>
  <c r="K1544" i="3"/>
  <c r="L1544" i="3"/>
  <c r="M1544" i="3"/>
  <c r="N1544" i="3"/>
  <c r="O1544" i="3"/>
  <c r="P1544" i="3"/>
  <c r="Q1544" i="3"/>
  <c r="R1544" i="3"/>
  <c r="K1545" i="3"/>
  <c r="L1545" i="3"/>
  <c r="M1545" i="3"/>
  <c r="N1545" i="3"/>
  <c r="O1545" i="3"/>
  <c r="P1545" i="3"/>
  <c r="Q1545" i="3"/>
  <c r="R1545" i="3"/>
  <c r="K1546" i="3"/>
  <c r="L1546" i="3"/>
  <c r="M1546" i="3"/>
  <c r="N1546" i="3"/>
  <c r="O1546" i="3"/>
  <c r="P1546" i="3"/>
  <c r="Q1546" i="3"/>
  <c r="R1546" i="3"/>
  <c r="K1547" i="3"/>
  <c r="L1547" i="3"/>
  <c r="M1547" i="3"/>
  <c r="N1547" i="3"/>
  <c r="O1547" i="3"/>
  <c r="P1547" i="3"/>
  <c r="Q1547" i="3"/>
  <c r="R1547" i="3"/>
  <c r="K1548" i="3"/>
  <c r="L1548" i="3"/>
  <c r="M1548" i="3"/>
  <c r="N1548" i="3"/>
  <c r="O1548" i="3"/>
  <c r="P1548" i="3"/>
  <c r="Q1548" i="3"/>
  <c r="R1548" i="3"/>
  <c r="K1549" i="3"/>
  <c r="L1549" i="3"/>
  <c r="M1549" i="3"/>
  <c r="N1549" i="3"/>
  <c r="O1549" i="3"/>
  <c r="P1549" i="3"/>
  <c r="Q1549" i="3"/>
  <c r="R1549" i="3"/>
  <c r="K1550" i="3"/>
  <c r="L1550" i="3"/>
  <c r="M1550" i="3"/>
  <c r="N1550" i="3"/>
  <c r="O1550" i="3"/>
  <c r="P1550" i="3"/>
  <c r="Q1550" i="3"/>
  <c r="R1550" i="3"/>
  <c r="K1551" i="3"/>
  <c r="L1551" i="3"/>
  <c r="M1551" i="3"/>
  <c r="N1551" i="3"/>
  <c r="O1551" i="3"/>
  <c r="P1551" i="3"/>
  <c r="Q1551" i="3"/>
  <c r="R1551" i="3"/>
  <c r="K1552" i="3"/>
  <c r="L1552" i="3"/>
  <c r="M1552" i="3"/>
  <c r="N1552" i="3"/>
  <c r="O1552" i="3"/>
  <c r="P1552" i="3"/>
  <c r="Q1552" i="3"/>
  <c r="R1552" i="3"/>
  <c r="K1553" i="3"/>
  <c r="L1553" i="3"/>
  <c r="M1553" i="3"/>
  <c r="N1553" i="3"/>
  <c r="O1553" i="3"/>
  <c r="P1553" i="3"/>
  <c r="Q1553" i="3"/>
  <c r="R1553" i="3"/>
  <c r="K1554" i="3"/>
  <c r="L1554" i="3"/>
  <c r="M1554" i="3"/>
  <c r="N1554" i="3"/>
  <c r="O1554" i="3"/>
  <c r="P1554" i="3"/>
  <c r="Q1554" i="3"/>
  <c r="R1554" i="3"/>
  <c r="K1555" i="3"/>
  <c r="L1555" i="3"/>
  <c r="M1555" i="3"/>
  <c r="N1555" i="3"/>
  <c r="O1555" i="3"/>
  <c r="P1555" i="3"/>
  <c r="Q1555" i="3"/>
  <c r="R1555" i="3"/>
  <c r="K1556" i="3"/>
  <c r="L1556" i="3"/>
  <c r="M1556" i="3"/>
  <c r="N1556" i="3"/>
  <c r="O1556" i="3"/>
  <c r="P1556" i="3"/>
  <c r="Q1556" i="3"/>
  <c r="R1556" i="3"/>
  <c r="K1557" i="3"/>
  <c r="L1557" i="3"/>
  <c r="M1557" i="3"/>
  <c r="N1557" i="3"/>
  <c r="O1557" i="3"/>
  <c r="P1557" i="3"/>
  <c r="Q1557" i="3"/>
  <c r="R1557" i="3"/>
  <c r="K1558" i="3"/>
  <c r="L1558" i="3"/>
  <c r="M1558" i="3"/>
  <c r="N1558" i="3"/>
  <c r="O1558" i="3"/>
  <c r="P1558" i="3"/>
  <c r="Q1558" i="3"/>
  <c r="R1558" i="3"/>
  <c r="K1559" i="3"/>
  <c r="L1559" i="3"/>
  <c r="M1559" i="3"/>
  <c r="N1559" i="3"/>
  <c r="O1559" i="3"/>
  <c r="P1559" i="3"/>
  <c r="Q1559" i="3"/>
  <c r="R1559" i="3"/>
  <c r="K1560" i="3"/>
  <c r="L1560" i="3"/>
  <c r="M1560" i="3"/>
  <c r="N1560" i="3"/>
  <c r="O1560" i="3"/>
  <c r="P1560" i="3"/>
  <c r="Q1560" i="3"/>
  <c r="R1560" i="3"/>
  <c r="K1561" i="3"/>
  <c r="L1561" i="3"/>
  <c r="M1561" i="3"/>
  <c r="N1561" i="3"/>
  <c r="O1561" i="3"/>
  <c r="P1561" i="3"/>
  <c r="Q1561" i="3"/>
  <c r="R1561" i="3"/>
  <c r="K1562" i="3"/>
  <c r="L1562" i="3"/>
  <c r="M1562" i="3"/>
  <c r="N1562" i="3"/>
  <c r="O1562" i="3"/>
  <c r="P1562" i="3"/>
  <c r="Q1562" i="3"/>
  <c r="R1562" i="3"/>
  <c r="K1563" i="3"/>
  <c r="L1563" i="3"/>
  <c r="M1563" i="3"/>
  <c r="N1563" i="3"/>
  <c r="O1563" i="3"/>
  <c r="P1563" i="3"/>
  <c r="Q1563" i="3"/>
  <c r="R1563" i="3"/>
  <c r="K1564" i="3"/>
  <c r="L1564" i="3"/>
  <c r="M1564" i="3"/>
  <c r="N1564" i="3"/>
  <c r="O1564" i="3"/>
  <c r="P1564" i="3"/>
  <c r="Q1564" i="3"/>
  <c r="R1564" i="3"/>
  <c r="K1565" i="3"/>
  <c r="L1565" i="3"/>
  <c r="M1565" i="3"/>
  <c r="N1565" i="3"/>
  <c r="O1565" i="3"/>
  <c r="P1565" i="3"/>
  <c r="Q1565" i="3"/>
  <c r="R1565" i="3"/>
  <c r="K1566" i="3"/>
  <c r="L1566" i="3"/>
  <c r="M1566" i="3"/>
  <c r="N1566" i="3"/>
  <c r="O1566" i="3"/>
  <c r="P1566" i="3"/>
  <c r="Q1566" i="3"/>
  <c r="R1566" i="3"/>
  <c r="K1567" i="3"/>
  <c r="L1567" i="3"/>
  <c r="M1567" i="3"/>
  <c r="N1567" i="3"/>
  <c r="O1567" i="3"/>
  <c r="P1567" i="3"/>
  <c r="Q1567" i="3"/>
  <c r="R1567" i="3"/>
  <c r="K1568" i="3"/>
  <c r="L1568" i="3"/>
  <c r="M1568" i="3"/>
  <c r="N1568" i="3"/>
  <c r="O1568" i="3"/>
  <c r="P1568" i="3"/>
  <c r="Q1568" i="3"/>
  <c r="R1568" i="3"/>
  <c r="K1569" i="3"/>
  <c r="L1569" i="3"/>
  <c r="M1569" i="3"/>
  <c r="N1569" i="3"/>
  <c r="O1569" i="3"/>
  <c r="P1569" i="3"/>
  <c r="Q1569" i="3"/>
  <c r="R1569" i="3"/>
  <c r="K1570" i="3"/>
  <c r="L1570" i="3"/>
  <c r="M1570" i="3"/>
  <c r="N1570" i="3"/>
  <c r="O1570" i="3"/>
  <c r="P1570" i="3"/>
  <c r="Q1570" i="3"/>
  <c r="R1570" i="3"/>
  <c r="K1571" i="3"/>
  <c r="L1571" i="3"/>
  <c r="M1571" i="3"/>
  <c r="N1571" i="3"/>
  <c r="O1571" i="3"/>
  <c r="P1571" i="3"/>
  <c r="Q1571" i="3"/>
  <c r="R1571" i="3"/>
  <c r="K1572" i="3"/>
  <c r="L1572" i="3"/>
  <c r="M1572" i="3"/>
  <c r="N1572" i="3"/>
  <c r="O1572" i="3"/>
  <c r="P1572" i="3"/>
  <c r="Q1572" i="3"/>
  <c r="R1572" i="3"/>
  <c r="K1573" i="3"/>
  <c r="L1573" i="3"/>
  <c r="M1573" i="3"/>
  <c r="N1573" i="3"/>
  <c r="O1573" i="3"/>
  <c r="P1573" i="3"/>
  <c r="Q1573" i="3"/>
  <c r="R1573" i="3"/>
  <c r="K1574" i="3"/>
  <c r="L1574" i="3"/>
  <c r="M1574" i="3"/>
  <c r="N1574" i="3"/>
  <c r="O1574" i="3"/>
  <c r="P1574" i="3"/>
  <c r="Q1574" i="3"/>
  <c r="R1574" i="3"/>
  <c r="K1575" i="3"/>
  <c r="L1575" i="3"/>
  <c r="M1575" i="3"/>
  <c r="N1575" i="3"/>
  <c r="O1575" i="3"/>
  <c r="P1575" i="3"/>
  <c r="Q1575" i="3"/>
  <c r="R1575" i="3"/>
  <c r="K1576" i="3"/>
  <c r="L1576" i="3"/>
  <c r="M1576" i="3"/>
  <c r="N1576" i="3"/>
  <c r="O1576" i="3"/>
  <c r="P1576" i="3"/>
  <c r="Q1576" i="3"/>
  <c r="R1576" i="3"/>
  <c r="K1577" i="3"/>
  <c r="L1577" i="3"/>
  <c r="M1577" i="3"/>
  <c r="N1577" i="3"/>
  <c r="O1577" i="3"/>
  <c r="P1577" i="3"/>
  <c r="Q1577" i="3"/>
  <c r="R1577" i="3"/>
  <c r="K1578" i="3"/>
  <c r="L1578" i="3"/>
  <c r="M1578" i="3"/>
  <c r="N1578" i="3"/>
  <c r="O1578" i="3"/>
  <c r="P1578" i="3"/>
  <c r="Q1578" i="3"/>
  <c r="R1578" i="3"/>
  <c r="K1579" i="3"/>
  <c r="L1579" i="3"/>
  <c r="M1579" i="3"/>
  <c r="N1579" i="3"/>
  <c r="O1579" i="3"/>
  <c r="P1579" i="3"/>
  <c r="Q1579" i="3"/>
  <c r="R1579" i="3"/>
  <c r="K1580" i="3"/>
  <c r="L1580" i="3"/>
  <c r="M1580" i="3"/>
  <c r="N1580" i="3"/>
  <c r="O1580" i="3"/>
  <c r="P1580" i="3"/>
  <c r="Q1580" i="3"/>
  <c r="R1580" i="3"/>
  <c r="K1581" i="3"/>
  <c r="L1581" i="3"/>
  <c r="M1581" i="3"/>
  <c r="N1581" i="3"/>
  <c r="O1581" i="3"/>
  <c r="P1581" i="3"/>
  <c r="Q1581" i="3"/>
  <c r="R1581" i="3"/>
  <c r="K1582" i="3"/>
  <c r="L1582" i="3"/>
  <c r="M1582" i="3"/>
  <c r="N1582" i="3"/>
  <c r="O1582" i="3"/>
  <c r="P1582" i="3"/>
  <c r="Q1582" i="3"/>
  <c r="R1582" i="3"/>
  <c r="K1583" i="3"/>
  <c r="L1583" i="3"/>
  <c r="M1583" i="3"/>
  <c r="N1583" i="3"/>
  <c r="O1583" i="3"/>
  <c r="P1583" i="3"/>
  <c r="Q1583" i="3"/>
  <c r="R1583" i="3"/>
  <c r="K1584" i="3"/>
  <c r="L1584" i="3"/>
  <c r="M1584" i="3"/>
  <c r="N1584" i="3"/>
  <c r="O1584" i="3"/>
  <c r="P1584" i="3"/>
  <c r="Q1584" i="3"/>
  <c r="R1584" i="3"/>
  <c r="K1585" i="3"/>
  <c r="L1585" i="3"/>
  <c r="M1585" i="3"/>
  <c r="N1585" i="3"/>
  <c r="O1585" i="3"/>
  <c r="P1585" i="3"/>
  <c r="Q1585" i="3"/>
  <c r="R1585" i="3"/>
  <c r="K1586" i="3"/>
  <c r="L1586" i="3"/>
  <c r="M1586" i="3"/>
  <c r="N1586" i="3"/>
  <c r="O1586" i="3"/>
  <c r="P1586" i="3"/>
  <c r="Q1586" i="3"/>
  <c r="R1586" i="3"/>
  <c r="K1587" i="3"/>
  <c r="L1587" i="3"/>
  <c r="M1587" i="3"/>
  <c r="N1587" i="3"/>
  <c r="O1587" i="3"/>
  <c r="P1587" i="3"/>
  <c r="Q1587" i="3"/>
  <c r="R1587" i="3"/>
  <c r="K1588" i="3"/>
  <c r="L1588" i="3"/>
  <c r="M1588" i="3"/>
  <c r="N1588" i="3"/>
  <c r="O1588" i="3"/>
  <c r="P1588" i="3"/>
  <c r="Q1588" i="3"/>
  <c r="R1588" i="3"/>
  <c r="K1589" i="3"/>
  <c r="L1589" i="3"/>
  <c r="M1589" i="3"/>
  <c r="N1589" i="3"/>
  <c r="O1589" i="3"/>
  <c r="P1589" i="3"/>
  <c r="Q1589" i="3"/>
  <c r="R1589" i="3"/>
  <c r="K1590" i="3"/>
  <c r="L1590" i="3"/>
  <c r="M1590" i="3"/>
  <c r="N1590" i="3"/>
  <c r="O1590" i="3"/>
  <c r="P1590" i="3"/>
  <c r="Q1590" i="3"/>
  <c r="R1590" i="3"/>
  <c r="K1591" i="3"/>
  <c r="L1591" i="3"/>
  <c r="M1591" i="3"/>
  <c r="N1591" i="3"/>
  <c r="O1591" i="3"/>
  <c r="P1591" i="3"/>
  <c r="Q1591" i="3"/>
  <c r="R1591" i="3"/>
  <c r="K1592" i="3"/>
  <c r="L1592" i="3"/>
  <c r="M1592" i="3"/>
  <c r="N1592" i="3"/>
  <c r="O1592" i="3"/>
  <c r="P1592" i="3"/>
  <c r="Q1592" i="3"/>
  <c r="R1592" i="3"/>
  <c r="K1593" i="3"/>
  <c r="L1593" i="3"/>
  <c r="M1593" i="3"/>
  <c r="N1593" i="3"/>
  <c r="O1593" i="3"/>
  <c r="P1593" i="3"/>
  <c r="Q1593" i="3"/>
  <c r="R1593" i="3"/>
  <c r="K1594" i="3"/>
  <c r="L1594" i="3"/>
  <c r="M1594" i="3"/>
  <c r="N1594" i="3"/>
  <c r="O1594" i="3"/>
  <c r="P1594" i="3"/>
  <c r="Q1594" i="3"/>
  <c r="R1594" i="3"/>
  <c r="K1595" i="3"/>
  <c r="L1595" i="3"/>
  <c r="M1595" i="3"/>
  <c r="N1595" i="3"/>
  <c r="O1595" i="3"/>
  <c r="P1595" i="3"/>
  <c r="Q1595" i="3"/>
  <c r="R1595" i="3"/>
  <c r="K1596" i="3"/>
  <c r="L1596" i="3"/>
  <c r="M1596" i="3"/>
  <c r="N1596" i="3"/>
  <c r="O1596" i="3"/>
  <c r="P1596" i="3"/>
  <c r="Q1596" i="3"/>
  <c r="R1596" i="3"/>
  <c r="K1597" i="3"/>
  <c r="L1597" i="3"/>
  <c r="M1597" i="3"/>
  <c r="N1597" i="3"/>
  <c r="O1597" i="3"/>
  <c r="P1597" i="3"/>
  <c r="Q1597" i="3"/>
  <c r="R1597" i="3"/>
  <c r="K1598" i="3"/>
  <c r="L1598" i="3"/>
  <c r="M1598" i="3"/>
  <c r="N1598" i="3"/>
  <c r="O1598" i="3"/>
  <c r="P1598" i="3"/>
  <c r="Q1598" i="3"/>
  <c r="R1598" i="3"/>
  <c r="K1599" i="3"/>
  <c r="L1599" i="3"/>
  <c r="M1599" i="3"/>
  <c r="N1599" i="3"/>
  <c r="O1599" i="3"/>
  <c r="P1599" i="3"/>
  <c r="Q1599" i="3"/>
  <c r="R1599" i="3"/>
  <c r="K1600" i="3"/>
  <c r="L1600" i="3"/>
  <c r="M1600" i="3"/>
  <c r="N1600" i="3"/>
  <c r="O1600" i="3"/>
  <c r="P1600" i="3"/>
  <c r="Q1600" i="3"/>
  <c r="R1600" i="3"/>
  <c r="K1601" i="3"/>
  <c r="L1601" i="3"/>
  <c r="M1601" i="3"/>
  <c r="N1601" i="3"/>
  <c r="O1601" i="3"/>
  <c r="P1601" i="3"/>
  <c r="Q1601" i="3"/>
  <c r="R1601" i="3"/>
  <c r="K1602" i="3"/>
  <c r="L1602" i="3"/>
  <c r="M1602" i="3"/>
  <c r="N1602" i="3"/>
  <c r="O1602" i="3"/>
  <c r="P1602" i="3"/>
  <c r="Q1602" i="3"/>
  <c r="R1602" i="3"/>
  <c r="K1603" i="3"/>
  <c r="L1603" i="3"/>
  <c r="M1603" i="3"/>
  <c r="N1603" i="3"/>
  <c r="O1603" i="3"/>
  <c r="P1603" i="3"/>
  <c r="Q1603" i="3"/>
  <c r="R1603" i="3"/>
  <c r="K1604" i="3"/>
  <c r="L1604" i="3"/>
  <c r="M1604" i="3"/>
  <c r="N1604" i="3"/>
  <c r="O1604" i="3"/>
  <c r="P1604" i="3"/>
  <c r="Q1604" i="3"/>
  <c r="R1604" i="3"/>
  <c r="K1605" i="3"/>
  <c r="L1605" i="3"/>
  <c r="M1605" i="3"/>
  <c r="N1605" i="3"/>
  <c r="O1605" i="3"/>
  <c r="P1605" i="3"/>
  <c r="Q1605" i="3"/>
  <c r="R1605" i="3"/>
  <c r="K1606" i="3"/>
  <c r="L1606" i="3"/>
  <c r="M1606" i="3"/>
  <c r="N1606" i="3"/>
  <c r="O1606" i="3"/>
  <c r="P1606" i="3"/>
  <c r="Q1606" i="3"/>
  <c r="R1606" i="3"/>
  <c r="K1607" i="3"/>
  <c r="L1607" i="3"/>
  <c r="M1607" i="3"/>
  <c r="N1607" i="3"/>
  <c r="O1607" i="3"/>
  <c r="P1607" i="3"/>
  <c r="Q1607" i="3"/>
  <c r="R1607" i="3"/>
  <c r="K1608" i="3"/>
  <c r="L1608" i="3"/>
  <c r="M1608" i="3"/>
  <c r="N1608" i="3"/>
  <c r="O1608" i="3"/>
  <c r="P1608" i="3"/>
  <c r="Q1608" i="3"/>
  <c r="R1608" i="3"/>
  <c r="K1609" i="3"/>
  <c r="L1609" i="3"/>
  <c r="M1609" i="3"/>
  <c r="N1609" i="3"/>
  <c r="O1609" i="3"/>
  <c r="P1609" i="3"/>
  <c r="Q1609" i="3"/>
  <c r="R1609" i="3"/>
  <c r="K1610" i="3"/>
  <c r="L1610" i="3"/>
  <c r="M1610" i="3"/>
  <c r="N1610" i="3"/>
  <c r="O1610" i="3"/>
  <c r="P1610" i="3"/>
  <c r="Q1610" i="3"/>
  <c r="R1610" i="3"/>
  <c r="K1611" i="3"/>
  <c r="L1611" i="3"/>
  <c r="M1611" i="3"/>
  <c r="N1611" i="3"/>
  <c r="O1611" i="3"/>
  <c r="P1611" i="3"/>
  <c r="Q1611" i="3"/>
  <c r="R1611" i="3"/>
  <c r="K1612" i="3"/>
  <c r="L1612" i="3"/>
  <c r="M1612" i="3"/>
  <c r="N1612" i="3"/>
  <c r="O1612" i="3"/>
  <c r="P1612" i="3"/>
  <c r="Q1612" i="3"/>
  <c r="R1612" i="3"/>
  <c r="K1613" i="3"/>
  <c r="L1613" i="3"/>
  <c r="M1613" i="3"/>
  <c r="N1613" i="3"/>
  <c r="O1613" i="3"/>
  <c r="P1613" i="3"/>
  <c r="Q1613" i="3"/>
  <c r="R1613" i="3"/>
  <c r="K1614" i="3"/>
  <c r="L1614" i="3"/>
  <c r="M1614" i="3"/>
  <c r="N1614" i="3"/>
  <c r="O1614" i="3"/>
  <c r="P1614" i="3"/>
  <c r="Q1614" i="3"/>
  <c r="R1614" i="3"/>
  <c r="K1615" i="3"/>
  <c r="L1615" i="3"/>
  <c r="M1615" i="3"/>
  <c r="N1615" i="3"/>
  <c r="O1615" i="3"/>
  <c r="P1615" i="3"/>
  <c r="Q1615" i="3"/>
  <c r="R1615" i="3"/>
  <c r="K1616" i="3"/>
  <c r="L1616" i="3"/>
  <c r="M1616" i="3"/>
  <c r="N1616" i="3"/>
  <c r="O1616" i="3"/>
  <c r="P1616" i="3"/>
  <c r="Q1616" i="3"/>
  <c r="R1616" i="3"/>
  <c r="K1617" i="3"/>
  <c r="L1617" i="3"/>
  <c r="M1617" i="3"/>
  <c r="N1617" i="3"/>
  <c r="O1617" i="3"/>
  <c r="P1617" i="3"/>
  <c r="Q1617" i="3"/>
  <c r="R1617" i="3"/>
  <c r="K1618" i="3"/>
  <c r="L1618" i="3"/>
  <c r="M1618" i="3"/>
  <c r="N1618" i="3"/>
  <c r="O1618" i="3"/>
  <c r="P1618" i="3"/>
  <c r="Q1618" i="3"/>
  <c r="R1618" i="3"/>
  <c r="K1619" i="3"/>
  <c r="L1619" i="3"/>
  <c r="M1619" i="3"/>
  <c r="N1619" i="3"/>
  <c r="O1619" i="3"/>
  <c r="P1619" i="3"/>
  <c r="Q1619" i="3"/>
  <c r="R1619" i="3"/>
  <c r="K1620" i="3"/>
  <c r="L1620" i="3"/>
  <c r="M1620" i="3"/>
  <c r="N1620" i="3"/>
  <c r="O1620" i="3"/>
  <c r="P1620" i="3"/>
  <c r="Q1620" i="3"/>
  <c r="R1620" i="3"/>
  <c r="K1621" i="3"/>
  <c r="L1621" i="3"/>
  <c r="M1621" i="3"/>
  <c r="N1621" i="3"/>
  <c r="O1621" i="3"/>
  <c r="P1621" i="3"/>
  <c r="Q1621" i="3"/>
  <c r="R1621" i="3"/>
  <c r="K1622" i="3"/>
  <c r="L1622" i="3"/>
  <c r="M1622" i="3"/>
  <c r="N1622" i="3"/>
  <c r="O1622" i="3"/>
  <c r="P1622" i="3"/>
  <c r="Q1622" i="3"/>
  <c r="R1622" i="3"/>
  <c r="K1623" i="3"/>
  <c r="L1623" i="3"/>
  <c r="M1623" i="3"/>
  <c r="N1623" i="3"/>
  <c r="O1623" i="3"/>
  <c r="P1623" i="3"/>
  <c r="Q1623" i="3"/>
  <c r="R1623" i="3"/>
  <c r="K1624" i="3"/>
  <c r="L1624" i="3"/>
  <c r="M1624" i="3"/>
  <c r="N1624" i="3"/>
  <c r="O1624" i="3"/>
  <c r="P1624" i="3"/>
  <c r="Q1624" i="3"/>
  <c r="R1624" i="3"/>
  <c r="K1625" i="3"/>
  <c r="L1625" i="3"/>
  <c r="M1625" i="3"/>
  <c r="N1625" i="3"/>
  <c r="O1625" i="3"/>
  <c r="P1625" i="3"/>
  <c r="Q1625" i="3"/>
  <c r="R1625" i="3"/>
  <c r="K1626" i="3"/>
  <c r="L1626" i="3"/>
  <c r="M1626" i="3"/>
  <c r="N1626" i="3"/>
  <c r="O1626" i="3"/>
  <c r="P1626" i="3"/>
  <c r="Q1626" i="3"/>
  <c r="R1626" i="3"/>
  <c r="K1627" i="3"/>
  <c r="L1627" i="3"/>
  <c r="M1627" i="3"/>
  <c r="N1627" i="3"/>
  <c r="O1627" i="3"/>
  <c r="P1627" i="3"/>
  <c r="Q1627" i="3"/>
  <c r="R1627" i="3"/>
  <c r="K1628" i="3"/>
  <c r="L1628" i="3"/>
  <c r="M1628" i="3"/>
  <c r="N1628" i="3"/>
  <c r="O1628" i="3"/>
  <c r="P1628" i="3"/>
  <c r="Q1628" i="3"/>
  <c r="R1628" i="3"/>
  <c r="K1629" i="3"/>
  <c r="L1629" i="3"/>
  <c r="M1629" i="3"/>
  <c r="N1629" i="3"/>
  <c r="O1629" i="3"/>
  <c r="P1629" i="3"/>
  <c r="Q1629" i="3"/>
  <c r="R1629" i="3"/>
  <c r="K1630" i="3"/>
  <c r="L1630" i="3"/>
  <c r="M1630" i="3"/>
  <c r="N1630" i="3"/>
  <c r="O1630" i="3"/>
  <c r="P1630" i="3"/>
  <c r="Q1630" i="3"/>
  <c r="R1630" i="3"/>
  <c r="K1631" i="3"/>
  <c r="L1631" i="3"/>
  <c r="M1631" i="3"/>
  <c r="N1631" i="3"/>
  <c r="O1631" i="3"/>
  <c r="P1631" i="3"/>
  <c r="Q1631" i="3"/>
  <c r="R1631" i="3"/>
  <c r="K1632" i="3"/>
  <c r="L1632" i="3"/>
  <c r="M1632" i="3"/>
  <c r="N1632" i="3"/>
  <c r="O1632" i="3"/>
  <c r="P1632" i="3"/>
  <c r="Q1632" i="3"/>
  <c r="R1632" i="3"/>
  <c r="K1633" i="3"/>
  <c r="L1633" i="3"/>
  <c r="M1633" i="3"/>
  <c r="N1633" i="3"/>
  <c r="O1633" i="3"/>
  <c r="P1633" i="3"/>
  <c r="Q1633" i="3"/>
  <c r="R1633" i="3"/>
  <c r="K1634" i="3"/>
  <c r="L1634" i="3"/>
  <c r="M1634" i="3"/>
  <c r="N1634" i="3"/>
  <c r="O1634" i="3"/>
  <c r="P1634" i="3"/>
  <c r="Q1634" i="3"/>
  <c r="R1634" i="3"/>
  <c r="K1635" i="3"/>
  <c r="L1635" i="3"/>
  <c r="M1635" i="3"/>
  <c r="N1635" i="3"/>
  <c r="O1635" i="3"/>
  <c r="P1635" i="3"/>
  <c r="Q1635" i="3"/>
  <c r="R1635" i="3"/>
  <c r="K1636" i="3"/>
  <c r="L1636" i="3"/>
  <c r="M1636" i="3"/>
  <c r="N1636" i="3"/>
  <c r="O1636" i="3"/>
  <c r="P1636" i="3"/>
  <c r="Q1636" i="3"/>
  <c r="R1636" i="3"/>
  <c r="K1637" i="3"/>
  <c r="L1637" i="3"/>
  <c r="M1637" i="3"/>
  <c r="N1637" i="3"/>
  <c r="O1637" i="3"/>
  <c r="P1637" i="3"/>
  <c r="Q1637" i="3"/>
  <c r="R1637" i="3"/>
  <c r="K1638" i="3"/>
  <c r="L1638" i="3"/>
  <c r="M1638" i="3"/>
  <c r="N1638" i="3"/>
  <c r="O1638" i="3"/>
  <c r="P1638" i="3"/>
  <c r="Q1638" i="3"/>
  <c r="R1638" i="3"/>
  <c r="K1639" i="3"/>
  <c r="L1639" i="3"/>
  <c r="M1639" i="3"/>
  <c r="N1639" i="3"/>
  <c r="O1639" i="3"/>
  <c r="P1639" i="3"/>
  <c r="Q1639" i="3"/>
  <c r="R1639" i="3"/>
  <c r="K1640" i="3"/>
  <c r="L1640" i="3"/>
  <c r="M1640" i="3"/>
  <c r="N1640" i="3"/>
  <c r="O1640" i="3"/>
  <c r="P1640" i="3"/>
  <c r="Q1640" i="3"/>
  <c r="R1640" i="3"/>
  <c r="K1641" i="3"/>
  <c r="L1641" i="3"/>
  <c r="M1641" i="3"/>
  <c r="N1641" i="3"/>
  <c r="O1641" i="3"/>
  <c r="P1641" i="3"/>
  <c r="Q1641" i="3"/>
  <c r="R1641" i="3"/>
  <c r="K1642" i="3"/>
  <c r="L1642" i="3"/>
  <c r="M1642" i="3"/>
  <c r="N1642" i="3"/>
  <c r="O1642" i="3"/>
  <c r="P1642" i="3"/>
  <c r="Q1642" i="3"/>
  <c r="R1642" i="3"/>
  <c r="K1643" i="3"/>
  <c r="L1643" i="3"/>
  <c r="M1643" i="3"/>
  <c r="N1643" i="3"/>
  <c r="O1643" i="3"/>
  <c r="P1643" i="3"/>
  <c r="Q1643" i="3"/>
  <c r="R1643" i="3"/>
  <c r="K1644" i="3"/>
  <c r="L1644" i="3"/>
  <c r="M1644" i="3"/>
  <c r="N1644" i="3"/>
  <c r="O1644" i="3"/>
  <c r="P1644" i="3"/>
  <c r="Q1644" i="3"/>
  <c r="R1644" i="3"/>
  <c r="K1645" i="3"/>
  <c r="L1645" i="3"/>
  <c r="M1645" i="3"/>
  <c r="N1645" i="3"/>
  <c r="O1645" i="3"/>
  <c r="P1645" i="3"/>
  <c r="Q1645" i="3"/>
  <c r="R1645" i="3"/>
  <c r="K1646" i="3"/>
  <c r="L1646" i="3"/>
  <c r="M1646" i="3"/>
  <c r="N1646" i="3"/>
  <c r="O1646" i="3"/>
  <c r="P1646" i="3"/>
  <c r="Q1646" i="3"/>
  <c r="R1646" i="3"/>
  <c r="K1647" i="3"/>
  <c r="L1647" i="3"/>
  <c r="M1647" i="3"/>
  <c r="N1647" i="3"/>
  <c r="O1647" i="3"/>
  <c r="P1647" i="3"/>
  <c r="Q1647" i="3"/>
  <c r="R1647" i="3"/>
  <c r="K1648" i="3"/>
  <c r="L1648" i="3"/>
  <c r="M1648" i="3"/>
  <c r="N1648" i="3"/>
  <c r="O1648" i="3"/>
  <c r="P1648" i="3"/>
  <c r="Q1648" i="3"/>
  <c r="R1648" i="3"/>
  <c r="K1649" i="3"/>
  <c r="L1649" i="3"/>
  <c r="M1649" i="3"/>
  <c r="N1649" i="3"/>
  <c r="O1649" i="3"/>
  <c r="P1649" i="3"/>
  <c r="Q1649" i="3"/>
  <c r="R1649" i="3"/>
  <c r="K1650" i="3"/>
  <c r="L1650" i="3"/>
  <c r="M1650" i="3"/>
  <c r="N1650" i="3"/>
  <c r="O1650" i="3"/>
  <c r="P1650" i="3"/>
  <c r="Q1650" i="3"/>
  <c r="R1650" i="3"/>
  <c r="K1651" i="3"/>
  <c r="L1651" i="3"/>
  <c r="M1651" i="3"/>
  <c r="N1651" i="3"/>
  <c r="O1651" i="3"/>
  <c r="P1651" i="3"/>
  <c r="Q1651" i="3"/>
  <c r="R1651" i="3"/>
  <c r="K1652" i="3"/>
  <c r="L1652" i="3"/>
  <c r="M1652" i="3"/>
  <c r="N1652" i="3"/>
  <c r="O1652" i="3"/>
  <c r="P1652" i="3"/>
  <c r="Q1652" i="3"/>
  <c r="R1652" i="3"/>
  <c r="K1653" i="3"/>
  <c r="L1653" i="3"/>
  <c r="M1653" i="3"/>
  <c r="N1653" i="3"/>
  <c r="O1653" i="3"/>
  <c r="P1653" i="3"/>
  <c r="Q1653" i="3"/>
  <c r="R1653" i="3"/>
  <c r="K1654" i="3"/>
  <c r="L1654" i="3"/>
  <c r="M1654" i="3"/>
  <c r="N1654" i="3"/>
  <c r="O1654" i="3"/>
  <c r="P1654" i="3"/>
  <c r="Q1654" i="3"/>
  <c r="R1654" i="3"/>
  <c r="K1655" i="3"/>
  <c r="L1655" i="3"/>
  <c r="M1655" i="3"/>
  <c r="N1655" i="3"/>
  <c r="O1655" i="3"/>
  <c r="P1655" i="3"/>
  <c r="Q1655" i="3"/>
  <c r="R1655" i="3"/>
  <c r="K1656" i="3"/>
  <c r="L1656" i="3"/>
  <c r="M1656" i="3"/>
  <c r="N1656" i="3"/>
  <c r="O1656" i="3"/>
  <c r="P1656" i="3"/>
  <c r="Q1656" i="3"/>
  <c r="R1656" i="3"/>
  <c r="K1657" i="3"/>
  <c r="L1657" i="3"/>
  <c r="M1657" i="3"/>
  <c r="N1657" i="3"/>
  <c r="O1657" i="3"/>
  <c r="P1657" i="3"/>
  <c r="Q1657" i="3"/>
  <c r="R1657" i="3"/>
  <c r="K1658" i="3"/>
  <c r="L1658" i="3"/>
  <c r="M1658" i="3"/>
  <c r="N1658" i="3"/>
  <c r="O1658" i="3"/>
  <c r="P1658" i="3"/>
  <c r="Q1658" i="3"/>
  <c r="R1658" i="3"/>
  <c r="K1659" i="3"/>
  <c r="L1659" i="3"/>
  <c r="M1659" i="3"/>
  <c r="N1659" i="3"/>
  <c r="O1659" i="3"/>
  <c r="P1659" i="3"/>
  <c r="Q1659" i="3"/>
  <c r="R1659" i="3"/>
  <c r="K1660" i="3"/>
  <c r="L1660" i="3"/>
  <c r="M1660" i="3"/>
  <c r="N1660" i="3"/>
  <c r="O1660" i="3"/>
  <c r="P1660" i="3"/>
  <c r="Q1660" i="3"/>
  <c r="R1660" i="3"/>
  <c r="K1661" i="3"/>
  <c r="L1661" i="3"/>
  <c r="M1661" i="3"/>
  <c r="N1661" i="3"/>
  <c r="O1661" i="3"/>
  <c r="P1661" i="3"/>
  <c r="Q1661" i="3"/>
  <c r="R1661" i="3"/>
  <c r="K1662" i="3"/>
  <c r="L1662" i="3"/>
  <c r="M1662" i="3"/>
  <c r="N1662" i="3"/>
  <c r="O1662" i="3"/>
  <c r="P1662" i="3"/>
  <c r="Q1662" i="3"/>
  <c r="R1662" i="3"/>
  <c r="K1663" i="3"/>
  <c r="L1663" i="3"/>
  <c r="M1663" i="3"/>
  <c r="N1663" i="3"/>
  <c r="O1663" i="3"/>
  <c r="P1663" i="3"/>
  <c r="Q1663" i="3"/>
  <c r="R1663" i="3"/>
  <c r="K1664" i="3"/>
  <c r="L1664" i="3"/>
  <c r="M1664" i="3"/>
  <c r="N1664" i="3"/>
  <c r="O1664" i="3"/>
  <c r="P1664" i="3"/>
  <c r="Q1664" i="3"/>
  <c r="R1664" i="3"/>
  <c r="K1665" i="3"/>
  <c r="L1665" i="3"/>
  <c r="M1665" i="3"/>
  <c r="N1665" i="3"/>
  <c r="O1665" i="3"/>
  <c r="P1665" i="3"/>
  <c r="Q1665" i="3"/>
  <c r="R1665" i="3"/>
  <c r="K1666" i="3"/>
  <c r="L1666" i="3"/>
  <c r="M1666" i="3"/>
  <c r="N1666" i="3"/>
  <c r="O1666" i="3"/>
  <c r="P1666" i="3"/>
  <c r="Q1666" i="3"/>
  <c r="R1666" i="3"/>
  <c r="K1667" i="3"/>
  <c r="L1667" i="3"/>
  <c r="M1667" i="3"/>
  <c r="N1667" i="3"/>
  <c r="O1667" i="3"/>
  <c r="P1667" i="3"/>
  <c r="Q1667" i="3"/>
  <c r="R1667" i="3"/>
  <c r="K1668" i="3"/>
  <c r="L1668" i="3"/>
  <c r="M1668" i="3"/>
  <c r="N1668" i="3"/>
  <c r="O1668" i="3"/>
  <c r="P1668" i="3"/>
  <c r="Q1668" i="3"/>
  <c r="R1668" i="3"/>
  <c r="K1669" i="3"/>
  <c r="L1669" i="3"/>
  <c r="M1669" i="3"/>
  <c r="N1669" i="3"/>
  <c r="O1669" i="3"/>
  <c r="P1669" i="3"/>
  <c r="Q1669" i="3"/>
  <c r="R1669" i="3"/>
  <c r="K1670" i="3"/>
  <c r="L1670" i="3"/>
  <c r="M1670" i="3"/>
  <c r="N1670" i="3"/>
  <c r="O1670" i="3"/>
  <c r="P1670" i="3"/>
  <c r="Q1670" i="3"/>
  <c r="R1670" i="3"/>
  <c r="K1671" i="3"/>
  <c r="L1671" i="3"/>
  <c r="M1671" i="3"/>
  <c r="N1671" i="3"/>
  <c r="O1671" i="3"/>
  <c r="P1671" i="3"/>
  <c r="Q1671" i="3"/>
  <c r="R1671" i="3"/>
  <c r="K1672" i="3"/>
  <c r="L1672" i="3"/>
  <c r="M1672" i="3"/>
  <c r="N1672" i="3"/>
  <c r="O1672" i="3"/>
  <c r="P1672" i="3"/>
  <c r="Q1672" i="3"/>
  <c r="R1672" i="3"/>
  <c r="K1673" i="3"/>
  <c r="L1673" i="3"/>
  <c r="M1673" i="3"/>
  <c r="N1673" i="3"/>
  <c r="O1673" i="3"/>
  <c r="P1673" i="3"/>
  <c r="Q1673" i="3"/>
  <c r="R1673" i="3"/>
  <c r="K1674" i="3"/>
  <c r="L1674" i="3"/>
  <c r="M1674" i="3"/>
  <c r="N1674" i="3"/>
  <c r="O1674" i="3"/>
  <c r="P1674" i="3"/>
  <c r="Q1674" i="3"/>
  <c r="R1674" i="3"/>
  <c r="K1675" i="3"/>
  <c r="L1675" i="3"/>
  <c r="M1675" i="3"/>
  <c r="N1675" i="3"/>
  <c r="O1675" i="3"/>
  <c r="P1675" i="3"/>
  <c r="Q1675" i="3"/>
  <c r="R1675" i="3"/>
  <c r="K1676" i="3"/>
  <c r="L1676" i="3"/>
  <c r="M1676" i="3"/>
  <c r="N1676" i="3"/>
  <c r="O1676" i="3"/>
  <c r="P1676" i="3"/>
  <c r="Q1676" i="3"/>
  <c r="R1676" i="3"/>
  <c r="K1677" i="3"/>
  <c r="L1677" i="3"/>
  <c r="M1677" i="3"/>
  <c r="N1677" i="3"/>
  <c r="O1677" i="3"/>
  <c r="P1677" i="3"/>
  <c r="Q1677" i="3"/>
  <c r="R1677" i="3"/>
  <c r="K1678" i="3"/>
  <c r="L1678" i="3"/>
  <c r="M1678" i="3"/>
  <c r="N1678" i="3"/>
  <c r="O1678" i="3"/>
  <c r="P1678" i="3"/>
  <c r="Q1678" i="3"/>
  <c r="R1678" i="3"/>
  <c r="K1679" i="3"/>
  <c r="L1679" i="3"/>
  <c r="M1679" i="3"/>
  <c r="N1679" i="3"/>
  <c r="O1679" i="3"/>
  <c r="P1679" i="3"/>
  <c r="Q1679" i="3"/>
  <c r="R1679" i="3"/>
  <c r="K1680" i="3"/>
  <c r="L1680" i="3"/>
  <c r="M1680" i="3"/>
  <c r="N1680" i="3"/>
  <c r="O1680" i="3"/>
  <c r="P1680" i="3"/>
  <c r="Q1680" i="3"/>
  <c r="R1680" i="3"/>
  <c r="K1681" i="3"/>
  <c r="L1681" i="3"/>
  <c r="M1681" i="3"/>
  <c r="N1681" i="3"/>
  <c r="O1681" i="3"/>
  <c r="P1681" i="3"/>
  <c r="Q1681" i="3"/>
  <c r="R1681" i="3"/>
  <c r="K1682" i="3"/>
  <c r="L1682" i="3"/>
  <c r="M1682" i="3"/>
  <c r="N1682" i="3"/>
  <c r="O1682" i="3"/>
  <c r="P1682" i="3"/>
  <c r="Q1682" i="3"/>
  <c r="R1682" i="3"/>
  <c r="K1683" i="3"/>
  <c r="L1683" i="3"/>
  <c r="M1683" i="3"/>
  <c r="N1683" i="3"/>
  <c r="O1683" i="3"/>
  <c r="P1683" i="3"/>
  <c r="Q1683" i="3"/>
  <c r="R1683" i="3"/>
  <c r="K1684" i="3"/>
  <c r="L1684" i="3"/>
  <c r="M1684" i="3"/>
  <c r="N1684" i="3"/>
  <c r="O1684" i="3"/>
  <c r="P1684" i="3"/>
  <c r="Q1684" i="3"/>
  <c r="R1684" i="3"/>
  <c r="K1685" i="3"/>
  <c r="L1685" i="3"/>
  <c r="M1685" i="3"/>
  <c r="N1685" i="3"/>
  <c r="O1685" i="3"/>
  <c r="P1685" i="3"/>
  <c r="Q1685" i="3"/>
  <c r="R1685" i="3"/>
  <c r="K1686" i="3"/>
  <c r="L1686" i="3"/>
  <c r="M1686" i="3"/>
  <c r="N1686" i="3"/>
  <c r="O1686" i="3"/>
  <c r="P1686" i="3"/>
  <c r="Q1686" i="3"/>
  <c r="R1686" i="3"/>
  <c r="K1687" i="3"/>
  <c r="L1687" i="3"/>
  <c r="M1687" i="3"/>
  <c r="N1687" i="3"/>
  <c r="O1687" i="3"/>
  <c r="P1687" i="3"/>
  <c r="Q1687" i="3"/>
  <c r="R1687" i="3"/>
  <c r="K1688" i="3"/>
  <c r="L1688" i="3"/>
  <c r="M1688" i="3"/>
  <c r="N1688" i="3"/>
  <c r="O1688" i="3"/>
  <c r="P1688" i="3"/>
  <c r="Q1688" i="3"/>
  <c r="R1688" i="3"/>
  <c r="K1689" i="3"/>
  <c r="L1689" i="3"/>
  <c r="M1689" i="3"/>
  <c r="N1689" i="3"/>
  <c r="O1689" i="3"/>
  <c r="P1689" i="3"/>
  <c r="Q1689" i="3"/>
  <c r="R1689" i="3"/>
  <c r="K1690" i="3"/>
  <c r="L1690" i="3"/>
  <c r="M1690" i="3"/>
  <c r="N1690" i="3"/>
  <c r="O1690" i="3"/>
  <c r="P1690" i="3"/>
  <c r="Q1690" i="3"/>
  <c r="R1690" i="3"/>
  <c r="K1691" i="3"/>
  <c r="L1691" i="3"/>
  <c r="M1691" i="3"/>
  <c r="N1691" i="3"/>
  <c r="O1691" i="3"/>
  <c r="P1691" i="3"/>
  <c r="Q1691" i="3"/>
  <c r="R1691" i="3"/>
  <c r="K1692" i="3"/>
  <c r="L1692" i="3"/>
  <c r="M1692" i="3"/>
  <c r="N1692" i="3"/>
  <c r="O1692" i="3"/>
  <c r="P1692" i="3"/>
  <c r="Q1692" i="3"/>
  <c r="R1692" i="3"/>
  <c r="K1693" i="3"/>
  <c r="L1693" i="3"/>
  <c r="M1693" i="3"/>
  <c r="N1693" i="3"/>
  <c r="O1693" i="3"/>
  <c r="P1693" i="3"/>
  <c r="Q1693" i="3"/>
  <c r="R1693" i="3"/>
  <c r="K1694" i="3"/>
  <c r="L1694" i="3"/>
  <c r="M1694" i="3"/>
  <c r="N1694" i="3"/>
  <c r="O1694" i="3"/>
  <c r="P1694" i="3"/>
  <c r="Q1694" i="3"/>
  <c r="R1694" i="3"/>
  <c r="K1695" i="3"/>
  <c r="L1695" i="3"/>
  <c r="M1695" i="3"/>
  <c r="N1695" i="3"/>
  <c r="O1695" i="3"/>
  <c r="P1695" i="3"/>
  <c r="Q1695" i="3"/>
  <c r="R1695" i="3"/>
  <c r="K1696" i="3"/>
  <c r="L1696" i="3"/>
  <c r="M1696" i="3"/>
  <c r="N1696" i="3"/>
  <c r="O1696" i="3"/>
  <c r="P1696" i="3"/>
  <c r="Q1696" i="3"/>
  <c r="R1696" i="3"/>
  <c r="K1697" i="3"/>
  <c r="L1697" i="3"/>
  <c r="M1697" i="3"/>
  <c r="N1697" i="3"/>
  <c r="O1697" i="3"/>
  <c r="P1697" i="3"/>
  <c r="Q1697" i="3"/>
  <c r="R1697" i="3"/>
  <c r="K1698" i="3"/>
  <c r="L1698" i="3"/>
  <c r="M1698" i="3"/>
  <c r="N1698" i="3"/>
  <c r="O1698" i="3"/>
  <c r="P1698" i="3"/>
  <c r="Q1698" i="3"/>
  <c r="R1698" i="3"/>
  <c r="K1699" i="3"/>
  <c r="L1699" i="3"/>
  <c r="M1699" i="3"/>
  <c r="N1699" i="3"/>
  <c r="O1699" i="3"/>
  <c r="P1699" i="3"/>
  <c r="Q1699" i="3"/>
  <c r="R1699" i="3"/>
  <c r="K1700" i="3"/>
  <c r="L1700" i="3"/>
  <c r="M1700" i="3"/>
  <c r="N1700" i="3"/>
  <c r="O1700" i="3"/>
  <c r="P1700" i="3"/>
  <c r="Q1700" i="3"/>
  <c r="R1700" i="3"/>
  <c r="K1701" i="3"/>
  <c r="L1701" i="3"/>
  <c r="M1701" i="3"/>
  <c r="N1701" i="3"/>
  <c r="O1701" i="3"/>
  <c r="P1701" i="3"/>
  <c r="Q1701" i="3"/>
  <c r="R1701" i="3"/>
  <c r="K1702" i="3"/>
  <c r="L1702" i="3"/>
  <c r="M1702" i="3"/>
  <c r="N1702" i="3"/>
  <c r="O1702" i="3"/>
  <c r="P1702" i="3"/>
  <c r="Q1702" i="3"/>
  <c r="R1702" i="3"/>
  <c r="K1703" i="3"/>
  <c r="L1703" i="3"/>
  <c r="M1703" i="3"/>
  <c r="N1703" i="3"/>
  <c r="O1703" i="3"/>
  <c r="P1703" i="3"/>
  <c r="Q1703" i="3"/>
  <c r="R1703" i="3"/>
  <c r="K1704" i="3"/>
  <c r="L1704" i="3"/>
  <c r="M1704" i="3"/>
  <c r="N1704" i="3"/>
  <c r="O1704" i="3"/>
  <c r="P1704" i="3"/>
  <c r="Q1704" i="3"/>
  <c r="R1704" i="3"/>
  <c r="K1705" i="3"/>
  <c r="L1705" i="3"/>
  <c r="M1705" i="3"/>
  <c r="N1705" i="3"/>
  <c r="O1705" i="3"/>
  <c r="P1705" i="3"/>
  <c r="Q1705" i="3"/>
  <c r="R1705" i="3"/>
  <c r="K1706" i="3"/>
  <c r="L1706" i="3"/>
  <c r="M1706" i="3"/>
  <c r="N1706" i="3"/>
  <c r="O1706" i="3"/>
  <c r="P1706" i="3"/>
  <c r="Q1706" i="3"/>
  <c r="R1706" i="3"/>
  <c r="K1707" i="3"/>
  <c r="L1707" i="3"/>
  <c r="M1707" i="3"/>
  <c r="N1707" i="3"/>
  <c r="O1707" i="3"/>
  <c r="P1707" i="3"/>
  <c r="Q1707" i="3"/>
  <c r="R1707" i="3"/>
  <c r="K1708" i="3"/>
  <c r="L1708" i="3"/>
  <c r="M1708" i="3"/>
  <c r="N1708" i="3"/>
  <c r="O1708" i="3"/>
  <c r="P1708" i="3"/>
  <c r="Q1708" i="3"/>
  <c r="R1708" i="3"/>
  <c r="K1709" i="3"/>
  <c r="L1709" i="3"/>
  <c r="M1709" i="3"/>
  <c r="N1709" i="3"/>
  <c r="O1709" i="3"/>
  <c r="P1709" i="3"/>
  <c r="Q1709" i="3"/>
  <c r="R1709" i="3"/>
  <c r="K1710" i="3"/>
  <c r="L1710" i="3"/>
  <c r="M1710" i="3"/>
  <c r="N1710" i="3"/>
  <c r="O1710" i="3"/>
  <c r="P1710" i="3"/>
  <c r="Q1710" i="3"/>
  <c r="R1710" i="3"/>
  <c r="K1711" i="3"/>
  <c r="L1711" i="3"/>
  <c r="M1711" i="3"/>
  <c r="N1711" i="3"/>
  <c r="O1711" i="3"/>
  <c r="P1711" i="3"/>
  <c r="Q1711" i="3"/>
  <c r="R1711" i="3"/>
  <c r="K1712" i="3"/>
  <c r="L1712" i="3"/>
  <c r="M1712" i="3"/>
  <c r="N1712" i="3"/>
  <c r="O1712" i="3"/>
  <c r="P1712" i="3"/>
  <c r="Q1712" i="3"/>
  <c r="R1712" i="3"/>
  <c r="K1713" i="3"/>
  <c r="L1713" i="3"/>
  <c r="M1713" i="3"/>
  <c r="N1713" i="3"/>
  <c r="O1713" i="3"/>
  <c r="P1713" i="3"/>
  <c r="Q1713" i="3"/>
  <c r="R1713" i="3"/>
  <c r="K1714" i="3"/>
  <c r="L1714" i="3"/>
  <c r="M1714" i="3"/>
  <c r="N1714" i="3"/>
  <c r="O1714" i="3"/>
  <c r="P1714" i="3"/>
  <c r="Q1714" i="3"/>
  <c r="R1714" i="3"/>
  <c r="K1715" i="3"/>
  <c r="L1715" i="3"/>
  <c r="M1715" i="3"/>
  <c r="N1715" i="3"/>
  <c r="O1715" i="3"/>
  <c r="P1715" i="3"/>
  <c r="Q1715" i="3"/>
  <c r="R1715" i="3"/>
  <c r="K1716" i="3"/>
  <c r="L1716" i="3"/>
  <c r="M1716" i="3"/>
  <c r="N1716" i="3"/>
  <c r="O1716" i="3"/>
  <c r="P1716" i="3"/>
  <c r="Q1716" i="3"/>
  <c r="R1716" i="3"/>
  <c r="K1717" i="3"/>
  <c r="L1717" i="3"/>
  <c r="M1717" i="3"/>
  <c r="N1717" i="3"/>
  <c r="O1717" i="3"/>
  <c r="P1717" i="3"/>
  <c r="Q1717" i="3"/>
  <c r="R1717" i="3"/>
  <c r="K1718" i="3"/>
  <c r="L1718" i="3"/>
  <c r="M1718" i="3"/>
  <c r="N1718" i="3"/>
  <c r="O1718" i="3"/>
  <c r="P1718" i="3"/>
  <c r="Q1718" i="3"/>
  <c r="R1718" i="3"/>
  <c r="K1719" i="3"/>
  <c r="L1719" i="3"/>
  <c r="M1719" i="3"/>
  <c r="N1719" i="3"/>
  <c r="O1719" i="3"/>
  <c r="P1719" i="3"/>
  <c r="Q1719" i="3"/>
  <c r="R1719" i="3"/>
  <c r="K1720" i="3"/>
  <c r="L1720" i="3"/>
  <c r="M1720" i="3"/>
  <c r="N1720" i="3"/>
  <c r="O1720" i="3"/>
  <c r="P1720" i="3"/>
  <c r="Q1720" i="3"/>
  <c r="R1720" i="3"/>
  <c r="K1721" i="3"/>
  <c r="L1721" i="3"/>
  <c r="M1721" i="3"/>
  <c r="N1721" i="3"/>
  <c r="O1721" i="3"/>
  <c r="P1721" i="3"/>
  <c r="Q1721" i="3"/>
  <c r="R1721" i="3"/>
  <c r="K1722" i="3"/>
  <c r="L1722" i="3"/>
  <c r="M1722" i="3"/>
  <c r="N1722" i="3"/>
  <c r="O1722" i="3"/>
  <c r="P1722" i="3"/>
  <c r="Q1722" i="3"/>
  <c r="R1722" i="3"/>
  <c r="K1723" i="3"/>
  <c r="L1723" i="3"/>
  <c r="M1723" i="3"/>
  <c r="N1723" i="3"/>
  <c r="O1723" i="3"/>
  <c r="P1723" i="3"/>
  <c r="Q1723" i="3"/>
  <c r="R1723" i="3"/>
  <c r="K1724" i="3"/>
  <c r="L1724" i="3"/>
  <c r="M1724" i="3"/>
  <c r="N1724" i="3"/>
  <c r="O1724" i="3"/>
  <c r="P1724" i="3"/>
  <c r="Q1724" i="3"/>
  <c r="R1724" i="3"/>
  <c r="K1725" i="3"/>
  <c r="L1725" i="3"/>
  <c r="M1725" i="3"/>
  <c r="N1725" i="3"/>
  <c r="O1725" i="3"/>
  <c r="P1725" i="3"/>
  <c r="Q1725" i="3"/>
  <c r="R1725" i="3"/>
  <c r="K1726" i="3"/>
  <c r="L1726" i="3"/>
  <c r="M1726" i="3"/>
  <c r="N1726" i="3"/>
  <c r="O1726" i="3"/>
  <c r="P1726" i="3"/>
  <c r="Q1726" i="3"/>
  <c r="R1726" i="3"/>
  <c r="K1727" i="3"/>
  <c r="L1727" i="3"/>
  <c r="M1727" i="3"/>
  <c r="N1727" i="3"/>
  <c r="O1727" i="3"/>
  <c r="P1727" i="3"/>
  <c r="Q1727" i="3"/>
  <c r="R1727" i="3"/>
  <c r="K1728" i="3"/>
  <c r="L1728" i="3"/>
  <c r="M1728" i="3"/>
  <c r="N1728" i="3"/>
  <c r="O1728" i="3"/>
  <c r="P1728" i="3"/>
  <c r="Q1728" i="3"/>
  <c r="R1728" i="3"/>
  <c r="K1729" i="3"/>
  <c r="L1729" i="3"/>
  <c r="M1729" i="3"/>
  <c r="N1729" i="3"/>
  <c r="O1729" i="3"/>
  <c r="P1729" i="3"/>
  <c r="Q1729" i="3"/>
  <c r="R1729" i="3"/>
  <c r="K1730" i="3"/>
  <c r="L1730" i="3"/>
  <c r="M1730" i="3"/>
  <c r="N1730" i="3"/>
  <c r="O1730" i="3"/>
  <c r="P1730" i="3"/>
  <c r="Q1730" i="3"/>
  <c r="R1730" i="3"/>
  <c r="K1731" i="3"/>
  <c r="L1731" i="3"/>
  <c r="M1731" i="3"/>
  <c r="N1731" i="3"/>
  <c r="O1731" i="3"/>
  <c r="P1731" i="3"/>
  <c r="Q1731" i="3"/>
  <c r="R1731" i="3"/>
  <c r="K1732" i="3"/>
  <c r="L1732" i="3"/>
  <c r="M1732" i="3"/>
  <c r="N1732" i="3"/>
  <c r="O1732" i="3"/>
  <c r="P1732" i="3"/>
  <c r="Q1732" i="3"/>
  <c r="R1732" i="3"/>
  <c r="K1733" i="3"/>
  <c r="L1733" i="3"/>
  <c r="M1733" i="3"/>
  <c r="N1733" i="3"/>
  <c r="O1733" i="3"/>
  <c r="P1733" i="3"/>
  <c r="Q1733" i="3"/>
  <c r="R1733" i="3"/>
  <c r="K1734" i="3"/>
  <c r="L1734" i="3"/>
  <c r="M1734" i="3"/>
  <c r="N1734" i="3"/>
  <c r="O1734" i="3"/>
  <c r="P1734" i="3"/>
  <c r="Q1734" i="3"/>
  <c r="R1734" i="3"/>
  <c r="K1735" i="3"/>
  <c r="L1735" i="3"/>
  <c r="M1735" i="3"/>
  <c r="N1735" i="3"/>
  <c r="O1735" i="3"/>
  <c r="P1735" i="3"/>
  <c r="Q1735" i="3"/>
  <c r="R1735" i="3"/>
  <c r="K1736" i="3"/>
  <c r="L1736" i="3"/>
  <c r="M1736" i="3"/>
  <c r="N1736" i="3"/>
  <c r="O1736" i="3"/>
  <c r="P1736" i="3"/>
  <c r="Q1736" i="3"/>
  <c r="R1736" i="3"/>
  <c r="K1737" i="3"/>
  <c r="L1737" i="3"/>
  <c r="M1737" i="3"/>
  <c r="N1737" i="3"/>
  <c r="O1737" i="3"/>
  <c r="P1737" i="3"/>
  <c r="Q1737" i="3"/>
  <c r="R1737" i="3"/>
  <c r="K1738" i="3"/>
  <c r="L1738" i="3"/>
  <c r="M1738" i="3"/>
  <c r="N1738" i="3"/>
  <c r="O1738" i="3"/>
  <c r="P1738" i="3"/>
  <c r="Q1738" i="3"/>
  <c r="R1738" i="3"/>
  <c r="K1739" i="3"/>
  <c r="L1739" i="3"/>
  <c r="M1739" i="3"/>
  <c r="N1739" i="3"/>
  <c r="O1739" i="3"/>
  <c r="P1739" i="3"/>
  <c r="Q1739" i="3"/>
  <c r="R1739" i="3"/>
  <c r="K1740" i="3"/>
  <c r="L1740" i="3"/>
  <c r="M1740" i="3"/>
  <c r="N1740" i="3"/>
  <c r="O1740" i="3"/>
  <c r="P1740" i="3"/>
  <c r="Q1740" i="3"/>
  <c r="R1740" i="3"/>
  <c r="K1741" i="3"/>
  <c r="L1741" i="3"/>
  <c r="M1741" i="3"/>
  <c r="N1741" i="3"/>
  <c r="O1741" i="3"/>
  <c r="P1741" i="3"/>
  <c r="Q1741" i="3"/>
  <c r="R1741" i="3"/>
  <c r="K1742" i="3"/>
  <c r="L1742" i="3"/>
  <c r="M1742" i="3"/>
  <c r="N1742" i="3"/>
  <c r="O1742" i="3"/>
  <c r="P1742" i="3"/>
  <c r="Q1742" i="3"/>
  <c r="R1742" i="3"/>
  <c r="K1743" i="3"/>
  <c r="L1743" i="3"/>
  <c r="M1743" i="3"/>
  <c r="N1743" i="3"/>
  <c r="O1743" i="3"/>
  <c r="P1743" i="3"/>
  <c r="Q1743" i="3"/>
  <c r="R1743" i="3"/>
  <c r="K1744" i="3"/>
  <c r="L1744" i="3"/>
  <c r="M1744" i="3"/>
  <c r="N1744" i="3"/>
  <c r="O1744" i="3"/>
  <c r="P1744" i="3"/>
  <c r="Q1744" i="3"/>
  <c r="R1744" i="3"/>
  <c r="K1745" i="3"/>
  <c r="L1745" i="3"/>
  <c r="M1745" i="3"/>
  <c r="N1745" i="3"/>
  <c r="O1745" i="3"/>
  <c r="P1745" i="3"/>
  <c r="Q1745" i="3"/>
  <c r="R1745" i="3"/>
  <c r="K1746" i="3"/>
  <c r="L1746" i="3"/>
  <c r="M1746" i="3"/>
  <c r="N1746" i="3"/>
  <c r="O1746" i="3"/>
  <c r="P1746" i="3"/>
  <c r="Q1746" i="3"/>
  <c r="R1746" i="3"/>
  <c r="K1747" i="3"/>
  <c r="L1747" i="3"/>
  <c r="M1747" i="3"/>
  <c r="N1747" i="3"/>
  <c r="O1747" i="3"/>
  <c r="P1747" i="3"/>
  <c r="Q1747" i="3"/>
  <c r="R1747" i="3"/>
  <c r="K1748" i="3"/>
  <c r="L1748" i="3"/>
  <c r="M1748" i="3"/>
  <c r="N1748" i="3"/>
  <c r="O1748" i="3"/>
  <c r="P1748" i="3"/>
  <c r="Q1748" i="3"/>
  <c r="R1748" i="3"/>
  <c r="K1749" i="3"/>
  <c r="L1749" i="3"/>
  <c r="M1749" i="3"/>
  <c r="N1749" i="3"/>
  <c r="O1749" i="3"/>
  <c r="P1749" i="3"/>
  <c r="Q1749" i="3"/>
  <c r="R1749" i="3"/>
  <c r="K1750" i="3"/>
  <c r="L1750" i="3"/>
  <c r="M1750" i="3"/>
  <c r="N1750" i="3"/>
  <c r="O1750" i="3"/>
  <c r="P1750" i="3"/>
  <c r="Q1750" i="3"/>
  <c r="R1750" i="3"/>
  <c r="K1751" i="3"/>
  <c r="L1751" i="3"/>
  <c r="M1751" i="3"/>
  <c r="N1751" i="3"/>
  <c r="O1751" i="3"/>
  <c r="P1751" i="3"/>
  <c r="Q1751" i="3"/>
  <c r="R1751" i="3"/>
  <c r="K1752" i="3"/>
  <c r="L1752" i="3"/>
  <c r="M1752" i="3"/>
  <c r="N1752" i="3"/>
  <c r="O1752" i="3"/>
  <c r="P1752" i="3"/>
  <c r="Q1752" i="3"/>
  <c r="R1752" i="3"/>
  <c r="K1753" i="3"/>
  <c r="L1753" i="3"/>
  <c r="M1753" i="3"/>
  <c r="N1753" i="3"/>
  <c r="O1753" i="3"/>
  <c r="P1753" i="3"/>
  <c r="Q1753" i="3"/>
  <c r="R1753" i="3"/>
  <c r="K1754" i="3"/>
  <c r="L1754" i="3"/>
  <c r="M1754" i="3"/>
  <c r="N1754" i="3"/>
  <c r="O1754" i="3"/>
  <c r="P1754" i="3"/>
  <c r="Q1754" i="3"/>
  <c r="R1754" i="3"/>
  <c r="K1755" i="3"/>
  <c r="L1755" i="3"/>
  <c r="M1755" i="3"/>
  <c r="N1755" i="3"/>
  <c r="O1755" i="3"/>
  <c r="P1755" i="3"/>
  <c r="Q1755" i="3"/>
  <c r="R1755" i="3"/>
  <c r="K1756" i="3"/>
  <c r="L1756" i="3"/>
  <c r="M1756" i="3"/>
  <c r="N1756" i="3"/>
  <c r="O1756" i="3"/>
  <c r="P1756" i="3"/>
  <c r="Q1756" i="3"/>
  <c r="R1756" i="3"/>
  <c r="K1757" i="3"/>
  <c r="L1757" i="3"/>
  <c r="M1757" i="3"/>
  <c r="N1757" i="3"/>
  <c r="O1757" i="3"/>
  <c r="P1757" i="3"/>
  <c r="Q1757" i="3"/>
  <c r="R1757" i="3"/>
  <c r="K1758" i="3"/>
  <c r="L1758" i="3"/>
  <c r="M1758" i="3"/>
  <c r="N1758" i="3"/>
  <c r="O1758" i="3"/>
  <c r="P1758" i="3"/>
  <c r="Q1758" i="3"/>
  <c r="R1758" i="3"/>
  <c r="K1759" i="3"/>
  <c r="L1759" i="3"/>
  <c r="M1759" i="3"/>
  <c r="N1759" i="3"/>
  <c r="O1759" i="3"/>
  <c r="P1759" i="3"/>
  <c r="Q1759" i="3"/>
  <c r="R1759" i="3"/>
  <c r="K1760" i="3"/>
  <c r="L1760" i="3"/>
  <c r="M1760" i="3"/>
  <c r="N1760" i="3"/>
  <c r="O1760" i="3"/>
  <c r="P1760" i="3"/>
  <c r="Q1760" i="3"/>
  <c r="R1760" i="3"/>
  <c r="K1761" i="3"/>
  <c r="L1761" i="3"/>
  <c r="M1761" i="3"/>
  <c r="N1761" i="3"/>
  <c r="O1761" i="3"/>
  <c r="P1761" i="3"/>
  <c r="Q1761" i="3"/>
  <c r="R1761" i="3"/>
  <c r="K1762" i="3"/>
  <c r="L1762" i="3"/>
  <c r="M1762" i="3"/>
  <c r="N1762" i="3"/>
  <c r="O1762" i="3"/>
  <c r="P1762" i="3"/>
  <c r="Q1762" i="3"/>
  <c r="R1762" i="3"/>
  <c r="K1763" i="3"/>
  <c r="L1763" i="3"/>
  <c r="M1763" i="3"/>
  <c r="N1763" i="3"/>
  <c r="O1763" i="3"/>
  <c r="P1763" i="3"/>
  <c r="Q1763" i="3"/>
  <c r="R1763" i="3"/>
  <c r="K1764" i="3"/>
  <c r="L1764" i="3"/>
  <c r="M1764" i="3"/>
  <c r="N1764" i="3"/>
  <c r="O1764" i="3"/>
  <c r="P1764" i="3"/>
  <c r="Q1764" i="3"/>
  <c r="R1764" i="3"/>
  <c r="K1765" i="3"/>
  <c r="L1765" i="3"/>
  <c r="M1765" i="3"/>
  <c r="N1765" i="3"/>
  <c r="O1765" i="3"/>
  <c r="P1765" i="3"/>
  <c r="Q1765" i="3"/>
  <c r="R1765" i="3"/>
  <c r="K1766" i="3"/>
  <c r="L1766" i="3"/>
  <c r="M1766" i="3"/>
  <c r="N1766" i="3"/>
  <c r="O1766" i="3"/>
  <c r="P1766" i="3"/>
  <c r="Q1766" i="3"/>
  <c r="R1766" i="3"/>
  <c r="K1767" i="3"/>
  <c r="L1767" i="3"/>
  <c r="M1767" i="3"/>
  <c r="N1767" i="3"/>
  <c r="O1767" i="3"/>
  <c r="P1767" i="3"/>
  <c r="Q1767" i="3"/>
  <c r="R1767" i="3"/>
  <c r="K1768" i="3"/>
  <c r="L1768" i="3"/>
  <c r="M1768" i="3"/>
  <c r="N1768" i="3"/>
  <c r="O1768" i="3"/>
  <c r="P1768" i="3"/>
  <c r="Q1768" i="3"/>
  <c r="R1768" i="3"/>
  <c r="K1769" i="3"/>
  <c r="L1769" i="3"/>
  <c r="M1769" i="3"/>
  <c r="N1769" i="3"/>
  <c r="O1769" i="3"/>
  <c r="P1769" i="3"/>
  <c r="Q1769" i="3"/>
  <c r="R1769" i="3"/>
  <c r="K1770" i="3"/>
  <c r="L1770" i="3"/>
  <c r="M1770" i="3"/>
  <c r="N1770" i="3"/>
  <c r="O1770" i="3"/>
  <c r="P1770" i="3"/>
  <c r="Q1770" i="3"/>
  <c r="R1770" i="3"/>
  <c r="K1771" i="3"/>
  <c r="L1771" i="3"/>
  <c r="M1771" i="3"/>
  <c r="N1771" i="3"/>
  <c r="O1771" i="3"/>
  <c r="P1771" i="3"/>
  <c r="Q1771" i="3"/>
  <c r="R1771" i="3"/>
  <c r="K1772" i="3"/>
  <c r="L1772" i="3"/>
  <c r="M1772" i="3"/>
  <c r="N1772" i="3"/>
  <c r="O1772" i="3"/>
  <c r="P1772" i="3"/>
  <c r="Q1772" i="3"/>
  <c r="R1772" i="3"/>
  <c r="K1773" i="3"/>
  <c r="L1773" i="3"/>
  <c r="M1773" i="3"/>
  <c r="N1773" i="3"/>
  <c r="O1773" i="3"/>
  <c r="P1773" i="3"/>
  <c r="Q1773" i="3"/>
  <c r="R1773" i="3"/>
  <c r="K1774" i="3"/>
  <c r="L1774" i="3"/>
  <c r="M1774" i="3"/>
  <c r="N1774" i="3"/>
  <c r="O1774" i="3"/>
  <c r="P1774" i="3"/>
  <c r="Q1774" i="3"/>
  <c r="R1774" i="3"/>
  <c r="K1775" i="3"/>
  <c r="L1775" i="3"/>
  <c r="M1775" i="3"/>
  <c r="N1775" i="3"/>
  <c r="O1775" i="3"/>
  <c r="P1775" i="3"/>
  <c r="Q1775" i="3"/>
  <c r="R1775" i="3"/>
  <c r="K1776" i="3"/>
  <c r="L1776" i="3"/>
  <c r="M1776" i="3"/>
  <c r="N1776" i="3"/>
  <c r="O1776" i="3"/>
  <c r="P1776" i="3"/>
  <c r="Q1776" i="3"/>
  <c r="R1776" i="3"/>
  <c r="K1777" i="3"/>
  <c r="L1777" i="3"/>
  <c r="M1777" i="3"/>
  <c r="N1777" i="3"/>
  <c r="O1777" i="3"/>
  <c r="P1777" i="3"/>
  <c r="Q1777" i="3"/>
  <c r="R1777" i="3"/>
  <c r="K1778" i="3"/>
  <c r="L1778" i="3"/>
  <c r="M1778" i="3"/>
  <c r="N1778" i="3"/>
  <c r="O1778" i="3"/>
  <c r="P1778" i="3"/>
  <c r="Q1778" i="3"/>
  <c r="R1778" i="3"/>
  <c r="K1779" i="3"/>
  <c r="L1779" i="3"/>
  <c r="M1779" i="3"/>
  <c r="N1779" i="3"/>
  <c r="O1779" i="3"/>
  <c r="P1779" i="3"/>
  <c r="Q1779" i="3"/>
  <c r="R1779" i="3"/>
  <c r="K1780" i="3"/>
  <c r="L1780" i="3"/>
  <c r="M1780" i="3"/>
  <c r="N1780" i="3"/>
  <c r="O1780" i="3"/>
  <c r="P1780" i="3"/>
  <c r="Q1780" i="3"/>
  <c r="R1780" i="3"/>
  <c r="K1781" i="3"/>
  <c r="L1781" i="3"/>
  <c r="M1781" i="3"/>
  <c r="N1781" i="3"/>
  <c r="O1781" i="3"/>
  <c r="P1781" i="3"/>
  <c r="Q1781" i="3"/>
  <c r="R1781" i="3"/>
  <c r="K1782" i="3"/>
  <c r="L1782" i="3"/>
  <c r="M1782" i="3"/>
  <c r="N1782" i="3"/>
  <c r="O1782" i="3"/>
  <c r="P1782" i="3"/>
  <c r="Q1782" i="3"/>
  <c r="R1782" i="3"/>
  <c r="K1783" i="3"/>
  <c r="L1783" i="3"/>
  <c r="M1783" i="3"/>
  <c r="N1783" i="3"/>
  <c r="O1783" i="3"/>
  <c r="P1783" i="3"/>
  <c r="Q1783" i="3"/>
  <c r="R1783" i="3"/>
  <c r="K1784" i="3"/>
  <c r="L1784" i="3"/>
  <c r="M1784" i="3"/>
  <c r="N1784" i="3"/>
  <c r="O1784" i="3"/>
  <c r="P1784" i="3"/>
  <c r="Q1784" i="3"/>
  <c r="R1784" i="3"/>
  <c r="K1785" i="3"/>
  <c r="L1785" i="3"/>
  <c r="M1785" i="3"/>
  <c r="N1785" i="3"/>
  <c r="O1785" i="3"/>
  <c r="P1785" i="3"/>
  <c r="Q1785" i="3"/>
  <c r="R1785" i="3"/>
  <c r="K1786" i="3"/>
  <c r="L1786" i="3"/>
  <c r="M1786" i="3"/>
  <c r="N1786" i="3"/>
  <c r="O1786" i="3"/>
  <c r="P1786" i="3"/>
  <c r="Q1786" i="3"/>
  <c r="R1786" i="3"/>
  <c r="K1787" i="3"/>
  <c r="L1787" i="3"/>
  <c r="M1787" i="3"/>
  <c r="N1787" i="3"/>
  <c r="O1787" i="3"/>
  <c r="P1787" i="3"/>
  <c r="Q1787" i="3"/>
  <c r="R1787" i="3"/>
  <c r="K1788" i="3"/>
  <c r="L1788" i="3"/>
  <c r="M1788" i="3"/>
  <c r="N1788" i="3"/>
  <c r="O1788" i="3"/>
  <c r="P1788" i="3"/>
  <c r="Q1788" i="3"/>
  <c r="R1788" i="3"/>
  <c r="K1789" i="3"/>
  <c r="L1789" i="3"/>
  <c r="M1789" i="3"/>
  <c r="N1789" i="3"/>
  <c r="O1789" i="3"/>
  <c r="P1789" i="3"/>
  <c r="Q1789" i="3"/>
  <c r="R1789" i="3"/>
  <c r="K1790" i="3"/>
  <c r="L1790" i="3"/>
  <c r="M1790" i="3"/>
  <c r="N1790" i="3"/>
  <c r="O1790" i="3"/>
  <c r="P1790" i="3"/>
  <c r="Q1790" i="3"/>
  <c r="R1790" i="3"/>
  <c r="K1791" i="3"/>
  <c r="L1791" i="3"/>
  <c r="M1791" i="3"/>
  <c r="N1791" i="3"/>
  <c r="O1791" i="3"/>
  <c r="P1791" i="3"/>
  <c r="Q1791" i="3"/>
  <c r="R1791" i="3"/>
  <c r="K1792" i="3"/>
  <c r="L1792" i="3"/>
  <c r="M1792" i="3"/>
  <c r="N1792" i="3"/>
  <c r="O1792" i="3"/>
  <c r="P1792" i="3"/>
  <c r="Q1792" i="3"/>
  <c r="R1792" i="3"/>
  <c r="K1793" i="3"/>
  <c r="L1793" i="3"/>
  <c r="M1793" i="3"/>
  <c r="N1793" i="3"/>
  <c r="O1793" i="3"/>
  <c r="P1793" i="3"/>
  <c r="Q1793" i="3"/>
  <c r="R1793" i="3"/>
  <c r="K1794" i="3"/>
  <c r="L1794" i="3"/>
  <c r="M1794" i="3"/>
  <c r="N1794" i="3"/>
  <c r="O1794" i="3"/>
  <c r="P1794" i="3"/>
  <c r="Q1794" i="3"/>
  <c r="R1794" i="3"/>
  <c r="K1795" i="3"/>
  <c r="L1795" i="3"/>
  <c r="M1795" i="3"/>
  <c r="N1795" i="3"/>
  <c r="O1795" i="3"/>
  <c r="P1795" i="3"/>
  <c r="Q1795" i="3"/>
  <c r="R1795" i="3"/>
  <c r="K1796" i="3"/>
  <c r="L1796" i="3"/>
  <c r="M1796" i="3"/>
  <c r="N1796" i="3"/>
  <c r="O1796" i="3"/>
  <c r="P1796" i="3"/>
  <c r="Q1796" i="3"/>
  <c r="R1796" i="3"/>
  <c r="K1797" i="3"/>
  <c r="L1797" i="3"/>
  <c r="M1797" i="3"/>
  <c r="N1797" i="3"/>
  <c r="O1797" i="3"/>
  <c r="P1797" i="3"/>
  <c r="Q1797" i="3"/>
  <c r="R1797" i="3"/>
  <c r="K1798" i="3"/>
  <c r="L1798" i="3"/>
  <c r="M1798" i="3"/>
  <c r="N1798" i="3"/>
  <c r="O1798" i="3"/>
  <c r="P1798" i="3"/>
  <c r="Q1798" i="3"/>
  <c r="R1798" i="3"/>
  <c r="K1799" i="3"/>
  <c r="L1799" i="3"/>
  <c r="M1799" i="3"/>
  <c r="N1799" i="3"/>
  <c r="O1799" i="3"/>
  <c r="P1799" i="3"/>
  <c r="Q1799" i="3"/>
  <c r="R1799" i="3"/>
  <c r="K1800" i="3"/>
  <c r="L1800" i="3"/>
  <c r="M1800" i="3"/>
  <c r="N1800" i="3"/>
  <c r="O1800" i="3"/>
  <c r="P1800" i="3"/>
  <c r="Q1800" i="3"/>
  <c r="R1800" i="3"/>
  <c r="K1801" i="3"/>
  <c r="L1801" i="3"/>
  <c r="M1801" i="3"/>
  <c r="N1801" i="3"/>
  <c r="O1801" i="3"/>
  <c r="P1801" i="3"/>
  <c r="Q1801" i="3"/>
  <c r="R1801" i="3"/>
  <c r="K1802" i="3"/>
  <c r="L1802" i="3"/>
  <c r="M1802" i="3"/>
  <c r="N1802" i="3"/>
  <c r="O1802" i="3"/>
  <c r="P1802" i="3"/>
  <c r="Q1802" i="3"/>
  <c r="R1802" i="3"/>
  <c r="K1803" i="3"/>
  <c r="L1803" i="3"/>
  <c r="M1803" i="3"/>
  <c r="N1803" i="3"/>
  <c r="O1803" i="3"/>
  <c r="P1803" i="3"/>
  <c r="Q1803" i="3"/>
  <c r="R1803" i="3"/>
  <c r="K1804" i="3"/>
  <c r="L1804" i="3"/>
  <c r="M1804" i="3"/>
  <c r="N1804" i="3"/>
  <c r="O1804" i="3"/>
  <c r="P1804" i="3"/>
  <c r="Q1804" i="3"/>
  <c r="R1804" i="3"/>
  <c r="K1805" i="3"/>
  <c r="L1805" i="3"/>
  <c r="M1805" i="3"/>
  <c r="N1805" i="3"/>
  <c r="O1805" i="3"/>
  <c r="P1805" i="3"/>
  <c r="Q1805" i="3"/>
  <c r="R1805" i="3"/>
  <c r="K1806" i="3"/>
  <c r="L1806" i="3"/>
  <c r="M1806" i="3"/>
  <c r="N1806" i="3"/>
  <c r="O1806" i="3"/>
  <c r="P1806" i="3"/>
  <c r="Q1806" i="3"/>
  <c r="R1806" i="3"/>
  <c r="K1807" i="3"/>
  <c r="L1807" i="3"/>
  <c r="M1807" i="3"/>
  <c r="N1807" i="3"/>
  <c r="O1807" i="3"/>
  <c r="P1807" i="3"/>
  <c r="Q1807" i="3"/>
  <c r="R1807" i="3"/>
  <c r="K1808" i="3"/>
  <c r="L1808" i="3"/>
  <c r="M1808" i="3"/>
  <c r="N1808" i="3"/>
  <c r="O1808" i="3"/>
  <c r="P1808" i="3"/>
  <c r="Q1808" i="3"/>
  <c r="R1808" i="3"/>
  <c r="K1809" i="3"/>
  <c r="L1809" i="3"/>
  <c r="M1809" i="3"/>
  <c r="N1809" i="3"/>
  <c r="O1809" i="3"/>
  <c r="P1809" i="3"/>
  <c r="Q1809" i="3"/>
  <c r="R1809" i="3"/>
  <c r="K1810" i="3"/>
  <c r="L1810" i="3"/>
  <c r="M1810" i="3"/>
  <c r="N1810" i="3"/>
  <c r="O1810" i="3"/>
  <c r="P1810" i="3"/>
  <c r="Q1810" i="3"/>
  <c r="R1810" i="3"/>
  <c r="K1811" i="3"/>
  <c r="L1811" i="3"/>
  <c r="M1811" i="3"/>
  <c r="N1811" i="3"/>
  <c r="O1811" i="3"/>
  <c r="P1811" i="3"/>
  <c r="Q1811" i="3"/>
  <c r="R1811" i="3"/>
  <c r="K1812" i="3"/>
  <c r="L1812" i="3"/>
  <c r="M1812" i="3"/>
  <c r="N1812" i="3"/>
  <c r="O1812" i="3"/>
  <c r="P1812" i="3"/>
  <c r="Q1812" i="3"/>
  <c r="R1812" i="3"/>
  <c r="K1813" i="3"/>
  <c r="L1813" i="3"/>
  <c r="M1813" i="3"/>
  <c r="N1813" i="3"/>
  <c r="O1813" i="3"/>
  <c r="P1813" i="3"/>
  <c r="Q1813" i="3"/>
  <c r="R1813" i="3"/>
  <c r="K1814" i="3"/>
  <c r="L1814" i="3"/>
  <c r="M1814" i="3"/>
  <c r="N1814" i="3"/>
  <c r="O1814" i="3"/>
  <c r="P1814" i="3"/>
  <c r="Q1814" i="3"/>
  <c r="R1814" i="3"/>
  <c r="K1815" i="3"/>
  <c r="L1815" i="3"/>
  <c r="M1815" i="3"/>
  <c r="N1815" i="3"/>
  <c r="O1815" i="3"/>
  <c r="P1815" i="3"/>
  <c r="Q1815" i="3"/>
  <c r="R1815" i="3"/>
  <c r="K1816" i="3"/>
  <c r="L1816" i="3"/>
  <c r="M1816" i="3"/>
  <c r="N1816" i="3"/>
  <c r="O1816" i="3"/>
  <c r="P1816" i="3"/>
  <c r="Q1816" i="3"/>
  <c r="R1816" i="3"/>
  <c r="K1817" i="3"/>
  <c r="L1817" i="3"/>
  <c r="M1817" i="3"/>
  <c r="N1817" i="3"/>
  <c r="O1817" i="3"/>
  <c r="P1817" i="3"/>
  <c r="Q1817" i="3"/>
  <c r="R1817" i="3"/>
  <c r="K1818" i="3"/>
  <c r="L1818" i="3"/>
  <c r="M1818" i="3"/>
  <c r="N1818" i="3"/>
  <c r="O1818" i="3"/>
  <c r="P1818" i="3"/>
  <c r="Q1818" i="3"/>
  <c r="R1818" i="3"/>
  <c r="K1819" i="3"/>
  <c r="L1819" i="3"/>
  <c r="M1819" i="3"/>
  <c r="N1819" i="3"/>
  <c r="O1819" i="3"/>
  <c r="P1819" i="3"/>
  <c r="Q1819" i="3"/>
  <c r="R1819" i="3"/>
  <c r="K1820" i="3"/>
  <c r="L1820" i="3"/>
  <c r="M1820" i="3"/>
  <c r="N1820" i="3"/>
  <c r="O1820" i="3"/>
  <c r="P1820" i="3"/>
  <c r="Q1820" i="3"/>
  <c r="R1820" i="3"/>
  <c r="K1821" i="3"/>
  <c r="L1821" i="3"/>
  <c r="M1821" i="3"/>
  <c r="N1821" i="3"/>
  <c r="O1821" i="3"/>
  <c r="P1821" i="3"/>
  <c r="Q1821" i="3"/>
  <c r="R1821" i="3"/>
  <c r="K1822" i="3"/>
  <c r="L1822" i="3"/>
  <c r="M1822" i="3"/>
  <c r="N1822" i="3"/>
  <c r="O1822" i="3"/>
  <c r="P1822" i="3"/>
  <c r="Q1822" i="3"/>
  <c r="R1822" i="3"/>
  <c r="K1823" i="3"/>
  <c r="L1823" i="3"/>
  <c r="M1823" i="3"/>
  <c r="N1823" i="3"/>
  <c r="O1823" i="3"/>
  <c r="P1823" i="3"/>
  <c r="Q1823" i="3"/>
  <c r="R1823" i="3"/>
  <c r="K1824" i="3"/>
  <c r="L1824" i="3"/>
  <c r="M1824" i="3"/>
  <c r="N1824" i="3"/>
  <c r="O1824" i="3"/>
  <c r="P1824" i="3"/>
  <c r="Q1824" i="3"/>
  <c r="R1824" i="3"/>
  <c r="K1825" i="3"/>
  <c r="L1825" i="3"/>
  <c r="M1825" i="3"/>
  <c r="N1825" i="3"/>
  <c r="O1825" i="3"/>
  <c r="P1825" i="3"/>
  <c r="Q1825" i="3"/>
  <c r="R1825" i="3"/>
  <c r="K1826" i="3"/>
  <c r="L1826" i="3"/>
  <c r="M1826" i="3"/>
  <c r="N1826" i="3"/>
  <c r="O1826" i="3"/>
  <c r="P1826" i="3"/>
  <c r="Q1826" i="3"/>
  <c r="R1826" i="3"/>
  <c r="K1827" i="3"/>
  <c r="L1827" i="3"/>
  <c r="M1827" i="3"/>
  <c r="N1827" i="3"/>
  <c r="O1827" i="3"/>
  <c r="P1827" i="3"/>
  <c r="Q1827" i="3"/>
  <c r="R1827" i="3"/>
  <c r="K1828" i="3"/>
  <c r="L1828" i="3"/>
  <c r="M1828" i="3"/>
  <c r="N1828" i="3"/>
  <c r="O1828" i="3"/>
  <c r="P1828" i="3"/>
  <c r="Q1828" i="3"/>
  <c r="R1828" i="3"/>
  <c r="K1829" i="3"/>
  <c r="L1829" i="3"/>
  <c r="M1829" i="3"/>
  <c r="N1829" i="3"/>
  <c r="O1829" i="3"/>
  <c r="P1829" i="3"/>
  <c r="Q1829" i="3"/>
  <c r="R1829" i="3"/>
  <c r="K1830" i="3"/>
  <c r="L1830" i="3"/>
  <c r="M1830" i="3"/>
  <c r="N1830" i="3"/>
  <c r="O1830" i="3"/>
  <c r="P1830" i="3"/>
  <c r="Q1830" i="3"/>
  <c r="R1830" i="3"/>
  <c r="K1831" i="3"/>
  <c r="L1831" i="3"/>
  <c r="M1831" i="3"/>
  <c r="N1831" i="3"/>
  <c r="O1831" i="3"/>
  <c r="P1831" i="3"/>
  <c r="Q1831" i="3"/>
  <c r="R1831" i="3"/>
  <c r="K1832" i="3"/>
  <c r="L1832" i="3"/>
  <c r="M1832" i="3"/>
  <c r="N1832" i="3"/>
  <c r="O1832" i="3"/>
  <c r="P1832" i="3"/>
  <c r="Q1832" i="3"/>
  <c r="R1832" i="3"/>
  <c r="K1833" i="3"/>
  <c r="L1833" i="3"/>
  <c r="M1833" i="3"/>
  <c r="N1833" i="3"/>
  <c r="O1833" i="3"/>
  <c r="P1833" i="3"/>
  <c r="Q1833" i="3"/>
  <c r="R1833" i="3"/>
  <c r="K1834" i="3"/>
  <c r="L1834" i="3"/>
  <c r="M1834" i="3"/>
  <c r="N1834" i="3"/>
  <c r="O1834" i="3"/>
  <c r="P1834" i="3"/>
  <c r="Q1834" i="3"/>
  <c r="R1834" i="3"/>
  <c r="K1835" i="3"/>
  <c r="L1835" i="3"/>
  <c r="M1835" i="3"/>
  <c r="N1835" i="3"/>
  <c r="O1835" i="3"/>
  <c r="P1835" i="3"/>
  <c r="Q1835" i="3"/>
  <c r="R1835" i="3"/>
  <c r="K1836" i="3"/>
  <c r="L1836" i="3"/>
  <c r="M1836" i="3"/>
  <c r="N1836" i="3"/>
  <c r="O1836" i="3"/>
  <c r="P1836" i="3"/>
  <c r="Q1836" i="3"/>
  <c r="R1836" i="3"/>
  <c r="K1837" i="3"/>
  <c r="L1837" i="3"/>
  <c r="M1837" i="3"/>
  <c r="N1837" i="3"/>
  <c r="O1837" i="3"/>
  <c r="P1837" i="3"/>
  <c r="Q1837" i="3"/>
  <c r="R1837" i="3"/>
  <c r="K1838" i="3"/>
  <c r="L1838" i="3"/>
  <c r="M1838" i="3"/>
  <c r="N1838" i="3"/>
  <c r="O1838" i="3"/>
  <c r="P1838" i="3"/>
  <c r="Q1838" i="3"/>
  <c r="R1838" i="3"/>
  <c r="K1839" i="3"/>
  <c r="L1839" i="3"/>
  <c r="M1839" i="3"/>
  <c r="N1839" i="3"/>
  <c r="O1839" i="3"/>
  <c r="P1839" i="3"/>
  <c r="Q1839" i="3"/>
  <c r="R1839" i="3"/>
  <c r="K1840" i="3"/>
  <c r="L1840" i="3"/>
  <c r="M1840" i="3"/>
  <c r="N1840" i="3"/>
  <c r="O1840" i="3"/>
  <c r="P1840" i="3"/>
  <c r="Q1840" i="3"/>
  <c r="R1840" i="3"/>
  <c r="K1841" i="3"/>
  <c r="L1841" i="3"/>
  <c r="M1841" i="3"/>
  <c r="N1841" i="3"/>
  <c r="O1841" i="3"/>
  <c r="P1841" i="3"/>
  <c r="Q1841" i="3"/>
  <c r="R1841" i="3"/>
  <c r="K1842" i="3"/>
  <c r="L1842" i="3"/>
  <c r="M1842" i="3"/>
  <c r="N1842" i="3"/>
  <c r="O1842" i="3"/>
  <c r="P1842" i="3"/>
  <c r="Q1842" i="3"/>
  <c r="R1842" i="3"/>
  <c r="K1843" i="3"/>
  <c r="L1843" i="3"/>
  <c r="M1843" i="3"/>
  <c r="N1843" i="3"/>
  <c r="O1843" i="3"/>
  <c r="P1843" i="3"/>
  <c r="Q1843" i="3"/>
  <c r="R1843" i="3"/>
  <c r="K1844" i="3"/>
  <c r="L1844" i="3"/>
  <c r="M1844" i="3"/>
  <c r="N1844" i="3"/>
  <c r="O1844" i="3"/>
  <c r="P1844" i="3"/>
  <c r="Q1844" i="3"/>
  <c r="R1844" i="3"/>
  <c r="K1845" i="3"/>
  <c r="L1845" i="3"/>
  <c r="M1845" i="3"/>
  <c r="N1845" i="3"/>
  <c r="O1845" i="3"/>
  <c r="P1845" i="3"/>
  <c r="Q1845" i="3"/>
  <c r="R1845" i="3"/>
  <c r="K1846" i="3"/>
  <c r="L1846" i="3"/>
  <c r="M1846" i="3"/>
  <c r="N1846" i="3"/>
  <c r="O1846" i="3"/>
  <c r="P1846" i="3"/>
  <c r="Q1846" i="3"/>
  <c r="R1846" i="3"/>
  <c r="K1847" i="3"/>
  <c r="L1847" i="3"/>
  <c r="M1847" i="3"/>
  <c r="N1847" i="3"/>
  <c r="O1847" i="3"/>
  <c r="P1847" i="3"/>
  <c r="Q1847" i="3"/>
  <c r="R1847" i="3"/>
  <c r="K1848" i="3"/>
  <c r="L1848" i="3"/>
  <c r="M1848" i="3"/>
  <c r="N1848" i="3"/>
  <c r="O1848" i="3"/>
  <c r="P1848" i="3"/>
  <c r="Q1848" i="3"/>
  <c r="R1848" i="3"/>
  <c r="K1849" i="3"/>
  <c r="L1849" i="3"/>
  <c r="M1849" i="3"/>
  <c r="N1849" i="3"/>
  <c r="O1849" i="3"/>
  <c r="P1849" i="3"/>
  <c r="Q1849" i="3"/>
  <c r="R1849" i="3"/>
  <c r="K1850" i="3"/>
  <c r="L1850" i="3"/>
  <c r="M1850" i="3"/>
  <c r="N1850" i="3"/>
  <c r="O1850" i="3"/>
  <c r="P1850" i="3"/>
  <c r="Q1850" i="3"/>
  <c r="R1850" i="3"/>
  <c r="K1851" i="3"/>
  <c r="L1851" i="3"/>
  <c r="M1851" i="3"/>
  <c r="N1851" i="3"/>
  <c r="O1851" i="3"/>
  <c r="P1851" i="3"/>
  <c r="Q1851" i="3"/>
  <c r="R1851" i="3"/>
  <c r="K1852" i="3"/>
  <c r="L1852" i="3"/>
  <c r="M1852" i="3"/>
  <c r="N1852" i="3"/>
  <c r="O1852" i="3"/>
  <c r="P1852" i="3"/>
  <c r="Q1852" i="3"/>
  <c r="R1852" i="3"/>
  <c r="K1853" i="3"/>
  <c r="L1853" i="3"/>
  <c r="M1853" i="3"/>
  <c r="N1853" i="3"/>
  <c r="O1853" i="3"/>
  <c r="P1853" i="3"/>
  <c r="Q1853" i="3"/>
  <c r="R1853" i="3"/>
  <c r="K1854" i="3"/>
  <c r="L1854" i="3"/>
  <c r="M1854" i="3"/>
  <c r="N1854" i="3"/>
  <c r="O1854" i="3"/>
  <c r="P1854" i="3"/>
  <c r="Q1854" i="3"/>
  <c r="R1854" i="3"/>
  <c r="K1855" i="3"/>
  <c r="L1855" i="3"/>
  <c r="M1855" i="3"/>
  <c r="N1855" i="3"/>
  <c r="O1855" i="3"/>
  <c r="P1855" i="3"/>
  <c r="Q1855" i="3"/>
  <c r="R1855" i="3"/>
  <c r="K1856" i="3"/>
  <c r="L1856" i="3"/>
  <c r="M1856" i="3"/>
  <c r="N1856" i="3"/>
  <c r="O1856" i="3"/>
  <c r="P1856" i="3"/>
  <c r="Q1856" i="3"/>
  <c r="R1856" i="3"/>
  <c r="K1857" i="3"/>
  <c r="L1857" i="3"/>
  <c r="M1857" i="3"/>
  <c r="N1857" i="3"/>
  <c r="O1857" i="3"/>
  <c r="P1857" i="3"/>
  <c r="Q1857" i="3"/>
  <c r="R1857" i="3"/>
  <c r="K1858" i="3"/>
  <c r="L1858" i="3"/>
  <c r="M1858" i="3"/>
  <c r="N1858" i="3"/>
  <c r="O1858" i="3"/>
  <c r="P1858" i="3"/>
  <c r="Q1858" i="3"/>
  <c r="R1858" i="3"/>
  <c r="K1859" i="3"/>
  <c r="L1859" i="3"/>
  <c r="M1859" i="3"/>
  <c r="N1859" i="3"/>
  <c r="O1859" i="3"/>
  <c r="P1859" i="3"/>
  <c r="Q1859" i="3"/>
  <c r="R1859" i="3"/>
  <c r="K1860" i="3"/>
  <c r="L1860" i="3"/>
  <c r="M1860" i="3"/>
  <c r="N1860" i="3"/>
  <c r="O1860" i="3"/>
  <c r="P1860" i="3"/>
  <c r="Q1860" i="3"/>
  <c r="R1860" i="3"/>
  <c r="K1861" i="3"/>
  <c r="L1861" i="3"/>
  <c r="M1861" i="3"/>
  <c r="N1861" i="3"/>
  <c r="O1861" i="3"/>
  <c r="P1861" i="3"/>
  <c r="Q1861" i="3"/>
  <c r="R1861" i="3"/>
  <c r="K1862" i="3"/>
  <c r="L1862" i="3"/>
  <c r="M1862" i="3"/>
  <c r="N1862" i="3"/>
  <c r="O1862" i="3"/>
  <c r="P1862" i="3"/>
  <c r="Q1862" i="3"/>
  <c r="R1862" i="3"/>
  <c r="K1863" i="3"/>
  <c r="L1863" i="3"/>
  <c r="M1863" i="3"/>
  <c r="N1863" i="3"/>
  <c r="O1863" i="3"/>
  <c r="P1863" i="3"/>
  <c r="Q1863" i="3"/>
  <c r="R1863" i="3"/>
  <c r="K1864" i="3"/>
  <c r="L1864" i="3"/>
  <c r="M1864" i="3"/>
  <c r="N1864" i="3"/>
  <c r="O1864" i="3"/>
  <c r="P1864" i="3"/>
  <c r="Q1864" i="3"/>
  <c r="R1864" i="3"/>
  <c r="K1865" i="3"/>
  <c r="L1865" i="3"/>
  <c r="M1865" i="3"/>
  <c r="N1865" i="3"/>
  <c r="O1865" i="3"/>
  <c r="P1865" i="3"/>
  <c r="Q1865" i="3"/>
  <c r="R1865" i="3"/>
  <c r="K1866" i="3"/>
  <c r="L1866" i="3"/>
  <c r="M1866" i="3"/>
  <c r="N1866" i="3"/>
  <c r="O1866" i="3"/>
  <c r="P1866" i="3"/>
  <c r="Q1866" i="3"/>
  <c r="R1866" i="3"/>
  <c r="K1867" i="3"/>
  <c r="L1867" i="3"/>
  <c r="M1867" i="3"/>
  <c r="N1867" i="3"/>
  <c r="O1867" i="3"/>
  <c r="P1867" i="3"/>
  <c r="Q1867" i="3"/>
  <c r="R1867" i="3"/>
  <c r="K1868" i="3"/>
  <c r="L1868" i="3"/>
  <c r="M1868" i="3"/>
  <c r="N1868" i="3"/>
  <c r="O1868" i="3"/>
  <c r="P1868" i="3"/>
  <c r="Q1868" i="3"/>
  <c r="R1868" i="3"/>
  <c r="K1869" i="3"/>
  <c r="L1869" i="3"/>
  <c r="M1869" i="3"/>
  <c r="N1869" i="3"/>
  <c r="O1869" i="3"/>
  <c r="P1869" i="3"/>
  <c r="Q1869" i="3"/>
  <c r="R1869" i="3"/>
  <c r="K1870" i="3"/>
  <c r="L1870" i="3"/>
  <c r="M1870" i="3"/>
  <c r="N1870" i="3"/>
  <c r="O1870" i="3"/>
  <c r="P1870" i="3"/>
  <c r="Q1870" i="3"/>
  <c r="R1870" i="3"/>
  <c r="K1871" i="3"/>
  <c r="L1871" i="3"/>
  <c r="M1871" i="3"/>
  <c r="N1871" i="3"/>
  <c r="O1871" i="3"/>
  <c r="P1871" i="3"/>
  <c r="Q1871" i="3"/>
  <c r="R1871" i="3"/>
  <c r="K1872" i="3"/>
  <c r="L1872" i="3"/>
  <c r="M1872" i="3"/>
  <c r="N1872" i="3"/>
  <c r="O1872" i="3"/>
  <c r="P1872" i="3"/>
  <c r="Q1872" i="3"/>
  <c r="R1872" i="3"/>
  <c r="K1873" i="3"/>
  <c r="L1873" i="3"/>
  <c r="M1873" i="3"/>
  <c r="N1873" i="3"/>
  <c r="O1873" i="3"/>
  <c r="P1873" i="3"/>
  <c r="Q1873" i="3"/>
  <c r="R1873" i="3"/>
  <c r="K1874" i="3"/>
  <c r="L1874" i="3"/>
  <c r="M1874" i="3"/>
  <c r="N1874" i="3"/>
  <c r="O1874" i="3"/>
  <c r="P1874" i="3"/>
  <c r="Q1874" i="3"/>
  <c r="R1874" i="3"/>
  <c r="K1875" i="3"/>
  <c r="L1875" i="3"/>
  <c r="M1875" i="3"/>
  <c r="N1875" i="3"/>
  <c r="O1875" i="3"/>
  <c r="P1875" i="3"/>
  <c r="Q1875" i="3"/>
  <c r="R1875" i="3"/>
  <c r="K1876" i="3"/>
  <c r="L1876" i="3"/>
  <c r="M1876" i="3"/>
  <c r="N1876" i="3"/>
  <c r="O1876" i="3"/>
  <c r="P1876" i="3"/>
  <c r="Q1876" i="3"/>
  <c r="R1876" i="3"/>
  <c r="K1877" i="3"/>
  <c r="L1877" i="3"/>
  <c r="M1877" i="3"/>
  <c r="N1877" i="3"/>
  <c r="O1877" i="3"/>
  <c r="P1877" i="3"/>
  <c r="Q1877" i="3"/>
  <c r="R1877" i="3"/>
  <c r="K1878" i="3"/>
  <c r="L1878" i="3"/>
  <c r="M1878" i="3"/>
  <c r="N1878" i="3"/>
  <c r="O1878" i="3"/>
  <c r="P1878" i="3"/>
  <c r="Q1878" i="3"/>
  <c r="R1878" i="3"/>
  <c r="K1879" i="3"/>
  <c r="L1879" i="3"/>
  <c r="M1879" i="3"/>
  <c r="N1879" i="3"/>
  <c r="O1879" i="3"/>
  <c r="P1879" i="3"/>
  <c r="Q1879" i="3"/>
  <c r="R1879" i="3"/>
  <c r="K1880" i="3"/>
  <c r="L1880" i="3"/>
  <c r="M1880" i="3"/>
  <c r="N1880" i="3"/>
  <c r="O1880" i="3"/>
  <c r="P1880" i="3"/>
  <c r="Q1880" i="3"/>
  <c r="R1880" i="3"/>
  <c r="K1881" i="3"/>
  <c r="L1881" i="3"/>
  <c r="M1881" i="3"/>
  <c r="N1881" i="3"/>
  <c r="O1881" i="3"/>
  <c r="P1881" i="3"/>
  <c r="Q1881" i="3"/>
  <c r="R1881" i="3"/>
  <c r="K1882" i="3"/>
  <c r="L1882" i="3"/>
  <c r="M1882" i="3"/>
  <c r="N1882" i="3"/>
  <c r="O1882" i="3"/>
  <c r="P1882" i="3"/>
  <c r="Q1882" i="3"/>
  <c r="R1882" i="3"/>
  <c r="K1883" i="3"/>
  <c r="L1883" i="3"/>
  <c r="M1883" i="3"/>
  <c r="N1883" i="3"/>
  <c r="O1883" i="3"/>
  <c r="P1883" i="3"/>
  <c r="Q1883" i="3"/>
  <c r="R1883" i="3"/>
  <c r="K1884" i="3"/>
  <c r="L1884" i="3"/>
  <c r="M1884" i="3"/>
  <c r="N1884" i="3"/>
  <c r="O1884" i="3"/>
  <c r="P1884" i="3"/>
  <c r="Q1884" i="3"/>
  <c r="R1884" i="3"/>
  <c r="K1885" i="3"/>
  <c r="L1885" i="3"/>
  <c r="M1885" i="3"/>
  <c r="N1885" i="3"/>
  <c r="O1885" i="3"/>
  <c r="P1885" i="3"/>
  <c r="Q1885" i="3"/>
  <c r="R1885" i="3"/>
  <c r="K1886" i="3"/>
  <c r="L1886" i="3"/>
  <c r="M1886" i="3"/>
  <c r="N1886" i="3"/>
  <c r="O1886" i="3"/>
  <c r="P1886" i="3"/>
  <c r="Q1886" i="3"/>
  <c r="R1886" i="3"/>
  <c r="K1887" i="3"/>
  <c r="L1887" i="3"/>
  <c r="M1887" i="3"/>
  <c r="N1887" i="3"/>
  <c r="O1887" i="3"/>
  <c r="P1887" i="3"/>
  <c r="Q1887" i="3"/>
  <c r="R1887" i="3"/>
  <c r="K1888" i="3"/>
  <c r="L1888" i="3"/>
  <c r="M1888" i="3"/>
  <c r="N1888" i="3"/>
  <c r="O1888" i="3"/>
  <c r="P1888" i="3"/>
  <c r="Q1888" i="3"/>
  <c r="R1888" i="3"/>
  <c r="K1889" i="3"/>
  <c r="L1889" i="3"/>
  <c r="M1889" i="3"/>
  <c r="N1889" i="3"/>
  <c r="O1889" i="3"/>
  <c r="P1889" i="3"/>
  <c r="Q1889" i="3"/>
  <c r="R1889" i="3"/>
  <c r="K1890" i="3"/>
  <c r="L1890" i="3"/>
  <c r="M1890" i="3"/>
  <c r="N1890" i="3"/>
  <c r="O1890" i="3"/>
  <c r="P1890" i="3"/>
  <c r="Q1890" i="3"/>
  <c r="R1890" i="3"/>
  <c r="K1891" i="3"/>
  <c r="L1891" i="3"/>
  <c r="M1891" i="3"/>
  <c r="N1891" i="3"/>
  <c r="O1891" i="3"/>
  <c r="P1891" i="3"/>
  <c r="Q1891" i="3"/>
  <c r="R1891" i="3"/>
  <c r="K1892" i="3"/>
  <c r="L1892" i="3"/>
  <c r="M1892" i="3"/>
  <c r="N1892" i="3"/>
  <c r="O1892" i="3"/>
  <c r="P1892" i="3"/>
  <c r="Q1892" i="3"/>
  <c r="R1892" i="3"/>
  <c r="K1893" i="3"/>
  <c r="L1893" i="3"/>
  <c r="M1893" i="3"/>
  <c r="N1893" i="3"/>
  <c r="O1893" i="3"/>
  <c r="P1893" i="3"/>
  <c r="Q1893" i="3"/>
  <c r="R1893" i="3"/>
  <c r="K1894" i="3"/>
  <c r="L1894" i="3"/>
  <c r="M1894" i="3"/>
  <c r="N1894" i="3"/>
  <c r="O1894" i="3"/>
  <c r="P1894" i="3"/>
  <c r="Q1894" i="3"/>
  <c r="R1894" i="3"/>
  <c r="K1895" i="3"/>
  <c r="L1895" i="3"/>
  <c r="M1895" i="3"/>
  <c r="N1895" i="3"/>
  <c r="O1895" i="3"/>
  <c r="P1895" i="3"/>
  <c r="Q1895" i="3"/>
  <c r="R1895" i="3"/>
  <c r="K1896" i="3"/>
  <c r="L1896" i="3"/>
  <c r="M1896" i="3"/>
  <c r="N1896" i="3"/>
  <c r="O1896" i="3"/>
  <c r="P1896" i="3"/>
  <c r="Q1896" i="3"/>
  <c r="R1896" i="3"/>
  <c r="K1897" i="3"/>
  <c r="L1897" i="3"/>
  <c r="M1897" i="3"/>
  <c r="N1897" i="3"/>
  <c r="O1897" i="3"/>
  <c r="P1897" i="3"/>
  <c r="Q1897" i="3"/>
  <c r="R1897" i="3"/>
  <c r="K1898" i="3"/>
  <c r="L1898" i="3"/>
  <c r="M1898" i="3"/>
  <c r="N1898" i="3"/>
  <c r="O1898" i="3"/>
  <c r="P1898" i="3"/>
  <c r="Q1898" i="3"/>
  <c r="R1898" i="3"/>
  <c r="K1899" i="3"/>
  <c r="L1899" i="3"/>
  <c r="M1899" i="3"/>
  <c r="N1899" i="3"/>
  <c r="O1899" i="3"/>
  <c r="P1899" i="3"/>
  <c r="Q1899" i="3"/>
  <c r="R1899" i="3"/>
  <c r="K1900" i="3"/>
  <c r="L1900" i="3"/>
  <c r="M1900" i="3"/>
  <c r="N1900" i="3"/>
  <c r="O1900" i="3"/>
  <c r="P1900" i="3"/>
  <c r="Q1900" i="3"/>
  <c r="R1900" i="3"/>
  <c r="K1901" i="3"/>
  <c r="L1901" i="3"/>
  <c r="M1901" i="3"/>
  <c r="N1901" i="3"/>
  <c r="O1901" i="3"/>
  <c r="P1901" i="3"/>
  <c r="Q1901" i="3"/>
  <c r="R1901" i="3"/>
  <c r="K1902" i="3"/>
  <c r="L1902" i="3"/>
  <c r="M1902" i="3"/>
  <c r="N1902" i="3"/>
  <c r="O1902" i="3"/>
  <c r="P1902" i="3"/>
  <c r="Q1902" i="3"/>
  <c r="R1902" i="3"/>
  <c r="K1903" i="3"/>
  <c r="L1903" i="3"/>
  <c r="M1903" i="3"/>
  <c r="N1903" i="3"/>
  <c r="O1903" i="3"/>
  <c r="P1903" i="3"/>
  <c r="Q1903" i="3"/>
  <c r="R1903" i="3"/>
  <c r="K1904" i="3"/>
  <c r="L1904" i="3"/>
  <c r="M1904" i="3"/>
  <c r="N1904" i="3"/>
  <c r="O1904" i="3"/>
  <c r="P1904" i="3"/>
  <c r="Q1904" i="3"/>
  <c r="R1904" i="3"/>
  <c r="K1905" i="3"/>
  <c r="L1905" i="3"/>
  <c r="M1905" i="3"/>
  <c r="N1905" i="3"/>
  <c r="O1905" i="3"/>
  <c r="P1905" i="3"/>
  <c r="Q1905" i="3"/>
  <c r="R1905" i="3"/>
  <c r="K1906" i="3"/>
  <c r="L1906" i="3"/>
  <c r="M1906" i="3"/>
  <c r="N1906" i="3"/>
  <c r="O1906" i="3"/>
  <c r="P1906" i="3"/>
  <c r="Q1906" i="3"/>
  <c r="R1906" i="3"/>
  <c r="K1907" i="3"/>
  <c r="L1907" i="3"/>
  <c r="M1907" i="3"/>
  <c r="N1907" i="3"/>
  <c r="O1907" i="3"/>
  <c r="P1907" i="3"/>
  <c r="Q1907" i="3"/>
  <c r="R1907" i="3"/>
  <c r="K1908" i="3"/>
  <c r="L1908" i="3"/>
  <c r="M1908" i="3"/>
  <c r="N1908" i="3"/>
  <c r="O1908" i="3"/>
  <c r="P1908" i="3"/>
  <c r="Q1908" i="3"/>
  <c r="R1908" i="3"/>
  <c r="K1909" i="3"/>
  <c r="L1909" i="3"/>
  <c r="M1909" i="3"/>
  <c r="N1909" i="3"/>
  <c r="O1909" i="3"/>
  <c r="P1909" i="3"/>
  <c r="Q1909" i="3"/>
  <c r="R1909" i="3"/>
  <c r="K1910" i="3"/>
  <c r="L1910" i="3"/>
  <c r="M1910" i="3"/>
  <c r="N1910" i="3"/>
  <c r="O1910" i="3"/>
  <c r="P1910" i="3"/>
  <c r="Q1910" i="3"/>
  <c r="R1910" i="3"/>
  <c r="K1911" i="3"/>
  <c r="L1911" i="3"/>
  <c r="M1911" i="3"/>
  <c r="N1911" i="3"/>
  <c r="O1911" i="3"/>
  <c r="P1911" i="3"/>
  <c r="Q1911" i="3"/>
  <c r="R1911" i="3"/>
  <c r="K1912" i="3"/>
  <c r="L1912" i="3"/>
  <c r="M1912" i="3"/>
  <c r="N1912" i="3"/>
  <c r="O1912" i="3"/>
  <c r="P1912" i="3"/>
  <c r="Q1912" i="3"/>
  <c r="R1912" i="3"/>
  <c r="K1913" i="3"/>
  <c r="L1913" i="3"/>
  <c r="M1913" i="3"/>
  <c r="N1913" i="3"/>
  <c r="O1913" i="3"/>
  <c r="P1913" i="3"/>
  <c r="Q1913" i="3"/>
  <c r="R1913" i="3"/>
  <c r="K1914" i="3"/>
  <c r="L1914" i="3"/>
  <c r="M1914" i="3"/>
  <c r="N1914" i="3"/>
  <c r="O1914" i="3"/>
  <c r="P1914" i="3"/>
  <c r="Q1914" i="3"/>
  <c r="R1914" i="3"/>
  <c r="K1915" i="3"/>
  <c r="L1915" i="3"/>
  <c r="M1915" i="3"/>
  <c r="N1915" i="3"/>
  <c r="O1915" i="3"/>
  <c r="P1915" i="3"/>
  <c r="Q1915" i="3"/>
  <c r="R1915" i="3"/>
  <c r="K1916" i="3"/>
  <c r="L1916" i="3"/>
  <c r="M1916" i="3"/>
  <c r="N1916" i="3"/>
  <c r="O1916" i="3"/>
  <c r="P1916" i="3"/>
  <c r="Q1916" i="3"/>
  <c r="R1916" i="3"/>
  <c r="K1917" i="3"/>
  <c r="L1917" i="3"/>
  <c r="M1917" i="3"/>
  <c r="N1917" i="3"/>
  <c r="O1917" i="3"/>
  <c r="P1917" i="3"/>
  <c r="Q1917" i="3"/>
  <c r="R1917" i="3"/>
  <c r="K1918" i="3"/>
  <c r="L1918" i="3"/>
  <c r="M1918" i="3"/>
  <c r="N1918" i="3"/>
  <c r="O1918" i="3"/>
  <c r="P1918" i="3"/>
  <c r="Q1918" i="3"/>
  <c r="R1918" i="3"/>
  <c r="K1919" i="3"/>
  <c r="L1919" i="3"/>
  <c r="M1919" i="3"/>
  <c r="N1919" i="3"/>
  <c r="O1919" i="3"/>
  <c r="P1919" i="3"/>
  <c r="Q1919" i="3"/>
  <c r="R1919" i="3"/>
  <c r="K1920" i="3"/>
  <c r="L1920" i="3"/>
  <c r="M1920" i="3"/>
  <c r="N1920" i="3"/>
  <c r="O1920" i="3"/>
  <c r="P1920" i="3"/>
  <c r="Q1920" i="3"/>
  <c r="R1920" i="3"/>
  <c r="K1921" i="3"/>
  <c r="L1921" i="3"/>
  <c r="M1921" i="3"/>
  <c r="N1921" i="3"/>
  <c r="O1921" i="3"/>
  <c r="P1921" i="3"/>
  <c r="Q1921" i="3"/>
  <c r="R1921" i="3"/>
  <c r="K1922" i="3"/>
  <c r="L1922" i="3"/>
  <c r="M1922" i="3"/>
  <c r="N1922" i="3"/>
  <c r="O1922" i="3"/>
  <c r="P1922" i="3"/>
  <c r="Q1922" i="3"/>
  <c r="R1922" i="3"/>
  <c r="K1923" i="3"/>
  <c r="L1923" i="3"/>
  <c r="M1923" i="3"/>
  <c r="N1923" i="3"/>
  <c r="O1923" i="3"/>
  <c r="P1923" i="3"/>
  <c r="Q1923" i="3"/>
  <c r="R1923" i="3"/>
  <c r="K1924" i="3"/>
  <c r="L1924" i="3"/>
  <c r="M1924" i="3"/>
  <c r="N1924" i="3"/>
  <c r="O1924" i="3"/>
  <c r="P1924" i="3"/>
  <c r="Q1924" i="3"/>
  <c r="R1924" i="3"/>
  <c r="K1925" i="3"/>
  <c r="L1925" i="3"/>
  <c r="M1925" i="3"/>
  <c r="N1925" i="3"/>
  <c r="O1925" i="3"/>
  <c r="P1925" i="3"/>
  <c r="Q1925" i="3"/>
  <c r="R1925" i="3"/>
  <c r="K1926" i="3"/>
  <c r="L1926" i="3"/>
  <c r="M1926" i="3"/>
  <c r="N1926" i="3"/>
  <c r="O1926" i="3"/>
  <c r="P1926" i="3"/>
  <c r="Q1926" i="3"/>
  <c r="R1926" i="3"/>
  <c r="K1927" i="3"/>
  <c r="L1927" i="3"/>
  <c r="M1927" i="3"/>
  <c r="N1927" i="3"/>
  <c r="O1927" i="3"/>
  <c r="P1927" i="3"/>
  <c r="Q1927" i="3"/>
  <c r="R1927" i="3"/>
  <c r="K1928" i="3"/>
  <c r="L1928" i="3"/>
  <c r="M1928" i="3"/>
  <c r="N1928" i="3"/>
  <c r="O1928" i="3"/>
  <c r="P1928" i="3"/>
  <c r="Q1928" i="3"/>
  <c r="R1928" i="3"/>
  <c r="K1929" i="3"/>
  <c r="L1929" i="3"/>
  <c r="M1929" i="3"/>
  <c r="N1929" i="3"/>
  <c r="O1929" i="3"/>
  <c r="P1929" i="3"/>
  <c r="Q1929" i="3"/>
  <c r="R1929" i="3"/>
  <c r="K1930" i="3"/>
  <c r="L1930" i="3"/>
  <c r="M1930" i="3"/>
  <c r="N1930" i="3"/>
  <c r="O1930" i="3"/>
  <c r="P1930" i="3"/>
  <c r="Q1930" i="3"/>
  <c r="R1930" i="3"/>
  <c r="K1931" i="3"/>
  <c r="L1931" i="3"/>
  <c r="M1931" i="3"/>
  <c r="N1931" i="3"/>
  <c r="O1931" i="3"/>
  <c r="P1931" i="3"/>
  <c r="Q1931" i="3"/>
  <c r="R1931" i="3"/>
  <c r="K1932" i="3"/>
  <c r="L1932" i="3"/>
  <c r="M1932" i="3"/>
  <c r="N1932" i="3"/>
  <c r="O1932" i="3"/>
  <c r="P1932" i="3"/>
  <c r="Q1932" i="3"/>
  <c r="R1932" i="3"/>
  <c r="K1933" i="3"/>
  <c r="L1933" i="3"/>
  <c r="M1933" i="3"/>
  <c r="N1933" i="3"/>
  <c r="O1933" i="3"/>
  <c r="P1933" i="3"/>
  <c r="Q1933" i="3"/>
  <c r="R1933" i="3"/>
  <c r="K1934" i="3"/>
  <c r="L1934" i="3"/>
  <c r="M1934" i="3"/>
  <c r="N1934" i="3"/>
  <c r="O1934" i="3"/>
  <c r="P1934" i="3"/>
  <c r="Q1934" i="3"/>
  <c r="R1934" i="3"/>
  <c r="K1935" i="3"/>
  <c r="L1935" i="3"/>
  <c r="M1935" i="3"/>
  <c r="N1935" i="3"/>
  <c r="O1935" i="3"/>
  <c r="P1935" i="3"/>
  <c r="Q1935" i="3"/>
  <c r="R1935" i="3"/>
  <c r="K1936" i="3"/>
  <c r="L1936" i="3"/>
  <c r="M1936" i="3"/>
  <c r="N1936" i="3"/>
  <c r="O1936" i="3"/>
  <c r="P1936" i="3"/>
  <c r="Q1936" i="3"/>
  <c r="R1936" i="3"/>
  <c r="K1937" i="3"/>
  <c r="L1937" i="3"/>
  <c r="M1937" i="3"/>
  <c r="N1937" i="3"/>
  <c r="O1937" i="3"/>
  <c r="P1937" i="3"/>
  <c r="Q1937" i="3"/>
  <c r="R1937" i="3"/>
  <c r="K1938" i="3"/>
  <c r="L1938" i="3"/>
  <c r="M1938" i="3"/>
  <c r="N1938" i="3"/>
  <c r="O1938" i="3"/>
  <c r="P1938" i="3"/>
  <c r="Q1938" i="3"/>
  <c r="R1938" i="3"/>
  <c r="K1939" i="3"/>
  <c r="L1939" i="3"/>
  <c r="M1939" i="3"/>
  <c r="N1939" i="3"/>
  <c r="O1939" i="3"/>
  <c r="P1939" i="3"/>
  <c r="Q1939" i="3"/>
  <c r="R1939" i="3"/>
  <c r="K1940" i="3"/>
  <c r="L1940" i="3"/>
  <c r="M1940" i="3"/>
  <c r="N1940" i="3"/>
  <c r="O1940" i="3"/>
  <c r="P1940" i="3"/>
  <c r="Q1940" i="3"/>
  <c r="R1940" i="3"/>
  <c r="K1941" i="3"/>
  <c r="L1941" i="3"/>
  <c r="M1941" i="3"/>
  <c r="N1941" i="3"/>
  <c r="O1941" i="3"/>
  <c r="P1941" i="3"/>
  <c r="Q1941" i="3"/>
  <c r="R1941" i="3"/>
  <c r="K1942" i="3"/>
  <c r="L1942" i="3"/>
  <c r="M1942" i="3"/>
  <c r="N1942" i="3"/>
  <c r="O1942" i="3"/>
  <c r="P1942" i="3"/>
  <c r="Q1942" i="3"/>
  <c r="R1942" i="3"/>
  <c r="K1943" i="3"/>
  <c r="L1943" i="3"/>
  <c r="M1943" i="3"/>
  <c r="N1943" i="3"/>
  <c r="O1943" i="3"/>
  <c r="P1943" i="3"/>
  <c r="Q1943" i="3"/>
  <c r="R1943" i="3"/>
  <c r="K1944" i="3"/>
  <c r="L1944" i="3"/>
  <c r="M1944" i="3"/>
  <c r="N1944" i="3"/>
  <c r="O1944" i="3"/>
  <c r="P1944" i="3"/>
  <c r="Q1944" i="3"/>
  <c r="R1944" i="3"/>
  <c r="K1945" i="3"/>
  <c r="L1945" i="3"/>
  <c r="M1945" i="3"/>
  <c r="N1945" i="3"/>
  <c r="O1945" i="3"/>
  <c r="P1945" i="3"/>
  <c r="Q1945" i="3"/>
  <c r="R1945" i="3"/>
  <c r="K1946" i="3"/>
  <c r="L1946" i="3"/>
  <c r="M1946" i="3"/>
  <c r="N1946" i="3"/>
  <c r="O1946" i="3"/>
  <c r="P1946" i="3"/>
  <c r="Q1946" i="3"/>
  <c r="R1946" i="3"/>
  <c r="K1947" i="3"/>
  <c r="L1947" i="3"/>
  <c r="M1947" i="3"/>
  <c r="N1947" i="3"/>
  <c r="O1947" i="3"/>
  <c r="P1947" i="3"/>
  <c r="Q1947" i="3"/>
  <c r="R1947" i="3"/>
  <c r="K1948" i="3"/>
  <c r="L1948" i="3"/>
  <c r="M1948" i="3"/>
  <c r="N1948" i="3"/>
  <c r="O1948" i="3"/>
  <c r="P1948" i="3"/>
  <c r="Q1948" i="3"/>
  <c r="R1948" i="3"/>
  <c r="K1949" i="3"/>
  <c r="L1949" i="3"/>
  <c r="M1949" i="3"/>
  <c r="N1949" i="3"/>
  <c r="O1949" i="3"/>
  <c r="P1949" i="3"/>
  <c r="Q1949" i="3"/>
  <c r="R1949" i="3"/>
  <c r="K1950" i="3"/>
  <c r="L1950" i="3"/>
  <c r="M1950" i="3"/>
  <c r="N1950" i="3"/>
  <c r="O1950" i="3"/>
  <c r="P1950" i="3"/>
  <c r="Q1950" i="3"/>
  <c r="R1950" i="3"/>
  <c r="K1951" i="3"/>
  <c r="L1951" i="3"/>
  <c r="M1951" i="3"/>
  <c r="N1951" i="3"/>
  <c r="O1951" i="3"/>
  <c r="P1951" i="3"/>
  <c r="Q1951" i="3"/>
  <c r="R1951" i="3"/>
  <c r="K1952" i="3"/>
  <c r="L1952" i="3"/>
  <c r="M1952" i="3"/>
  <c r="N1952" i="3"/>
  <c r="O1952" i="3"/>
  <c r="P1952" i="3"/>
  <c r="Q1952" i="3"/>
  <c r="R1952" i="3"/>
  <c r="K1953" i="3"/>
  <c r="L1953" i="3"/>
  <c r="M1953" i="3"/>
  <c r="N1953" i="3"/>
  <c r="O1953" i="3"/>
  <c r="P1953" i="3"/>
  <c r="Q1953" i="3"/>
  <c r="R1953" i="3"/>
  <c r="K1954" i="3"/>
  <c r="L1954" i="3"/>
  <c r="M1954" i="3"/>
  <c r="N1954" i="3"/>
  <c r="O1954" i="3"/>
  <c r="P1954" i="3"/>
  <c r="Q1954" i="3"/>
  <c r="R1954" i="3"/>
  <c r="K1955" i="3"/>
  <c r="L1955" i="3"/>
  <c r="M1955" i="3"/>
  <c r="N1955" i="3"/>
  <c r="O1955" i="3"/>
  <c r="P1955" i="3"/>
  <c r="Q1955" i="3"/>
  <c r="R1955" i="3"/>
  <c r="K1956" i="3"/>
  <c r="L1956" i="3"/>
  <c r="M1956" i="3"/>
  <c r="N1956" i="3"/>
  <c r="O1956" i="3"/>
  <c r="P1956" i="3"/>
  <c r="Q1956" i="3"/>
  <c r="R1956" i="3"/>
  <c r="K1957" i="3"/>
  <c r="L1957" i="3"/>
  <c r="M1957" i="3"/>
  <c r="N1957" i="3"/>
  <c r="O1957" i="3"/>
  <c r="P1957" i="3"/>
  <c r="Q1957" i="3"/>
  <c r="R1957" i="3"/>
  <c r="K1958" i="3"/>
  <c r="L1958" i="3"/>
  <c r="M1958" i="3"/>
  <c r="N1958" i="3"/>
  <c r="O1958" i="3"/>
  <c r="P1958" i="3"/>
  <c r="Q1958" i="3"/>
  <c r="R1958" i="3"/>
  <c r="K1959" i="3"/>
  <c r="L1959" i="3"/>
  <c r="M1959" i="3"/>
  <c r="N1959" i="3"/>
  <c r="O1959" i="3"/>
  <c r="P1959" i="3"/>
  <c r="Q1959" i="3"/>
  <c r="R1959" i="3"/>
  <c r="K1960" i="3"/>
  <c r="L1960" i="3"/>
  <c r="M1960" i="3"/>
  <c r="N1960" i="3"/>
  <c r="O1960" i="3"/>
  <c r="P1960" i="3"/>
  <c r="Q1960" i="3"/>
  <c r="R1960" i="3"/>
  <c r="K1961" i="3"/>
  <c r="L1961" i="3"/>
  <c r="M1961" i="3"/>
  <c r="N1961" i="3"/>
  <c r="O1961" i="3"/>
  <c r="P1961" i="3"/>
  <c r="Q1961" i="3"/>
  <c r="R1961" i="3"/>
  <c r="K1962" i="3"/>
  <c r="L1962" i="3"/>
  <c r="M1962" i="3"/>
  <c r="N1962" i="3"/>
  <c r="O1962" i="3"/>
  <c r="P1962" i="3"/>
  <c r="Q1962" i="3"/>
  <c r="R1962" i="3"/>
  <c r="K1963" i="3"/>
  <c r="L1963" i="3"/>
  <c r="M1963" i="3"/>
  <c r="N1963" i="3"/>
  <c r="O1963" i="3"/>
  <c r="P1963" i="3"/>
  <c r="Q1963" i="3"/>
  <c r="R1963" i="3"/>
  <c r="K1964" i="3"/>
  <c r="L1964" i="3"/>
  <c r="M1964" i="3"/>
  <c r="N1964" i="3"/>
  <c r="O1964" i="3"/>
  <c r="P1964" i="3"/>
  <c r="Q1964" i="3"/>
  <c r="R1964" i="3"/>
  <c r="K1965" i="3"/>
  <c r="L1965" i="3"/>
  <c r="M1965" i="3"/>
  <c r="N1965" i="3"/>
  <c r="O1965" i="3"/>
  <c r="P1965" i="3"/>
  <c r="Q1965" i="3"/>
  <c r="R1965" i="3"/>
  <c r="K1966" i="3"/>
  <c r="L1966" i="3"/>
  <c r="M1966" i="3"/>
  <c r="N1966" i="3"/>
  <c r="O1966" i="3"/>
  <c r="P1966" i="3"/>
  <c r="Q1966" i="3"/>
  <c r="R1966" i="3"/>
  <c r="K1967" i="3"/>
  <c r="L1967" i="3"/>
  <c r="M1967" i="3"/>
  <c r="N1967" i="3"/>
  <c r="O1967" i="3"/>
  <c r="P1967" i="3"/>
  <c r="Q1967" i="3"/>
  <c r="R1967" i="3"/>
  <c r="K1968" i="3"/>
  <c r="L1968" i="3"/>
  <c r="M1968" i="3"/>
  <c r="N1968" i="3"/>
  <c r="O1968" i="3"/>
  <c r="P1968" i="3"/>
  <c r="Q1968" i="3"/>
  <c r="R1968" i="3"/>
  <c r="K1969" i="3"/>
  <c r="L1969" i="3"/>
  <c r="M1969" i="3"/>
  <c r="N1969" i="3"/>
  <c r="O1969" i="3"/>
  <c r="P1969" i="3"/>
  <c r="Q1969" i="3"/>
  <c r="R1969" i="3"/>
  <c r="K1970" i="3"/>
  <c r="L1970" i="3"/>
  <c r="M1970" i="3"/>
  <c r="N1970" i="3"/>
  <c r="O1970" i="3"/>
  <c r="P1970" i="3"/>
  <c r="Q1970" i="3"/>
  <c r="R1970" i="3"/>
  <c r="K1971" i="3"/>
  <c r="L1971" i="3"/>
  <c r="M1971" i="3"/>
  <c r="N1971" i="3"/>
  <c r="O1971" i="3"/>
  <c r="P1971" i="3"/>
  <c r="Q1971" i="3"/>
  <c r="R1971" i="3"/>
  <c r="K1972" i="3"/>
  <c r="L1972" i="3"/>
  <c r="M1972" i="3"/>
  <c r="N1972" i="3"/>
  <c r="O1972" i="3"/>
  <c r="P1972" i="3"/>
  <c r="Q1972" i="3"/>
  <c r="R1972" i="3"/>
  <c r="K1973" i="3"/>
  <c r="L1973" i="3"/>
  <c r="M1973" i="3"/>
  <c r="N1973" i="3"/>
  <c r="O1973" i="3"/>
  <c r="P1973" i="3"/>
  <c r="Q1973" i="3"/>
  <c r="R1973" i="3"/>
  <c r="K1974" i="3"/>
  <c r="L1974" i="3"/>
  <c r="M1974" i="3"/>
  <c r="N1974" i="3"/>
  <c r="O1974" i="3"/>
  <c r="P1974" i="3"/>
  <c r="Q1974" i="3"/>
  <c r="R1974" i="3"/>
  <c r="K1975" i="3"/>
  <c r="L1975" i="3"/>
  <c r="M1975" i="3"/>
  <c r="N1975" i="3"/>
  <c r="O1975" i="3"/>
  <c r="P1975" i="3"/>
  <c r="Q1975" i="3"/>
  <c r="R1975" i="3"/>
  <c r="K1976" i="3"/>
  <c r="L1976" i="3"/>
  <c r="M1976" i="3"/>
  <c r="N1976" i="3"/>
  <c r="O1976" i="3"/>
  <c r="P1976" i="3"/>
  <c r="Q1976" i="3"/>
  <c r="R1976" i="3"/>
  <c r="K1977" i="3"/>
  <c r="L1977" i="3"/>
  <c r="M1977" i="3"/>
  <c r="N1977" i="3"/>
  <c r="O1977" i="3"/>
  <c r="P1977" i="3"/>
  <c r="Q1977" i="3"/>
  <c r="R1977" i="3"/>
  <c r="K1978" i="3"/>
  <c r="L1978" i="3"/>
  <c r="M1978" i="3"/>
  <c r="N1978" i="3"/>
  <c r="O1978" i="3"/>
  <c r="P1978" i="3"/>
  <c r="Q1978" i="3"/>
  <c r="R1978" i="3"/>
  <c r="K1979" i="3"/>
  <c r="L1979" i="3"/>
  <c r="M1979" i="3"/>
  <c r="N1979" i="3"/>
  <c r="O1979" i="3"/>
  <c r="P1979" i="3"/>
  <c r="Q1979" i="3"/>
  <c r="R1979" i="3"/>
  <c r="K1980" i="3"/>
  <c r="L1980" i="3"/>
  <c r="M1980" i="3"/>
  <c r="N1980" i="3"/>
  <c r="O1980" i="3"/>
  <c r="P1980" i="3"/>
  <c r="Q1980" i="3"/>
  <c r="R1980" i="3"/>
  <c r="K1981" i="3"/>
  <c r="L1981" i="3"/>
  <c r="M1981" i="3"/>
  <c r="N1981" i="3"/>
  <c r="O1981" i="3"/>
  <c r="P1981" i="3"/>
  <c r="Q1981" i="3"/>
  <c r="R1981" i="3"/>
  <c r="K1982" i="3"/>
  <c r="L1982" i="3"/>
  <c r="M1982" i="3"/>
  <c r="N1982" i="3"/>
  <c r="O1982" i="3"/>
  <c r="P1982" i="3"/>
  <c r="Q1982" i="3"/>
  <c r="R1982" i="3"/>
  <c r="K1983" i="3"/>
  <c r="L1983" i="3"/>
  <c r="M1983" i="3"/>
  <c r="N1983" i="3"/>
  <c r="O1983" i="3"/>
  <c r="P1983" i="3"/>
  <c r="Q1983" i="3"/>
  <c r="R1983" i="3"/>
  <c r="K1984" i="3"/>
  <c r="L1984" i="3"/>
  <c r="M1984" i="3"/>
  <c r="N1984" i="3"/>
  <c r="O1984" i="3"/>
  <c r="P1984" i="3"/>
  <c r="Q1984" i="3"/>
  <c r="R1984" i="3"/>
  <c r="K1985" i="3"/>
  <c r="L1985" i="3"/>
  <c r="M1985" i="3"/>
  <c r="N1985" i="3"/>
  <c r="O1985" i="3"/>
  <c r="P1985" i="3"/>
  <c r="Q1985" i="3"/>
  <c r="R1985" i="3"/>
  <c r="K1986" i="3"/>
  <c r="L1986" i="3"/>
  <c r="M1986" i="3"/>
  <c r="N1986" i="3"/>
  <c r="O1986" i="3"/>
  <c r="P1986" i="3"/>
  <c r="Q1986" i="3"/>
  <c r="R1986" i="3"/>
  <c r="K1987" i="3"/>
  <c r="L1987" i="3"/>
  <c r="M1987" i="3"/>
  <c r="N1987" i="3"/>
  <c r="O1987" i="3"/>
  <c r="P1987" i="3"/>
  <c r="Q1987" i="3"/>
  <c r="R1987" i="3"/>
  <c r="K1988" i="3"/>
  <c r="L1988" i="3"/>
  <c r="M1988" i="3"/>
  <c r="N1988" i="3"/>
  <c r="O1988" i="3"/>
  <c r="P1988" i="3"/>
  <c r="Q1988" i="3"/>
  <c r="R1988" i="3"/>
  <c r="K1989" i="3"/>
  <c r="L1989" i="3"/>
  <c r="M1989" i="3"/>
  <c r="N1989" i="3"/>
  <c r="O1989" i="3"/>
  <c r="P1989" i="3"/>
  <c r="Q1989" i="3"/>
  <c r="R1989" i="3"/>
  <c r="K1990" i="3"/>
  <c r="L1990" i="3"/>
  <c r="M1990" i="3"/>
  <c r="N1990" i="3"/>
  <c r="O1990" i="3"/>
  <c r="P1990" i="3"/>
  <c r="Q1990" i="3"/>
  <c r="R1990" i="3"/>
  <c r="K1991" i="3"/>
  <c r="L1991" i="3"/>
  <c r="M1991" i="3"/>
  <c r="N1991" i="3"/>
  <c r="O1991" i="3"/>
  <c r="P1991" i="3"/>
  <c r="Q1991" i="3"/>
  <c r="R1991" i="3"/>
  <c r="K1992" i="3"/>
  <c r="L1992" i="3"/>
  <c r="M1992" i="3"/>
  <c r="N1992" i="3"/>
  <c r="O1992" i="3"/>
  <c r="P1992" i="3"/>
  <c r="Q1992" i="3"/>
  <c r="R1992" i="3"/>
  <c r="K1993" i="3"/>
  <c r="L1993" i="3"/>
  <c r="M1993" i="3"/>
  <c r="N1993" i="3"/>
  <c r="O1993" i="3"/>
  <c r="P1993" i="3"/>
  <c r="Q1993" i="3"/>
  <c r="R1993" i="3"/>
  <c r="K1994" i="3"/>
  <c r="L1994" i="3"/>
  <c r="M1994" i="3"/>
  <c r="N1994" i="3"/>
  <c r="O1994" i="3"/>
  <c r="P1994" i="3"/>
  <c r="Q1994" i="3"/>
  <c r="R1994" i="3"/>
  <c r="K1995" i="3"/>
  <c r="L1995" i="3"/>
  <c r="M1995" i="3"/>
  <c r="N1995" i="3"/>
  <c r="O1995" i="3"/>
  <c r="P1995" i="3"/>
  <c r="Q1995" i="3"/>
  <c r="R1995" i="3"/>
  <c r="K1996" i="3"/>
  <c r="L1996" i="3"/>
  <c r="M1996" i="3"/>
  <c r="N1996" i="3"/>
  <c r="O1996" i="3"/>
  <c r="P1996" i="3"/>
  <c r="Q1996" i="3"/>
  <c r="R1996" i="3"/>
  <c r="K1997" i="3"/>
  <c r="L1997" i="3"/>
  <c r="M1997" i="3"/>
  <c r="N1997" i="3"/>
  <c r="O1997" i="3"/>
  <c r="P1997" i="3"/>
  <c r="Q1997" i="3"/>
  <c r="R1997" i="3"/>
  <c r="K1998" i="3"/>
  <c r="L1998" i="3"/>
  <c r="M1998" i="3"/>
  <c r="N1998" i="3"/>
  <c r="O1998" i="3"/>
  <c r="P1998" i="3"/>
  <c r="Q1998" i="3"/>
  <c r="R1998" i="3"/>
  <c r="K1999" i="3"/>
  <c r="L1999" i="3"/>
  <c r="M1999" i="3"/>
  <c r="N1999" i="3"/>
  <c r="O1999" i="3"/>
  <c r="P1999" i="3"/>
  <c r="Q1999" i="3"/>
  <c r="R1999" i="3"/>
  <c r="K2000" i="3"/>
  <c r="L2000" i="3"/>
  <c r="M2000" i="3"/>
  <c r="N2000" i="3"/>
  <c r="O2000" i="3"/>
  <c r="P2000" i="3"/>
  <c r="Q2000" i="3"/>
  <c r="R2000" i="3"/>
  <c r="K2001" i="3"/>
  <c r="L2001" i="3"/>
  <c r="M2001" i="3"/>
  <c r="N2001" i="3"/>
  <c r="O2001" i="3"/>
  <c r="P2001" i="3"/>
  <c r="Q2001" i="3"/>
  <c r="R2001" i="3"/>
  <c r="K2002" i="3"/>
  <c r="L2002" i="3"/>
  <c r="M2002" i="3"/>
  <c r="N2002" i="3"/>
  <c r="O2002" i="3"/>
  <c r="P2002" i="3"/>
  <c r="Q2002" i="3"/>
  <c r="R2002" i="3"/>
  <c r="K2003" i="3"/>
  <c r="L2003" i="3"/>
  <c r="M2003" i="3"/>
  <c r="N2003" i="3"/>
  <c r="O2003" i="3"/>
  <c r="P2003" i="3"/>
  <c r="Q2003" i="3"/>
  <c r="R2003" i="3"/>
  <c r="K2004" i="3"/>
  <c r="L2004" i="3"/>
  <c r="M2004" i="3"/>
  <c r="N2004" i="3"/>
  <c r="O2004" i="3"/>
  <c r="P2004" i="3"/>
  <c r="Q2004" i="3"/>
  <c r="R2004" i="3"/>
  <c r="K2005" i="3"/>
  <c r="L2005" i="3"/>
  <c r="M2005" i="3"/>
  <c r="N2005" i="3"/>
  <c r="O2005" i="3"/>
  <c r="P2005" i="3"/>
  <c r="Q2005" i="3"/>
  <c r="R2005" i="3"/>
  <c r="K2006" i="3"/>
  <c r="L2006" i="3"/>
  <c r="M2006" i="3"/>
  <c r="N2006" i="3"/>
  <c r="O2006" i="3"/>
  <c r="P2006" i="3"/>
  <c r="Q2006" i="3"/>
  <c r="R2006" i="3"/>
  <c r="K2007" i="3"/>
  <c r="L2007" i="3"/>
  <c r="M2007" i="3"/>
  <c r="N2007" i="3"/>
  <c r="O2007" i="3"/>
  <c r="P2007" i="3"/>
  <c r="Q2007" i="3"/>
  <c r="R2007" i="3"/>
  <c r="K2008" i="3"/>
  <c r="L2008" i="3"/>
  <c r="M2008" i="3"/>
  <c r="N2008" i="3"/>
  <c r="O2008" i="3"/>
  <c r="P2008" i="3"/>
  <c r="Q2008" i="3"/>
  <c r="R2008" i="3"/>
  <c r="K2009" i="3"/>
  <c r="L2009" i="3"/>
  <c r="M2009" i="3"/>
  <c r="N2009" i="3"/>
  <c r="O2009" i="3"/>
  <c r="P2009" i="3"/>
  <c r="Q2009" i="3"/>
  <c r="R2009" i="3"/>
  <c r="K2010" i="3"/>
  <c r="L2010" i="3"/>
  <c r="M2010" i="3"/>
  <c r="N2010" i="3"/>
  <c r="O2010" i="3"/>
  <c r="P2010" i="3"/>
  <c r="Q2010" i="3"/>
  <c r="R2010" i="3"/>
  <c r="K2011" i="3"/>
  <c r="L2011" i="3"/>
  <c r="M2011" i="3"/>
  <c r="N2011" i="3"/>
  <c r="O2011" i="3"/>
  <c r="P2011" i="3"/>
  <c r="Q2011" i="3"/>
  <c r="R2011" i="3"/>
  <c r="K2012" i="3"/>
  <c r="L2012" i="3"/>
  <c r="M2012" i="3"/>
  <c r="N2012" i="3"/>
  <c r="O2012" i="3"/>
  <c r="P2012" i="3"/>
  <c r="Q2012" i="3"/>
  <c r="R2012" i="3"/>
  <c r="K2013" i="3"/>
  <c r="L2013" i="3"/>
  <c r="M2013" i="3"/>
  <c r="N2013" i="3"/>
  <c r="O2013" i="3"/>
  <c r="P2013" i="3"/>
  <c r="Q2013" i="3"/>
  <c r="R2013" i="3"/>
  <c r="K2014" i="3"/>
  <c r="L2014" i="3"/>
  <c r="M2014" i="3"/>
  <c r="N2014" i="3"/>
  <c r="O2014" i="3"/>
  <c r="P2014" i="3"/>
  <c r="Q2014" i="3"/>
  <c r="R2014" i="3"/>
  <c r="K2015" i="3"/>
  <c r="L2015" i="3"/>
  <c r="M2015" i="3"/>
  <c r="N2015" i="3"/>
  <c r="O2015" i="3"/>
  <c r="P2015" i="3"/>
  <c r="Q2015" i="3"/>
  <c r="R2015" i="3"/>
  <c r="K2016" i="3"/>
  <c r="L2016" i="3"/>
  <c r="M2016" i="3"/>
  <c r="N2016" i="3"/>
  <c r="O2016" i="3"/>
  <c r="P2016" i="3"/>
  <c r="Q2016" i="3"/>
  <c r="R2016" i="3"/>
  <c r="K2017" i="3"/>
  <c r="L2017" i="3"/>
  <c r="M2017" i="3"/>
  <c r="N2017" i="3"/>
  <c r="O2017" i="3"/>
  <c r="P2017" i="3"/>
  <c r="Q2017" i="3"/>
  <c r="R2017" i="3"/>
  <c r="K2018" i="3"/>
  <c r="L2018" i="3"/>
  <c r="M2018" i="3"/>
  <c r="N2018" i="3"/>
  <c r="O2018" i="3"/>
  <c r="P2018" i="3"/>
  <c r="Q2018" i="3"/>
  <c r="R2018" i="3"/>
  <c r="K2019" i="3"/>
  <c r="L2019" i="3"/>
  <c r="M2019" i="3"/>
  <c r="N2019" i="3"/>
  <c r="O2019" i="3"/>
  <c r="P2019" i="3"/>
  <c r="Q2019" i="3"/>
  <c r="R2019" i="3"/>
  <c r="K2020" i="3"/>
  <c r="L2020" i="3"/>
  <c r="M2020" i="3"/>
  <c r="N2020" i="3"/>
  <c r="O2020" i="3"/>
  <c r="P2020" i="3"/>
  <c r="Q2020" i="3"/>
  <c r="R2020" i="3"/>
  <c r="K2021" i="3"/>
  <c r="L2021" i="3"/>
  <c r="M2021" i="3"/>
  <c r="N2021" i="3"/>
  <c r="O2021" i="3"/>
  <c r="P2021" i="3"/>
  <c r="Q2021" i="3"/>
  <c r="R2021" i="3"/>
  <c r="K2022" i="3"/>
  <c r="L2022" i="3"/>
  <c r="M2022" i="3"/>
  <c r="N2022" i="3"/>
  <c r="O2022" i="3"/>
  <c r="P2022" i="3"/>
  <c r="Q2022" i="3"/>
  <c r="R2022" i="3"/>
  <c r="K2023" i="3"/>
  <c r="L2023" i="3"/>
  <c r="M2023" i="3"/>
  <c r="N2023" i="3"/>
  <c r="O2023" i="3"/>
  <c r="P2023" i="3"/>
  <c r="Q2023" i="3"/>
  <c r="R2023" i="3"/>
  <c r="K2024" i="3"/>
  <c r="L2024" i="3"/>
  <c r="M2024" i="3"/>
  <c r="N2024" i="3"/>
  <c r="O2024" i="3"/>
  <c r="P2024" i="3"/>
  <c r="Q2024" i="3"/>
  <c r="R2024" i="3"/>
  <c r="K2025" i="3"/>
  <c r="L2025" i="3"/>
  <c r="M2025" i="3"/>
  <c r="N2025" i="3"/>
  <c r="O2025" i="3"/>
  <c r="P2025" i="3"/>
  <c r="Q2025" i="3"/>
  <c r="R2025" i="3"/>
  <c r="K2026" i="3"/>
  <c r="L2026" i="3"/>
  <c r="M2026" i="3"/>
  <c r="N2026" i="3"/>
  <c r="O2026" i="3"/>
  <c r="P2026" i="3"/>
  <c r="Q2026" i="3"/>
  <c r="R2026" i="3"/>
  <c r="K2027" i="3"/>
  <c r="L2027" i="3"/>
  <c r="M2027" i="3"/>
  <c r="N2027" i="3"/>
  <c r="O2027" i="3"/>
  <c r="P2027" i="3"/>
  <c r="Q2027" i="3"/>
  <c r="R2027" i="3"/>
  <c r="K2028" i="3"/>
  <c r="L2028" i="3"/>
  <c r="M2028" i="3"/>
  <c r="N2028" i="3"/>
  <c r="O2028" i="3"/>
  <c r="P2028" i="3"/>
  <c r="Q2028" i="3"/>
  <c r="R2028" i="3"/>
  <c r="K2029" i="3"/>
  <c r="L2029" i="3"/>
  <c r="M2029" i="3"/>
  <c r="N2029" i="3"/>
  <c r="O2029" i="3"/>
  <c r="P2029" i="3"/>
  <c r="Q2029" i="3"/>
  <c r="R2029" i="3"/>
  <c r="K2030" i="3"/>
  <c r="L2030" i="3"/>
  <c r="M2030" i="3"/>
  <c r="N2030" i="3"/>
  <c r="O2030" i="3"/>
  <c r="P2030" i="3"/>
  <c r="Q2030" i="3"/>
  <c r="R2030" i="3"/>
  <c r="K2031" i="3"/>
  <c r="L2031" i="3"/>
  <c r="M2031" i="3"/>
  <c r="N2031" i="3"/>
  <c r="O2031" i="3"/>
  <c r="P2031" i="3"/>
  <c r="Q2031" i="3"/>
  <c r="R2031" i="3"/>
  <c r="K2032" i="3"/>
  <c r="L2032" i="3"/>
  <c r="M2032" i="3"/>
  <c r="N2032" i="3"/>
  <c r="O2032" i="3"/>
  <c r="P2032" i="3"/>
  <c r="Q2032" i="3"/>
  <c r="R2032" i="3"/>
  <c r="K2033" i="3"/>
  <c r="L2033" i="3"/>
  <c r="M2033" i="3"/>
  <c r="N2033" i="3"/>
  <c r="O2033" i="3"/>
  <c r="P2033" i="3"/>
  <c r="Q2033" i="3"/>
  <c r="R2033" i="3"/>
  <c r="K2034" i="3"/>
  <c r="L2034" i="3"/>
  <c r="M2034" i="3"/>
  <c r="N2034" i="3"/>
  <c r="O2034" i="3"/>
  <c r="P2034" i="3"/>
  <c r="Q2034" i="3"/>
  <c r="R2034" i="3"/>
  <c r="K2035" i="3"/>
  <c r="L2035" i="3"/>
  <c r="M2035" i="3"/>
  <c r="N2035" i="3"/>
  <c r="O2035" i="3"/>
  <c r="P2035" i="3"/>
  <c r="Q2035" i="3"/>
  <c r="R2035" i="3"/>
  <c r="K2036" i="3"/>
  <c r="L2036" i="3"/>
  <c r="M2036" i="3"/>
  <c r="N2036" i="3"/>
  <c r="O2036" i="3"/>
  <c r="P2036" i="3"/>
  <c r="Q2036" i="3"/>
  <c r="R2036" i="3"/>
  <c r="K2037" i="3"/>
  <c r="L2037" i="3"/>
  <c r="M2037" i="3"/>
  <c r="N2037" i="3"/>
  <c r="O2037" i="3"/>
  <c r="P2037" i="3"/>
  <c r="Q2037" i="3"/>
  <c r="R2037" i="3"/>
  <c r="K2038" i="3"/>
  <c r="L2038" i="3"/>
  <c r="M2038" i="3"/>
  <c r="N2038" i="3"/>
  <c r="O2038" i="3"/>
  <c r="P2038" i="3"/>
  <c r="Q2038" i="3"/>
  <c r="R2038" i="3"/>
  <c r="K2039" i="3"/>
  <c r="L2039" i="3"/>
  <c r="M2039" i="3"/>
  <c r="N2039" i="3"/>
  <c r="O2039" i="3"/>
  <c r="P2039" i="3"/>
  <c r="Q2039" i="3"/>
  <c r="R2039" i="3"/>
  <c r="K2040" i="3"/>
  <c r="L2040" i="3"/>
  <c r="M2040" i="3"/>
  <c r="N2040" i="3"/>
  <c r="O2040" i="3"/>
  <c r="P2040" i="3"/>
  <c r="Q2040" i="3"/>
  <c r="R2040" i="3"/>
  <c r="K2041" i="3"/>
  <c r="L2041" i="3"/>
  <c r="M2041" i="3"/>
  <c r="N2041" i="3"/>
  <c r="O2041" i="3"/>
  <c r="P2041" i="3"/>
  <c r="Q2041" i="3"/>
  <c r="R2041" i="3"/>
  <c r="K2042" i="3"/>
  <c r="L2042" i="3"/>
  <c r="M2042" i="3"/>
  <c r="N2042" i="3"/>
  <c r="O2042" i="3"/>
  <c r="P2042" i="3"/>
  <c r="Q2042" i="3"/>
  <c r="R2042" i="3"/>
  <c r="K2043" i="3"/>
  <c r="L2043" i="3"/>
  <c r="M2043" i="3"/>
  <c r="N2043" i="3"/>
  <c r="O2043" i="3"/>
  <c r="P2043" i="3"/>
  <c r="Q2043" i="3"/>
  <c r="R2043" i="3"/>
  <c r="K2044" i="3"/>
  <c r="L2044" i="3"/>
  <c r="M2044" i="3"/>
  <c r="N2044" i="3"/>
  <c r="O2044" i="3"/>
  <c r="P2044" i="3"/>
  <c r="Q2044" i="3"/>
  <c r="R2044" i="3"/>
  <c r="K2045" i="3"/>
  <c r="L2045" i="3"/>
  <c r="M2045" i="3"/>
  <c r="N2045" i="3"/>
  <c r="O2045" i="3"/>
  <c r="P2045" i="3"/>
  <c r="Q2045" i="3"/>
  <c r="R2045" i="3"/>
  <c r="K2046" i="3"/>
  <c r="L2046" i="3"/>
  <c r="M2046" i="3"/>
  <c r="N2046" i="3"/>
  <c r="O2046" i="3"/>
  <c r="P2046" i="3"/>
  <c r="Q2046" i="3"/>
  <c r="R2046" i="3"/>
  <c r="K2047" i="3"/>
  <c r="L2047" i="3"/>
  <c r="M2047" i="3"/>
  <c r="N2047" i="3"/>
  <c r="O2047" i="3"/>
  <c r="P2047" i="3"/>
  <c r="Q2047" i="3"/>
  <c r="R2047" i="3"/>
  <c r="K2048" i="3"/>
  <c r="L2048" i="3"/>
  <c r="M2048" i="3"/>
  <c r="N2048" i="3"/>
  <c r="O2048" i="3"/>
  <c r="P2048" i="3"/>
  <c r="Q2048" i="3"/>
  <c r="R2048" i="3"/>
  <c r="K2049" i="3"/>
  <c r="L2049" i="3"/>
  <c r="M2049" i="3"/>
  <c r="N2049" i="3"/>
  <c r="O2049" i="3"/>
  <c r="P2049" i="3"/>
  <c r="Q2049" i="3"/>
  <c r="R2049" i="3"/>
  <c r="K2050" i="3"/>
  <c r="L2050" i="3"/>
  <c r="M2050" i="3"/>
  <c r="N2050" i="3"/>
  <c r="O2050" i="3"/>
  <c r="P2050" i="3"/>
  <c r="Q2050" i="3"/>
  <c r="R2050" i="3"/>
  <c r="K2051" i="3"/>
  <c r="L2051" i="3"/>
  <c r="M2051" i="3"/>
  <c r="N2051" i="3"/>
  <c r="O2051" i="3"/>
  <c r="P2051" i="3"/>
  <c r="Q2051" i="3"/>
  <c r="R2051" i="3"/>
  <c r="K2052" i="3"/>
  <c r="L2052" i="3"/>
  <c r="M2052" i="3"/>
  <c r="N2052" i="3"/>
  <c r="O2052" i="3"/>
  <c r="P2052" i="3"/>
  <c r="Q2052" i="3"/>
  <c r="R2052" i="3"/>
  <c r="K2053" i="3"/>
  <c r="L2053" i="3"/>
  <c r="M2053" i="3"/>
  <c r="N2053" i="3"/>
  <c r="O2053" i="3"/>
  <c r="P2053" i="3"/>
  <c r="Q2053" i="3"/>
  <c r="R2053" i="3"/>
  <c r="K2054" i="3"/>
  <c r="L2054" i="3"/>
  <c r="M2054" i="3"/>
  <c r="N2054" i="3"/>
  <c r="O2054" i="3"/>
  <c r="P2054" i="3"/>
  <c r="Q2054" i="3"/>
  <c r="R2054" i="3"/>
  <c r="K2055" i="3"/>
  <c r="L2055" i="3"/>
  <c r="M2055" i="3"/>
  <c r="N2055" i="3"/>
  <c r="O2055" i="3"/>
  <c r="P2055" i="3"/>
  <c r="Q2055" i="3"/>
  <c r="R2055" i="3"/>
  <c r="K2056" i="3"/>
  <c r="L2056" i="3"/>
  <c r="M2056" i="3"/>
  <c r="N2056" i="3"/>
  <c r="O2056" i="3"/>
  <c r="P2056" i="3"/>
  <c r="Q2056" i="3"/>
  <c r="R2056" i="3"/>
  <c r="K2057" i="3"/>
  <c r="L2057" i="3"/>
  <c r="M2057" i="3"/>
  <c r="N2057" i="3"/>
  <c r="O2057" i="3"/>
  <c r="P2057" i="3"/>
  <c r="Q2057" i="3"/>
  <c r="R2057" i="3"/>
  <c r="K2058" i="3"/>
  <c r="L2058" i="3"/>
  <c r="M2058" i="3"/>
  <c r="N2058" i="3"/>
  <c r="O2058" i="3"/>
  <c r="P2058" i="3"/>
  <c r="Q2058" i="3"/>
  <c r="R2058" i="3"/>
  <c r="K2059" i="3"/>
  <c r="L2059" i="3"/>
  <c r="M2059" i="3"/>
  <c r="N2059" i="3"/>
  <c r="O2059" i="3"/>
  <c r="P2059" i="3"/>
  <c r="Q2059" i="3"/>
  <c r="R2059" i="3"/>
  <c r="K2060" i="3"/>
  <c r="L2060" i="3"/>
  <c r="M2060" i="3"/>
  <c r="N2060" i="3"/>
  <c r="O2060" i="3"/>
  <c r="P2060" i="3"/>
  <c r="Q2060" i="3"/>
  <c r="R2060" i="3"/>
  <c r="K2061" i="3"/>
  <c r="L2061" i="3"/>
  <c r="M2061" i="3"/>
  <c r="N2061" i="3"/>
  <c r="O2061" i="3"/>
  <c r="P2061" i="3"/>
  <c r="Q2061" i="3"/>
  <c r="R2061" i="3"/>
  <c r="K2062" i="3"/>
  <c r="L2062" i="3"/>
  <c r="M2062" i="3"/>
  <c r="N2062" i="3"/>
  <c r="O2062" i="3"/>
  <c r="P2062" i="3"/>
  <c r="Q2062" i="3"/>
  <c r="R2062" i="3"/>
  <c r="K2063" i="3"/>
  <c r="L2063" i="3"/>
  <c r="M2063" i="3"/>
  <c r="N2063" i="3"/>
  <c r="O2063" i="3"/>
  <c r="P2063" i="3"/>
  <c r="Q2063" i="3"/>
  <c r="R2063" i="3"/>
  <c r="K2064" i="3"/>
  <c r="L2064" i="3"/>
  <c r="M2064" i="3"/>
  <c r="N2064" i="3"/>
  <c r="O2064" i="3"/>
  <c r="P2064" i="3"/>
  <c r="Q2064" i="3"/>
  <c r="R2064" i="3"/>
  <c r="K2065" i="3"/>
  <c r="L2065" i="3"/>
  <c r="M2065" i="3"/>
  <c r="N2065" i="3"/>
  <c r="O2065" i="3"/>
  <c r="P2065" i="3"/>
  <c r="Q2065" i="3"/>
  <c r="R2065" i="3"/>
  <c r="K2066" i="3"/>
  <c r="L2066" i="3"/>
  <c r="M2066" i="3"/>
  <c r="N2066" i="3"/>
  <c r="O2066" i="3"/>
  <c r="P2066" i="3"/>
  <c r="Q2066" i="3"/>
  <c r="R2066" i="3"/>
  <c r="K2067" i="3"/>
  <c r="L2067" i="3"/>
  <c r="M2067" i="3"/>
  <c r="N2067" i="3"/>
  <c r="O2067" i="3"/>
  <c r="P2067" i="3"/>
  <c r="Q2067" i="3"/>
  <c r="R2067" i="3"/>
  <c r="K2068" i="3"/>
  <c r="L2068" i="3"/>
  <c r="M2068" i="3"/>
  <c r="N2068" i="3"/>
  <c r="O2068" i="3"/>
  <c r="P2068" i="3"/>
  <c r="Q2068" i="3"/>
  <c r="R2068" i="3"/>
  <c r="K2069" i="3"/>
  <c r="L2069" i="3"/>
  <c r="M2069" i="3"/>
  <c r="N2069" i="3"/>
  <c r="O2069" i="3"/>
  <c r="P2069" i="3"/>
  <c r="Q2069" i="3"/>
  <c r="R2069" i="3"/>
  <c r="K2070" i="3"/>
  <c r="L2070" i="3"/>
  <c r="M2070" i="3"/>
  <c r="N2070" i="3"/>
  <c r="O2070" i="3"/>
  <c r="P2070" i="3"/>
  <c r="Q2070" i="3"/>
  <c r="R2070" i="3"/>
  <c r="K2071" i="3"/>
  <c r="L2071" i="3"/>
  <c r="M2071" i="3"/>
  <c r="N2071" i="3"/>
  <c r="O2071" i="3"/>
  <c r="P2071" i="3"/>
  <c r="Q2071" i="3"/>
  <c r="R2071" i="3"/>
  <c r="K2072" i="3"/>
  <c r="L2072" i="3"/>
  <c r="M2072" i="3"/>
  <c r="N2072" i="3"/>
  <c r="O2072" i="3"/>
  <c r="P2072" i="3"/>
  <c r="Q2072" i="3"/>
  <c r="R2072" i="3"/>
  <c r="K2073" i="3"/>
  <c r="L2073" i="3"/>
  <c r="M2073" i="3"/>
  <c r="N2073" i="3"/>
  <c r="O2073" i="3"/>
  <c r="P2073" i="3"/>
  <c r="Q2073" i="3"/>
  <c r="R2073" i="3"/>
  <c r="K2074" i="3"/>
  <c r="L2074" i="3"/>
  <c r="M2074" i="3"/>
  <c r="N2074" i="3"/>
  <c r="O2074" i="3"/>
  <c r="P2074" i="3"/>
  <c r="Q2074" i="3"/>
  <c r="R2074" i="3"/>
  <c r="K2075" i="3"/>
  <c r="L2075" i="3"/>
  <c r="M2075" i="3"/>
  <c r="N2075" i="3"/>
  <c r="O2075" i="3"/>
  <c r="P2075" i="3"/>
  <c r="Q2075" i="3"/>
  <c r="R2075" i="3"/>
  <c r="K2076" i="3"/>
  <c r="L2076" i="3"/>
  <c r="M2076" i="3"/>
  <c r="N2076" i="3"/>
  <c r="O2076" i="3"/>
  <c r="P2076" i="3"/>
  <c r="Q2076" i="3"/>
  <c r="R2076" i="3"/>
  <c r="K2077" i="3"/>
  <c r="L2077" i="3"/>
  <c r="M2077" i="3"/>
  <c r="N2077" i="3"/>
  <c r="O2077" i="3"/>
  <c r="P2077" i="3"/>
  <c r="Q2077" i="3"/>
  <c r="R2077" i="3"/>
  <c r="K2078" i="3"/>
  <c r="L2078" i="3"/>
  <c r="M2078" i="3"/>
  <c r="N2078" i="3"/>
  <c r="O2078" i="3"/>
  <c r="P2078" i="3"/>
  <c r="Q2078" i="3"/>
  <c r="R2078" i="3"/>
  <c r="K2079" i="3"/>
  <c r="L2079" i="3"/>
  <c r="M2079" i="3"/>
  <c r="N2079" i="3"/>
  <c r="O2079" i="3"/>
  <c r="P2079" i="3"/>
  <c r="Q2079" i="3"/>
  <c r="R2079" i="3"/>
  <c r="K2080" i="3"/>
  <c r="L2080" i="3"/>
  <c r="M2080" i="3"/>
  <c r="N2080" i="3"/>
  <c r="O2080" i="3"/>
  <c r="P2080" i="3"/>
  <c r="Q2080" i="3"/>
  <c r="R2080" i="3"/>
  <c r="K2081" i="3"/>
  <c r="L2081" i="3"/>
  <c r="M2081" i="3"/>
  <c r="N2081" i="3"/>
  <c r="O2081" i="3"/>
  <c r="P2081" i="3"/>
  <c r="Q2081" i="3"/>
  <c r="R2081" i="3"/>
  <c r="K2082" i="3"/>
  <c r="L2082" i="3"/>
  <c r="M2082" i="3"/>
  <c r="N2082" i="3"/>
  <c r="O2082" i="3"/>
  <c r="P2082" i="3"/>
  <c r="Q2082" i="3"/>
  <c r="R2082" i="3"/>
  <c r="K2083" i="3"/>
  <c r="L2083" i="3"/>
  <c r="M2083" i="3"/>
  <c r="N2083" i="3"/>
  <c r="O2083" i="3"/>
  <c r="P2083" i="3"/>
  <c r="Q2083" i="3"/>
  <c r="R2083" i="3"/>
  <c r="K2084" i="3"/>
  <c r="L2084" i="3"/>
  <c r="M2084" i="3"/>
  <c r="N2084" i="3"/>
  <c r="O2084" i="3"/>
  <c r="P2084" i="3"/>
  <c r="Q2084" i="3"/>
  <c r="R2084" i="3"/>
  <c r="K2085" i="3"/>
  <c r="L2085" i="3"/>
  <c r="M2085" i="3"/>
  <c r="N2085" i="3"/>
  <c r="O2085" i="3"/>
  <c r="P2085" i="3"/>
  <c r="Q2085" i="3"/>
  <c r="R2085" i="3"/>
  <c r="K2086" i="3"/>
  <c r="L2086" i="3"/>
  <c r="M2086" i="3"/>
  <c r="N2086" i="3"/>
  <c r="O2086" i="3"/>
  <c r="P2086" i="3"/>
  <c r="Q2086" i="3"/>
  <c r="R2086" i="3"/>
  <c r="K2087" i="3"/>
  <c r="L2087" i="3"/>
  <c r="M2087" i="3"/>
  <c r="N2087" i="3"/>
  <c r="O2087" i="3"/>
  <c r="P2087" i="3"/>
  <c r="Q2087" i="3"/>
  <c r="R2087" i="3"/>
  <c r="K2088" i="3"/>
  <c r="L2088" i="3"/>
  <c r="M2088" i="3"/>
  <c r="N2088" i="3"/>
  <c r="O2088" i="3"/>
  <c r="P2088" i="3"/>
  <c r="Q2088" i="3"/>
  <c r="R2088" i="3"/>
  <c r="K2089" i="3"/>
  <c r="L2089" i="3"/>
  <c r="M2089" i="3"/>
  <c r="N2089" i="3"/>
  <c r="O2089" i="3"/>
  <c r="P2089" i="3"/>
  <c r="Q2089" i="3"/>
  <c r="R2089" i="3"/>
  <c r="K2090" i="3"/>
  <c r="L2090" i="3"/>
  <c r="M2090" i="3"/>
  <c r="N2090" i="3"/>
  <c r="O2090" i="3"/>
  <c r="P2090" i="3"/>
  <c r="Q2090" i="3"/>
  <c r="R2090" i="3"/>
  <c r="K2091" i="3"/>
  <c r="L2091" i="3"/>
  <c r="M2091" i="3"/>
  <c r="N2091" i="3"/>
  <c r="O2091" i="3"/>
  <c r="P2091" i="3"/>
  <c r="Q2091" i="3"/>
  <c r="R2091" i="3"/>
  <c r="K2092" i="3"/>
  <c r="L2092" i="3"/>
  <c r="M2092" i="3"/>
  <c r="N2092" i="3"/>
  <c r="O2092" i="3"/>
  <c r="P2092" i="3"/>
  <c r="Q2092" i="3"/>
  <c r="R2092" i="3"/>
  <c r="K2093" i="3"/>
  <c r="L2093" i="3"/>
  <c r="M2093" i="3"/>
  <c r="N2093" i="3"/>
  <c r="O2093" i="3"/>
  <c r="P2093" i="3"/>
  <c r="Q2093" i="3"/>
  <c r="R2093" i="3"/>
  <c r="K2094" i="3"/>
  <c r="L2094" i="3"/>
  <c r="M2094" i="3"/>
  <c r="N2094" i="3"/>
  <c r="O2094" i="3"/>
  <c r="P2094" i="3"/>
  <c r="Q2094" i="3"/>
  <c r="R2094" i="3"/>
  <c r="K2095" i="3"/>
  <c r="L2095" i="3"/>
  <c r="M2095" i="3"/>
  <c r="N2095" i="3"/>
  <c r="O2095" i="3"/>
  <c r="P2095" i="3"/>
  <c r="Q2095" i="3"/>
  <c r="R2095" i="3"/>
  <c r="K2096" i="3"/>
  <c r="L2096" i="3"/>
  <c r="M2096" i="3"/>
  <c r="N2096" i="3"/>
  <c r="O2096" i="3"/>
  <c r="P2096" i="3"/>
  <c r="Q2096" i="3"/>
  <c r="R2096" i="3"/>
  <c r="K2097" i="3"/>
  <c r="L2097" i="3"/>
  <c r="M2097" i="3"/>
  <c r="N2097" i="3"/>
  <c r="O2097" i="3"/>
  <c r="P2097" i="3"/>
  <c r="Q2097" i="3"/>
  <c r="R2097" i="3"/>
  <c r="K2098" i="3"/>
  <c r="L2098" i="3"/>
  <c r="M2098" i="3"/>
  <c r="N2098" i="3"/>
  <c r="O2098" i="3"/>
  <c r="P2098" i="3"/>
  <c r="Q2098" i="3"/>
  <c r="R2098" i="3"/>
  <c r="K2099" i="3"/>
  <c r="L2099" i="3"/>
  <c r="M2099" i="3"/>
  <c r="N2099" i="3"/>
  <c r="O2099" i="3"/>
  <c r="P2099" i="3"/>
  <c r="Q2099" i="3"/>
  <c r="R2099" i="3"/>
  <c r="K2100" i="3"/>
  <c r="L2100" i="3"/>
  <c r="M2100" i="3"/>
  <c r="N2100" i="3"/>
  <c r="O2100" i="3"/>
  <c r="P2100" i="3"/>
  <c r="Q2100" i="3"/>
  <c r="R2100" i="3"/>
  <c r="K2101" i="3"/>
  <c r="L2101" i="3"/>
  <c r="M2101" i="3"/>
  <c r="N2101" i="3"/>
  <c r="O2101" i="3"/>
  <c r="P2101" i="3"/>
  <c r="Q2101" i="3"/>
  <c r="R2101" i="3"/>
  <c r="K2102" i="3"/>
  <c r="L2102" i="3"/>
  <c r="M2102" i="3"/>
  <c r="N2102" i="3"/>
  <c r="O2102" i="3"/>
  <c r="P2102" i="3"/>
  <c r="Q2102" i="3"/>
  <c r="R2102" i="3"/>
  <c r="K2103" i="3"/>
  <c r="L2103" i="3"/>
  <c r="M2103" i="3"/>
  <c r="N2103" i="3"/>
  <c r="O2103" i="3"/>
  <c r="P2103" i="3"/>
  <c r="Q2103" i="3"/>
  <c r="R2103" i="3"/>
  <c r="K2104" i="3"/>
  <c r="L2104" i="3"/>
  <c r="M2104" i="3"/>
  <c r="N2104" i="3"/>
  <c r="O2104" i="3"/>
  <c r="P2104" i="3"/>
  <c r="Q2104" i="3"/>
  <c r="R2104" i="3"/>
  <c r="K2105" i="3"/>
  <c r="L2105" i="3"/>
  <c r="M2105" i="3"/>
  <c r="N2105" i="3"/>
  <c r="O2105" i="3"/>
  <c r="P2105" i="3"/>
  <c r="Q2105" i="3"/>
  <c r="R2105" i="3"/>
  <c r="K2106" i="3"/>
  <c r="L2106" i="3"/>
  <c r="M2106" i="3"/>
  <c r="N2106" i="3"/>
  <c r="O2106" i="3"/>
  <c r="P2106" i="3"/>
  <c r="Q2106" i="3"/>
  <c r="R2106" i="3"/>
  <c r="K2107" i="3"/>
  <c r="L2107" i="3"/>
  <c r="M2107" i="3"/>
  <c r="N2107" i="3"/>
  <c r="O2107" i="3"/>
  <c r="P2107" i="3"/>
  <c r="Q2107" i="3"/>
  <c r="R2107" i="3"/>
  <c r="K2108" i="3"/>
  <c r="L2108" i="3"/>
  <c r="M2108" i="3"/>
  <c r="N2108" i="3"/>
  <c r="O2108" i="3"/>
  <c r="P2108" i="3"/>
  <c r="Q2108" i="3"/>
  <c r="R2108" i="3"/>
  <c r="K2109" i="3"/>
  <c r="L2109" i="3"/>
  <c r="M2109" i="3"/>
  <c r="N2109" i="3"/>
  <c r="O2109" i="3"/>
  <c r="P2109" i="3"/>
  <c r="Q2109" i="3"/>
  <c r="R2109" i="3"/>
  <c r="K2110" i="3"/>
  <c r="L2110" i="3"/>
  <c r="M2110" i="3"/>
  <c r="N2110" i="3"/>
  <c r="O2110" i="3"/>
  <c r="P2110" i="3"/>
  <c r="Q2110" i="3"/>
  <c r="R2110" i="3"/>
  <c r="K2111" i="3"/>
  <c r="L2111" i="3"/>
  <c r="M2111" i="3"/>
  <c r="N2111" i="3"/>
  <c r="O2111" i="3"/>
  <c r="P2111" i="3"/>
  <c r="Q2111" i="3"/>
  <c r="R2111" i="3"/>
  <c r="K2112" i="3"/>
  <c r="L2112" i="3"/>
  <c r="M2112" i="3"/>
  <c r="N2112" i="3"/>
  <c r="O2112" i="3"/>
  <c r="P2112" i="3"/>
  <c r="Q2112" i="3"/>
  <c r="R2112" i="3"/>
  <c r="K2113" i="3"/>
  <c r="L2113" i="3"/>
  <c r="M2113" i="3"/>
  <c r="N2113" i="3"/>
  <c r="O2113" i="3"/>
  <c r="P2113" i="3"/>
  <c r="Q2113" i="3"/>
  <c r="R2113" i="3"/>
  <c r="K2114" i="3"/>
  <c r="L2114" i="3"/>
  <c r="M2114" i="3"/>
  <c r="N2114" i="3"/>
  <c r="O2114" i="3"/>
  <c r="P2114" i="3"/>
  <c r="Q2114" i="3"/>
  <c r="R2114" i="3"/>
  <c r="K2115" i="3"/>
  <c r="L2115" i="3"/>
  <c r="M2115" i="3"/>
  <c r="N2115" i="3"/>
  <c r="O2115" i="3"/>
  <c r="P2115" i="3"/>
  <c r="Q2115" i="3"/>
  <c r="R2115" i="3"/>
  <c r="K2116" i="3"/>
  <c r="L2116" i="3"/>
  <c r="M2116" i="3"/>
  <c r="N2116" i="3"/>
  <c r="O2116" i="3"/>
  <c r="P2116" i="3"/>
  <c r="Q2116" i="3"/>
  <c r="R2116" i="3"/>
  <c r="K2117" i="3"/>
  <c r="L2117" i="3"/>
  <c r="M2117" i="3"/>
  <c r="N2117" i="3"/>
  <c r="O2117" i="3"/>
  <c r="P2117" i="3"/>
  <c r="Q2117" i="3"/>
  <c r="R2117" i="3"/>
  <c r="K2118" i="3"/>
  <c r="L2118" i="3"/>
  <c r="M2118" i="3"/>
  <c r="N2118" i="3"/>
  <c r="O2118" i="3"/>
  <c r="P2118" i="3"/>
  <c r="Q2118" i="3"/>
  <c r="R2118" i="3"/>
  <c r="K2119" i="3"/>
  <c r="L2119" i="3"/>
  <c r="M2119" i="3"/>
  <c r="N2119" i="3"/>
  <c r="O2119" i="3"/>
  <c r="P2119" i="3"/>
  <c r="Q2119" i="3"/>
  <c r="R2119" i="3"/>
  <c r="K2120" i="3"/>
  <c r="L2120" i="3"/>
  <c r="M2120" i="3"/>
  <c r="N2120" i="3"/>
  <c r="O2120" i="3"/>
  <c r="P2120" i="3"/>
  <c r="Q2120" i="3"/>
  <c r="R2120" i="3"/>
  <c r="K2121" i="3"/>
  <c r="L2121" i="3"/>
  <c r="M2121" i="3"/>
  <c r="N2121" i="3"/>
  <c r="O2121" i="3"/>
  <c r="P2121" i="3"/>
  <c r="Q2121" i="3"/>
  <c r="R2121" i="3"/>
  <c r="K2122" i="3"/>
  <c r="L2122" i="3"/>
  <c r="M2122" i="3"/>
  <c r="N2122" i="3"/>
  <c r="O2122" i="3"/>
  <c r="P2122" i="3"/>
  <c r="Q2122" i="3"/>
  <c r="R2122" i="3"/>
  <c r="K2123" i="3"/>
  <c r="L2123" i="3"/>
  <c r="M2123" i="3"/>
  <c r="N2123" i="3"/>
  <c r="O2123" i="3"/>
  <c r="P2123" i="3"/>
  <c r="Q2123" i="3"/>
  <c r="R2123" i="3"/>
  <c r="K2124" i="3"/>
  <c r="L2124" i="3"/>
  <c r="M2124" i="3"/>
  <c r="N2124" i="3"/>
  <c r="O2124" i="3"/>
  <c r="P2124" i="3"/>
  <c r="Q2124" i="3"/>
  <c r="R2124" i="3"/>
  <c r="K2125" i="3"/>
  <c r="L2125" i="3"/>
  <c r="M2125" i="3"/>
  <c r="N2125" i="3"/>
  <c r="O2125" i="3"/>
  <c r="P2125" i="3"/>
  <c r="Q2125" i="3"/>
  <c r="R2125" i="3"/>
  <c r="K2126" i="3"/>
  <c r="L2126" i="3"/>
  <c r="M2126" i="3"/>
  <c r="N2126" i="3"/>
  <c r="O2126" i="3"/>
  <c r="P2126" i="3"/>
  <c r="Q2126" i="3"/>
  <c r="R2126" i="3"/>
  <c r="K2127" i="3"/>
  <c r="L2127" i="3"/>
  <c r="M2127" i="3"/>
  <c r="N2127" i="3"/>
  <c r="O2127" i="3"/>
  <c r="P2127" i="3"/>
  <c r="Q2127" i="3"/>
  <c r="R2127" i="3"/>
  <c r="K2128" i="3"/>
  <c r="L2128" i="3"/>
  <c r="M2128" i="3"/>
  <c r="N2128" i="3"/>
  <c r="O2128" i="3"/>
  <c r="P2128" i="3"/>
  <c r="Q2128" i="3"/>
  <c r="R2128" i="3"/>
  <c r="K2129" i="3"/>
  <c r="L2129" i="3"/>
  <c r="M2129" i="3"/>
  <c r="N2129" i="3"/>
  <c r="O2129" i="3"/>
  <c r="P2129" i="3"/>
  <c r="Q2129" i="3"/>
  <c r="R2129" i="3"/>
  <c r="K2130" i="3"/>
  <c r="L2130" i="3"/>
  <c r="M2130" i="3"/>
  <c r="N2130" i="3"/>
  <c r="O2130" i="3"/>
  <c r="P2130" i="3"/>
  <c r="Q2130" i="3"/>
  <c r="R2130" i="3"/>
  <c r="K2131" i="3"/>
  <c r="L2131" i="3"/>
  <c r="M2131" i="3"/>
  <c r="N2131" i="3"/>
  <c r="O2131" i="3"/>
  <c r="P2131" i="3"/>
  <c r="Q2131" i="3"/>
  <c r="R2131" i="3"/>
  <c r="K2132" i="3"/>
  <c r="L2132" i="3"/>
  <c r="M2132" i="3"/>
  <c r="N2132" i="3"/>
  <c r="O2132" i="3"/>
  <c r="P2132" i="3"/>
  <c r="Q2132" i="3"/>
  <c r="R2132" i="3"/>
  <c r="K2133" i="3"/>
  <c r="L2133" i="3"/>
  <c r="M2133" i="3"/>
  <c r="N2133" i="3"/>
  <c r="O2133" i="3"/>
  <c r="P2133" i="3"/>
  <c r="Q2133" i="3"/>
  <c r="R2133" i="3"/>
  <c r="K2134" i="3"/>
  <c r="L2134" i="3"/>
  <c r="M2134" i="3"/>
  <c r="N2134" i="3"/>
  <c r="O2134" i="3"/>
  <c r="P2134" i="3"/>
  <c r="Q2134" i="3"/>
  <c r="R2134" i="3"/>
  <c r="K2135" i="3"/>
  <c r="L2135" i="3"/>
  <c r="M2135" i="3"/>
  <c r="N2135" i="3"/>
  <c r="O2135" i="3"/>
  <c r="P2135" i="3"/>
  <c r="Q2135" i="3"/>
  <c r="R2135" i="3"/>
  <c r="K2136" i="3"/>
  <c r="L2136" i="3"/>
  <c r="M2136" i="3"/>
  <c r="N2136" i="3"/>
  <c r="O2136" i="3"/>
  <c r="P2136" i="3"/>
  <c r="Q2136" i="3"/>
  <c r="R2136" i="3"/>
  <c r="K2137" i="3"/>
  <c r="L2137" i="3"/>
  <c r="M2137" i="3"/>
  <c r="N2137" i="3"/>
  <c r="O2137" i="3"/>
  <c r="P2137" i="3"/>
  <c r="Q2137" i="3"/>
  <c r="R2137" i="3"/>
  <c r="K2138" i="3"/>
  <c r="L2138" i="3"/>
  <c r="M2138" i="3"/>
  <c r="N2138" i="3"/>
  <c r="O2138" i="3"/>
  <c r="P2138" i="3"/>
  <c r="Q2138" i="3"/>
  <c r="R2138" i="3"/>
  <c r="K2139" i="3"/>
  <c r="L2139" i="3"/>
  <c r="M2139" i="3"/>
  <c r="N2139" i="3"/>
  <c r="O2139" i="3"/>
  <c r="P2139" i="3"/>
  <c r="Q2139" i="3"/>
  <c r="R2139" i="3"/>
  <c r="K2140" i="3"/>
  <c r="L2140" i="3"/>
  <c r="M2140" i="3"/>
  <c r="N2140" i="3"/>
  <c r="O2140" i="3"/>
  <c r="P2140" i="3"/>
  <c r="Q2140" i="3"/>
  <c r="R2140" i="3"/>
  <c r="K2141" i="3"/>
  <c r="L2141" i="3"/>
  <c r="M2141" i="3"/>
  <c r="N2141" i="3"/>
  <c r="O2141" i="3"/>
  <c r="P2141" i="3"/>
  <c r="Q2141" i="3"/>
  <c r="R2141" i="3"/>
  <c r="K2142" i="3"/>
  <c r="L2142" i="3"/>
  <c r="M2142" i="3"/>
  <c r="N2142" i="3"/>
  <c r="O2142" i="3"/>
  <c r="P2142" i="3"/>
  <c r="Q2142" i="3"/>
  <c r="R2142" i="3"/>
  <c r="K2143" i="3"/>
  <c r="L2143" i="3"/>
  <c r="M2143" i="3"/>
  <c r="N2143" i="3"/>
  <c r="O2143" i="3"/>
  <c r="P2143" i="3"/>
  <c r="Q2143" i="3"/>
  <c r="R2143" i="3"/>
  <c r="K2144" i="3"/>
  <c r="L2144" i="3"/>
  <c r="M2144" i="3"/>
  <c r="N2144" i="3"/>
  <c r="O2144" i="3"/>
  <c r="P2144" i="3"/>
  <c r="Q2144" i="3"/>
  <c r="R2144" i="3"/>
  <c r="K2145" i="3"/>
  <c r="L2145" i="3"/>
  <c r="M2145" i="3"/>
  <c r="N2145" i="3"/>
  <c r="O2145" i="3"/>
  <c r="P2145" i="3"/>
  <c r="Q2145" i="3"/>
  <c r="R2145" i="3"/>
  <c r="K2146" i="3"/>
  <c r="L2146" i="3"/>
  <c r="M2146" i="3"/>
  <c r="N2146" i="3"/>
  <c r="O2146" i="3"/>
  <c r="P2146" i="3"/>
  <c r="Q2146" i="3"/>
  <c r="R2146" i="3"/>
  <c r="K2147" i="3"/>
  <c r="L2147" i="3"/>
  <c r="M2147" i="3"/>
  <c r="N2147" i="3"/>
  <c r="O2147" i="3"/>
  <c r="P2147" i="3"/>
  <c r="Q2147" i="3"/>
  <c r="R2147" i="3"/>
  <c r="K2148" i="3"/>
  <c r="L2148" i="3"/>
  <c r="M2148" i="3"/>
  <c r="N2148" i="3"/>
  <c r="O2148" i="3"/>
  <c r="P2148" i="3"/>
  <c r="Q2148" i="3"/>
  <c r="R2148" i="3"/>
  <c r="K2149" i="3"/>
  <c r="L2149" i="3"/>
  <c r="M2149" i="3"/>
  <c r="N2149" i="3"/>
  <c r="O2149" i="3"/>
  <c r="P2149" i="3"/>
  <c r="Q2149" i="3"/>
  <c r="R2149" i="3"/>
  <c r="K2150" i="3"/>
  <c r="L2150" i="3"/>
  <c r="M2150" i="3"/>
  <c r="N2150" i="3"/>
  <c r="O2150" i="3"/>
  <c r="P2150" i="3"/>
  <c r="Q2150" i="3"/>
  <c r="R2150" i="3"/>
  <c r="K2151" i="3"/>
  <c r="L2151" i="3"/>
  <c r="M2151" i="3"/>
  <c r="N2151" i="3"/>
  <c r="O2151" i="3"/>
  <c r="P2151" i="3"/>
  <c r="Q2151" i="3"/>
  <c r="R2151" i="3"/>
  <c r="K2152" i="3"/>
  <c r="L2152" i="3"/>
  <c r="M2152" i="3"/>
  <c r="N2152" i="3"/>
  <c r="O2152" i="3"/>
  <c r="P2152" i="3"/>
  <c r="Q2152" i="3"/>
  <c r="R2152" i="3"/>
  <c r="K2153" i="3"/>
  <c r="L2153" i="3"/>
  <c r="M2153" i="3"/>
  <c r="N2153" i="3"/>
  <c r="O2153" i="3"/>
  <c r="P2153" i="3"/>
  <c r="Q2153" i="3"/>
  <c r="R2153" i="3"/>
  <c r="K2154" i="3"/>
  <c r="L2154" i="3"/>
  <c r="M2154" i="3"/>
  <c r="N2154" i="3"/>
  <c r="O2154" i="3"/>
  <c r="P2154" i="3"/>
  <c r="Q2154" i="3"/>
  <c r="R2154" i="3"/>
  <c r="K2155" i="3"/>
  <c r="L2155" i="3"/>
  <c r="M2155" i="3"/>
  <c r="N2155" i="3"/>
  <c r="O2155" i="3"/>
  <c r="P2155" i="3"/>
  <c r="Q2155" i="3"/>
  <c r="R2155" i="3"/>
  <c r="K2156" i="3"/>
  <c r="L2156" i="3"/>
  <c r="M2156" i="3"/>
  <c r="N2156" i="3"/>
  <c r="O2156" i="3"/>
  <c r="P2156" i="3"/>
  <c r="Q2156" i="3"/>
  <c r="R2156" i="3"/>
  <c r="K2157" i="3"/>
  <c r="L2157" i="3"/>
  <c r="M2157" i="3"/>
  <c r="N2157" i="3"/>
  <c r="O2157" i="3"/>
  <c r="P2157" i="3"/>
  <c r="Q2157" i="3"/>
  <c r="R2157" i="3"/>
  <c r="K2158" i="3"/>
  <c r="L2158" i="3"/>
  <c r="M2158" i="3"/>
  <c r="N2158" i="3"/>
  <c r="O2158" i="3"/>
  <c r="P2158" i="3"/>
  <c r="Q2158" i="3"/>
  <c r="R2158" i="3"/>
  <c r="K2159" i="3"/>
  <c r="L2159" i="3"/>
  <c r="M2159" i="3"/>
  <c r="N2159" i="3"/>
  <c r="O2159" i="3"/>
  <c r="P2159" i="3"/>
  <c r="Q2159" i="3"/>
  <c r="R2159" i="3"/>
  <c r="K2160" i="3"/>
  <c r="L2160" i="3"/>
  <c r="M2160" i="3"/>
  <c r="N2160" i="3"/>
  <c r="O2160" i="3"/>
  <c r="P2160" i="3"/>
  <c r="Q2160" i="3"/>
  <c r="R2160" i="3"/>
  <c r="K2161" i="3"/>
  <c r="L2161" i="3"/>
  <c r="M2161" i="3"/>
  <c r="N2161" i="3"/>
  <c r="O2161" i="3"/>
  <c r="P2161" i="3"/>
  <c r="Q2161" i="3"/>
  <c r="R2161" i="3"/>
  <c r="K2162" i="3"/>
  <c r="L2162" i="3"/>
  <c r="M2162" i="3"/>
  <c r="N2162" i="3"/>
  <c r="O2162" i="3"/>
  <c r="P2162" i="3"/>
  <c r="Q2162" i="3"/>
  <c r="R2162" i="3"/>
  <c r="K2163" i="3"/>
  <c r="L2163" i="3"/>
  <c r="M2163" i="3"/>
  <c r="N2163" i="3"/>
  <c r="O2163" i="3"/>
  <c r="P2163" i="3"/>
  <c r="Q2163" i="3"/>
  <c r="R2163" i="3"/>
  <c r="K2164" i="3"/>
  <c r="L2164" i="3"/>
  <c r="M2164" i="3"/>
  <c r="N2164" i="3"/>
  <c r="O2164" i="3"/>
  <c r="P2164" i="3"/>
  <c r="Q2164" i="3"/>
  <c r="R2164" i="3"/>
  <c r="K2165" i="3"/>
  <c r="L2165" i="3"/>
  <c r="M2165" i="3"/>
  <c r="N2165" i="3"/>
  <c r="O2165" i="3"/>
  <c r="P2165" i="3"/>
  <c r="Q2165" i="3"/>
  <c r="R2165" i="3"/>
  <c r="K2166" i="3"/>
  <c r="L2166" i="3"/>
  <c r="M2166" i="3"/>
  <c r="N2166" i="3"/>
  <c r="O2166" i="3"/>
  <c r="P2166" i="3"/>
  <c r="Q2166" i="3"/>
  <c r="R2166" i="3"/>
  <c r="K2167" i="3"/>
  <c r="L2167" i="3"/>
  <c r="M2167" i="3"/>
  <c r="N2167" i="3"/>
  <c r="O2167" i="3"/>
  <c r="P2167" i="3"/>
  <c r="Q2167" i="3"/>
  <c r="R2167" i="3"/>
  <c r="K2168" i="3"/>
  <c r="L2168" i="3"/>
  <c r="M2168" i="3"/>
  <c r="N2168" i="3"/>
  <c r="O2168" i="3"/>
  <c r="P2168" i="3"/>
  <c r="Q2168" i="3"/>
  <c r="R2168" i="3"/>
  <c r="K2169" i="3"/>
  <c r="L2169" i="3"/>
  <c r="M2169" i="3"/>
  <c r="N2169" i="3"/>
  <c r="O2169" i="3"/>
  <c r="P2169" i="3"/>
  <c r="Q2169" i="3"/>
  <c r="R2169" i="3"/>
  <c r="K2170" i="3"/>
  <c r="L2170" i="3"/>
  <c r="M2170" i="3"/>
  <c r="N2170" i="3"/>
  <c r="O2170" i="3"/>
  <c r="P2170" i="3"/>
  <c r="Q2170" i="3"/>
  <c r="R2170" i="3"/>
  <c r="K2171" i="3"/>
  <c r="L2171" i="3"/>
  <c r="M2171" i="3"/>
  <c r="N2171" i="3"/>
  <c r="O2171" i="3"/>
  <c r="P2171" i="3"/>
  <c r="Q2171" i="3"/>
  <c r="R2171" i="3"/>
  <c r="K2172" i="3"/>
  <c r="L2172" i="3"/>
  <c r="M2172" i="3"/>
  <c r="N2172" i="3"/>
  <c r="O2172" i="3"/>
  <c r="P2172" i="3"/>
  <c r="Q2172" i="3"/>
  <c r="R2172" i="3"/>
  <c r="K2173" i="3"/>
  <c r="L2173" i="3"/>
  <c r="M2173" i="3"/>
  <c r="N2173" i="3"/>
  <c r="O2173" i="3"/>
  <c r="P2173" i="3"/>
  <c r="Q2173" i="3"/>
  <c r="R2173" i="3"/>
  <c r="K2174" i="3"/>
  <c r="L2174" i="3"/>
  <c r="M2174" i="3"/>
  <c r="N2174" i="3"/>
  <c r="O2174" i="3"/>
  <c r="P2174" i="3"/>
  <c r="Q2174" i="3"/>
  <c r="R2174" i="3"/>
  <c r="K2175" i="3"/>
  <c r="L2175" i="3"/>
  <c r="M2175" i="3"/>
  <c r="N2175" i="3"/>
  <c r="O2175" i="3"/>
  <c r="P2175" i="3"/>
  <c r="Q2175" i="3"/>
  <c r="R2175" i="3"/>
  <c r="K2176" i="3"/>
  <c r="L2176" i="3"/>
  <c r="M2176" i="3"/>
  <c r="N2176" i="3"/>
  <c r="O2176" i="3"/>
  <c r="P2176" i="3"/>
  <c r="Q2176" i="3"/>
  <c r="R2176" i="3"/>
  <c r="K2177" i="3"/>
  <c r="L2177" i="3"/>
  <c r="M2177" i="3"/>
  <c r="N2177" i="3"/>
  <c r="O2177" i="3"/>
  <c r="P2177" i="3"/>
  <c r="Q2177" i="3"/>
  <c r="R2177" i="3"/>
  <c r="K2178" i="3"/>
  <c r="L2178" i="3"/>
  <c r="M2178" i="3"/>
  <c r="N2178" i="3"/>
  <c r="O2178" i="3"/>
  <c r="P2178" i="3"/>
  <c r="Q2178" i="3"/>
  <c r="R2178" i="3"/>
  <c r="K2179" i="3"/>
  <c r="L2179" i="3"/>
  <c r="M2179" i="3"/>
  <c r="N2179" i="3"/>
  <c r="O2179" i="3"/>
  <c r="P2179" i="3"/>
  <c r="Q2179" i="3"/>
  <c r="R2179" i="3"/>
  <c r="K2180" i="3"/>
  <c r="L2180" i="3"/>
  <c r="M2180" i="3"/>
  <c r="N2180" i="3"/>
  <c r="O2180" i="3"/>
  <c r="P2180" i="3"/>
  <c r="Q2180" i="3"/>
  <c r="R2180" i="3"/>
  <c r="K2181" i="3"/>
  <c r="L2181" i="3"/>
  <c r="M2181" i="3"/>
  <c r="N2181" i="3"/>
  <c r="O2181" i="3"/>
  <c r="P2181" i="3"/>
  <c r="Q2181" i="3"/>
  <c r="R2181" i="3"/>
  <c r="K2182" i="3"/>
  <c r="L2182" i="3"/>
  <c r="M2182" i="3"/>
  <c r="N2182" i="3"/>
  <c r="O2182" i="3"/>
  <c r="P2182" i="3"/>
  <c r="Q2182" i="3"/>
  <c r="R2182" i="3"/>
  <c r="K2183" i="3"/>
  <c r="L2183" i="3"/>
  <c r="M2183" i="3"/>
  <c r="N2183" i="3"/>
  <c r="O2183" i="3"/>
  <c r="P2183" i="3"/>
  <c r="Q2183" i="3"/>
  <c r="R2183" i="3"/>
  <c r="K2184" i="3"/>
  <c r="L2184" i="3"/>
  <c r="M2184" i="3"/>
  <c r="N2184" i="3"/>
  <c r="O2184" i="3"/>
  <c r="P2184" i="3"/>
  <c r="Q2184" i="3"/>
  <c r="R2184" i="3"/>
  <c r="K2185" i="3"/>
  <c r="L2185" i="3"/>
  <c r="M2185" i="3"/>
  <c r="N2185" i="3"/>
  <c r="O2185" i="3"/>
  <c r="P2185" i="3"/>
  <c r="Q2185" i="3"/>
  <c r="R2185" i="3"/>
  <c r="K2186" i="3"/>
  <c r="L2186" i="3"/>
  <c r="M2186" i="3"/>
  <c r="N2186" i="3"/>
  <c r="O2186" i="3"/>
  <c r="P2186" i="3"/>
  <c r="Q2186" i="3"/>
  <c r="R2186" i="3"/>
  <c r="K2187" i="3"/>
  <c r="L2187" i="3"/>
  <c r="M2187" i="3"/>
  <c r="N2187" i="3"/>
  <c r="O2187" i="3"/>
  <c r="P2187" i="3"/>
  <c r="Q2187" i="3"/>
  <c r="R2187" i="3"/>
  <c r="K2188" i="3"/>
  <c r="L2188" i="3"/>
  <c r="M2188" i="3"/>
  <c r="N2188" i="3"/>
  <c r="O2188" i="3"/>
  <c r="P2188" i="3"/>
  <c r="Q2188" i="3"/>
  <c r="R2188" i="3"/>
  <c r="K2189" i="3"/>
  <c r="L2189" i="3"/>
  <c r="M2189" i="3"/>
  <c r="N2189" i="3"/>
  <c r="O2189" i="3"/>
  <c r="P2189" i="3"/>
  <c r="Q2189" i="3"/>
  <c r="R2189" i="3"/>
  <c r="K2190" i="3"/>
  <c r="L2190" i="3"/>
  <c r="M2190" i="3"/>
  <c r="N2190" i="3"/>
  <c r="O2190" i="3"/>
  <c r="P2190" i="3"/>
  <c r="Q2190" i="3"/>
  <c r="R2190" i="3"/>
  <c r="K2191" i="3"/>
  <c r="L2191" i="3"/>
  <c r="M2191" i="3"/>
  <c r="N2191" i="3"/>
  <c r="O2191" i="3"/>
  <c r="P2191" i="3"/>
  <c r="Q2191" i="3"/>
  <c r="R2191" i="3"/>
  <c r="K2192" i="3"/>
  <c r="L2192" i="3"/>
  <c r="M2192" i="3"/>
  <c r="N2192" i="3"/>
  <c r="O2192" i="3"/>
  <c r="P2192" i="3"/>
  <c r="Q2192" i="3"/>
  <c r="R2192" i="3"/>
  <c r="K2193" i="3"/>
  <c r="L2193" i="3"/>
  <c r="M2193" i="3"/>
  <c r="N2193" i="3"/>
  <c r="O2193" i="3"/>
  <c r="P2193" i="3"/>
  <c r="Q2193" i="3"/>
  <c r="R2193" i="3"/>
  <c r="K2194" i="3"/>
  <c r="L2194" i="3"/>
  <c r="M2194" i="3"/>
  <c r="N2194" i="3"/>
  <c r="O2194" i="3"/>
  <c r="P2194" i="3"/>
  <c r="Q2194" i="3"/>
  <c r="R2194" i="3"/>
  <c r="K2195" i="3"/>
  <c r="L2195" i="3"/>
  <c r="M2195" i="3"/>
  <c r="N2195" i="3"/>
  <c r="O2195" i="3"/>
  <c r="P2195" i="3"/>
  <c r="Q2195" i="3"/>
  <c r="R2195" i="3"/>
  <c r="K2196" i="3"/>
  <c r="L2196" i="3"/>
  <c r="M2196" i="3"/>
  <c r="N2196" i="3"/>
  <c r="O2196" i="3"/>
  <c r="P2196" i="3"/>
  <c r="Q2196" i="3"/>
  <c r="R2196" i="3"/>
  <c r="K2197" i="3"/>
  <c r="L2197" i="3"/>
  <c r="M2197" i="3"/>
  <c r="N2197" i="3"/>
  <c r="O2197" i="3"/>
  <c r="P2197" i="3"/>
  <c r="Q2197" i="3"/>
  <c r="R2197" i="3"/>
  <c r="K2198" i="3"/>
  <c r="L2198" i="3"/>
  <c r="M2198" i="3"/>
  <c r="N2198" i="3"/>
  <c r="O2198" i="3"/>
  <c r="P2198" i="3"/>
  <c r="Q2198" i="3"/>
  <c r="R2198" i="3"/>
  <c r="K2199" i="3"/>
  <c r="L2199" i="3"/>
  <c r="M2199" i="3"/>
  <c r="N2199" i="3"/>
  <c r="O2199" i="3"/>
  <c r="P2199" i="3"/>
  <c r="Q2199" i="3"/>
  <c r="R2199" i="3"/>
  <c r="K2200" i="3"/>
  <c r="L2200" i="3"/>
  <c r="M2200" i="3"/>
  <c r="N2200" i="3"/>
  <c r="O2200" i="3"/>
  <c r="P2200" i="3"/>
  <c r="Q2200" i="3"/>
  <c r="R2200" i="3"/>
  <c r="K2201" i="3"/>
  <c r="L2201" i="3"/>
  <c r="M2201" i="3"/>
  <c r="N2201" i="3"/>
  <c r="O2201" i="3"/>
  <c r="P2201" i="3"/>
  <c r="Q2201" i="3"/>
  <c r="R2201" i="3"/>
  <c r="K2202" i="3"/>
  <c r="L2202" i="3"/>
  <c r="M2202" i="3"/>
  <c r="N2202" i="3"/>
  <c r="O2202" i="3"/>
  <c r="P2202" i="3"/>
  <c r="Q2202" i="3"/>
  <c r="R2202" i="3"/>
  <c r="K2203" i="3"/>
  <c r="L2203" i="3"/>
  <c r="M2203" i="3"/>
  <c r="N2203" i="3"/>
  <c r="O2203" i="3"/>
  <c r="P2203" i="3"/>
  <c r="Q2203" i="3"/>
  <c r="R2203" i="3"/>
  <c r="K2204" i="3"/>
  <c r="L2204" i="3"/>
  <c r="M2204" i="3"/>
  <c r="N2204" i="3"/>
  <c r="O2204" i="3"/>
  <c r="P2204" i="3"/>
  <c r="Q2204" i="3"/>
  <c r="R2204" i="3"/>
  <c r="K2205" i="3"/>
  <c r="L2205" i="3"/>
  <c r="M2205" i="3"/>
  <c r="N2205" i="3"/>
  <c r="O2205" i="3"/>
  <c r="P2205" i="3"/>
  <c r="Q2205" i="3"/>
  <c r="R2205" i="3"/>
  <c r="K2206" i="3"/>
  <c r="L2206" i="3"/>
  <c r="M2206" i="3"/>
  <c r="N2206" i="3"/>
  <c r="O2206" i="3"/>
  <c r="P2206" i="3"/>
  <c r="Q2206" i="3"/>
  <c r="R2206" i="3"/>
  <c r="K2207" i="3"/>
  <c r="L2207" i="3"/>
  <c r="M2207" i="3"/>
  <c r="N2207" i="3"/>
  <c r="O2207" i="3"/>
  <c r="P2207" i="3"/>
  <c r="Q2207" i="3"/>
  <c r="R2207" i="3"/>
  <c r="K2208" i="3"/>
  <c r="L2208" i="3"/>
  <c r="M2208" i="3"/>
  <c r="N2208" i="3"/>
  <c r="O2208" i="3"/>
  <c r="P2208" i="3"/>
  <c r="Q2208" i="3"/>
  <c r="R2208" i="3"/>
  <c r="K2209" i="3"/>
  <c r="L2209" i="3"/>
  <c r="M2209" i="3"/>
  <c r="N2209" i="3"/>
  <c r="O2209" i="3"/>
  <c r="P2209" i="3"/>
  <c r="Q2209" i="3"/>
  <c r="R2209" i="3"/>
  <c r="K2210" i="3"/>
  <c r="L2210" i="3"/>
  <c r="M2210" i="3"/>
  <c r="N2210" i="3"/>
  <c r="O2210" i="3"/>
  <c r="P2210" i="3"/>
  <c r="Q2210" i="3"/>
  <c r="R2210" i="3"/>
  <c r="K2211" i="3"/>
  <c r="L2211" i="3"/>
  <c r="M2211" i="3"/>
  <c r="N2211" i="3"/>
  <c r="O2211" i="3"/>
  <c r="P2211" i="3"/>
  <c r="Q2211" i="3"/>
  <c r="R2211" i="3"/>
  <c r="K2212" i="3"/>
  <c r="L2212" i="3"/>
  <c r="M2212" i="3"/>
  <c r="N2212" i="3"/>
  <c r="O2212" i="3"/>
  <c r="P2212" i="3"/>
  <c r="Q2212" i="3"/>
  <c r="R2212" i="3"/>
  <c r="K2213" i="3"/>
  <c r="L2213" i="3"/>
  <c r="M2213" i="3"/>
  <c r="N2213" i="3"/>
  <c r="O2213" i="3"/>
  <c r="P2213" i="3"/>
  <c r="Q2213" i="3"/>
  <c r="R2213" i="3"/>
  <c r="K2214" i="3"/>
  <c r="L2214" i="3"/>
  <c r="M2214" i="3"/>
  <c r="N2214" i="3"/>
  <c r="O2214" i="3"/>
  <c r="P2214" i="3"/>
  <c r="Q2214" i="3"/>
  <c r="R2214" i="3"/>
  <c r="K2215" i="3"/>
  <c r="L2215" i="3"/>
  <c r="M2215" i="3"/>
  <c r="N2215" i="3"/>
  <c r="O2215" i="3"/>
  <c r="P2215" i="3"/>
  <c r="Q2215" i="3"/>
  <c r="R2215" i="3"/>
  <c r="K2216" i="3"/>
  <c r="L2216" i="3"/>
  <c r="M2216" i="3"/>
  <c r="N2216" i="3"/>
  <c r="O2216" i="3"/>
  <c r="P2216" i="3"/>
  <c r="Q2216" i="3"/>
  <c r="R2216" i="3"/>
  <c r="K2217" i="3"/>
  <c r="L2217" i="3"/>
  <c r="M2217" i="3"/>
  <c r="N2217" i="3"/>
  <c r="O2217" i="3"/>
  <c r="P2217" i="3"/>
  <c r="Q2217" i="3"/>
  <c r="R2217" i="3"/>
  <c r="K2218" i="3"/>
  <c r="L2218" i="3"/>
  <c r="M2218" i="3"/>
  <c r="N2218" i="3"/>
  <c r="O2218" i="3"/>
  <c r="P2218" i="3"/>
  <c r="Q2218" i="3"/>
  <c r="R2218" i="3"/>
  <c r="K2219" i="3"/>
  <c r="L2219" i="3"/>
  <c r="M2219" i="3"/>
  <c r="N2219" i="3"/>
  <c r="O2219" i="3"/>
  <c r="P2219" i="3"/>
  <c r="Q2219" i="3"/>
  <c r="R2219" i="3"/>
  <c r="K2220" i="3"/>
  <c r="L2220" i="3"/>
  <c r="M2220" i="3"/>
  <c r="N2220" i="3"/>
  <c r="O2220" i="3"/>
  <c r="P2220" i="3"/>
  <c r="Q2220" i="3"/>
  <c r="R2220" i="3"/>
  <c r="K2221" i="3"/>
  <c r="L2221" i="3"/>
  <c r="M2221" i="3"/>
  <c r="N2221" i="3"/>
  <c r="O2221" i="3"/>
  <c r="P2221" i="3"/>
  <c r="Q2221" i="3"/>
  <c r="R2221" i="3"/>
  <c r="K2222" i="3"/>
  <c r="L2222" i="3"/>
  <c r="M2222" i="3"/>
  <c r="N2222" i="3"/>
  <c r="O2222" i="3"/>
  <c r="P2222" i="3"/>
  <c r="Q2222" i="3"/>
  <c r="R2222" i="3"/>
  <c r="K2223" i="3"/>
  <c r="L2223" i="3"/>
  <c r="M2223" i="3"/>
  <c r="N2223" i="3"/>
  <c r="O2223" i="3"/>
  <c r="P2223" i="3"/>
  <c r="Q2223" i="3"/>
  <c r="R2223" i="3"/>
  <c r="K2224" i="3"/>
  <c r="L2224" i="3"/>
  <c r="M2224" i="3"/>
  <c r="N2224" i="3"/>
  <c r="O2224" i="3"/>
  <c r="P2224" i="3"/>
  <c r="Q2224" i="3"/>
  <c r="R2224" i="3"/>
  <c r="K2225" i="3"/>
  <c r="L2225" i="3"/>
  <c r="M2225" i="3"/>
  <c r="N2225" i="3"/>
  <c r="O2225" i="3"/>
  <c r="P2225" i="3"/>
  <c r="Q2225" i="3"/>
  <c r="R2225" i="3"/>
  <c r="K2226" i="3"/>
  <c r="L2226" i="3"/>
  <c r="M2226" i="3"/>
  <c r="N2226" i="3"/>
  <c r="O2226" i="3"/>
  <c r="P2226" i="3"/>
  <c r="Q2226" i="3"/>
  <c r="R2226" i="3"/>
  <c r="K2227" i="3"/>
  <c r="L2227" i="3"/>
  <c r="M2227" i="3"/>
  <c r="N2227" i="3"/>
  <c r="O2227" i="3"/>
  <c r="P2227" i="3"/>
  <c r="Q2227" i="3"/>
  <c r="R2227" i="3"/>
  <c r="K2228" i="3"/>
  <c r="L2228" i="3"/>
  <c r="M2228" i="3"/>
  <c r="N2228" i="3"/>
  <c r="O2228" i="3"/>
  <c r="P2228" i="3"/>
  <c r="Q2228" i="3"/>
  <c r="R2228" i="3"/>
  <c r="K2229" i="3"/>
  <c r="L2229" i="3"/>
  <c r="M2229" i="3"/>
  <c r="N2229" i="3"/>
  <c r="O2229" i="3"/>
  <c r="P2229" i="3"/>
  <c r="Q2229" i="3"/>
  <c r="R2229" i="3"/>
  <c r="K2230" i="3"/>
  <c r="L2230" i="3"/>
  <c r="M2230" i="3"/>
  <c r="N2230" i="3"/>
  <c r="O2230" i="3"/>
  <c r="P2230" i="3"/>
  <c r="Q2230" i="3"/>
  <c r="R2230" i="3"/>
  <c r="K2231" i="3"/>
  <c r="L2231" i="3"/>
  <c r="M2231" i="3"/>
  <c r="N2231" i="3"/>
  <c r="O2231" i="3"/>
  <c r="P2231" i="3"/>
  <c r="Q2231" i="3"/>
  <c r="R2231" i="3"/>
  <c r="K2232" i="3"/>
  <c r="L2232" i="3"/>
  <c r="M2232" i="3"/>
  <c r="N2232" i="3"/>
  <c r="O2232" i="3"/>
  <c r="P2232" i="3"/>
  <c r="Q2232" i="3"/>
  <c r="R2232" i="3"/>
  <c r="K2233" i="3"/>
  <c r="L2233" i="3"/>
  <c r="M2233" i="3"/>
  <c r="N2233" i="3"/>
  <c r="O2233" i="3"/>
  <c r="P2233" i="3"/>
  <c r="Q2233" i="3"/>
  <c r="R2233" i="3"/>
  <c r="K2234" i="3"/>
  <c r="L2234" i="3"/>
  <c r="M2234" i="3"/>
  <c r="N2234" i="3"/>
  <c r="O2234" i="3"/>
  <c r="P2234" i="3"/>
  <c r="Q2234" i="3"/>
  <c r="R2234" i="3"/>
  <c r="K2235" i="3"/>
  <c r="L2235" i="3"/>
  <c r="M2235" i="3"/>
  <c r="N2235" i="3"/>
  <c r="O2235" i="3"/>
  <c r="P2235" i="3"/>
  <c r="Q2235" i="3"/>
  <c r="R2235" i="3"/>
  <c r="K2236" i="3"/>
  <c r="L2236" i="3"/>
  <c r="M2236" i="3"/>
  <c r="N2236" i="3"/>
  <c r="O2236" i="3"/>
  <c r="P2236" i="3"/>
  <c r="Q2236" i="3"/>
  <c r="R2236" i="3"/>
  <c r="K2237" i="3"/>
  <c r="L2237" i="3"/>
  <c r="M2237" i="3"/>
  <c r="N2237" i="3"/>
  <c r="O2237" i="3"/>
  <c r="P2237" i="3"/>
  <c r="Q2237" i="3"/>
  <c r="R2237" i="3"/>
  <c r="K2238" i="3"/>
  <c r="L2238" i="3"/>
  <c r="M2238" i="3"/>
  <c r="N2238" i="3"/>
  <c r="O2238" i="3"/>
  <c r="P2238" i="3"/>
  <c r="Q2238" i="3"/>
  <c r="R2238" i="3"/>
  <c r="K2239" i="3"/>
  <c r="L2239" i="3"/>
  <c r="M2239" i="3"/>
  <c r="N2239" i="3"/>
  <c r="O2239" i="3"/>
  <c r="P2239" i="3"/>
  <c r="Q2239" i="3"/>
  <c r="R2239" i="3"/>
  <c r="K2240" i="3"/>
  <c r="L2240" i="3"/>
  <c r="M2240" i="3"/>
  <c r="N2240" i="3"/>
  <c r="O2240" i="3"/>
  <c r="P2240" i="3"/>
  <c r="Q2240" i="3"/>
  <c r="R2240" i="3"/>
  <c r="K2241" i="3"/>
  <c r="L2241" i="3"/>
  <c r="M2241" i="3"/>
  <c r="N2241" i="3"/>
  <c r="O2241" i="3"/>
  <c r="P2241" i="3"/>
  <c r="Q2241" i="3"/>
  <c r="R2241" i="3"/>
  <c r="K2242" i="3"/>
  <c r="L2242" i="3"/>
  <c r="M2242" i="3"/>
  <c r="N2242" i="3"/>
  <c r="O2242" i="3"/>
  <c r="P2242" i="3"/>
  <c r="Q2242" i="3"/>
  <c r="R2242" i="3"/>
  <c r="K2243" i="3"/>
  <c r="L2243" i="3"/>
  <c r="M2243" i="3"/>
  <c r="N2243" i="3"/>
  <c r="O2243" i="3"/>
  <c r="P2243" i="3"/>
  <c r="Q2243" i="3"/>
  <c r="R2243" i="3"/>
  <c r="K2244" i="3"/>
  <c r="L2244" i="3"/>
  <c r="M2244" i="3"/>
  <c r="N2244" i="3"/>
  <c r="O2244" i="3"/>
  <c r="P2244" i="3"/>
  <c r="Q2244" i="3"/>
  <c r="R2244" i="3"/>
  <c r="K2245" i="3"/>
  <c r="L2245" i="3"/>
  <c r="M2245" i="3"/>
  <c r="N2245" i="3"/>
  <c r="O2245" i="3"/>
  <c r="P2245" i="3"/>
  <c r="Q2245" i="3"/>
  <c r="R2245" i="3"/>
  <c r="K2246" i="3"/>
  <c r="L2246" i="3"/>
  <c r="M2246" i="3"/>
  <c r="N2246" i="3"/>
  <c r="O2246" i="3"/>
  <c r="P2246" i="3"/>
  <c r="Q2246" i="3"/>
  <c r="R2246" i="3"/>
  <c r="K2247" i="3"/>
  <c r="L2247" i="3"/>
  <c r="M2247" i="3"/>
  <c r="N2247" i="3"/>
  <c r="O2247" i="3"/>
  <c r="P2247" i="3"/>
  <c r="Q2247" i="3"/>
  <c r="R2247" i="3"/>
  <c r="K2248" i="3"/>
  <c r="L2248" i="3"/>
  <c r="M2248" i="3"/>
  <c r="N2248" i="3"/>
  <c r="O2248" i="3"/>
  <c r="P2248" i="3"/>
  <c r="Q2248" i="3"/>
  <c r="R2248" i="3"/>
  <c r="K2249" i="3"/>
  <c r="L2249" i="3"/>
  <c r="M2249" i="3"/>
  <c r="N2249" i="3"/>
  <c r="O2249" i="3"/>
  <c r="P2249" i="3"/>
  <c r="Q2249" i="3"/>
  <c r="R2249" i="3"/>
  <c r="K2250" i="3"/>
  <c r="L2250" i="3"/>
  <c r="M2250" i="3"/>
  <c r="N2250" i="3"/>
  <c r="O2250" i="3"/>
  <c r="P2250" i="3"/>
  <c r="Q2250" i="3"/>
  <c r="R2250" i="3"/>
  <c r="K2251" i="3"/>
  <c r="L2251" i="3"/>
  <c r="M2251" i="3"/>
  <c r="N2251" i="3"/>
  <c r="O2251" i="3"/>
  <c r="P2251" i="3"/>
  <c r="Q2251" i="3"/>
  <c r="R2251" i="3"/>
  <c r="K2252" i="3"/>
  <c r="L2252" i="3"/>
  <c r="M2252" i="3"/>
  <c r="N2252" i="3"/>
  <c r="O2252" i="3"/>
  <c r="P2252" i="3"/>
  <c r="Q2252" i="3"/>
  <c r="R2252" i="3"/>
  <c r="K2253" i="3"/>
  <c r="L2253" i="3"/>
  <c r="M2253" i="3"/>
  <c r="N2253" i="3"/>
  <c r="O2253" i="3"/>
  <c r="P2253" i="3"/>
  <c r="Q2253" i="3"/>
  <c r="R2253" i="3"/>
  <c r="K2254" i="3"/>
  <c r="L2254" i="3"/>
  <c r="M2254" i="3"/>
  <c r="N2254" i="3"/>
  <c r="O2254" i="3"/>
  <c r="P2254" i="3"/>
  <c r="Q2254" i="3"/>
  <c r="R2254" i="3"/>
  <c r="K2255" i="3"/>
  <c r="L2255" i="3"/>
  <c r="M2255" i="3"/>
  <c r="N2255" i="3"/>
  <c r="O2255" i="3"/>
  <c r="P2255" i="3"/>
  <c r="Q2255" i="3"/>
  <c r="R2255" i="3"/>
  <c r="K2256" i="3"/>
  <c r="L2256" i="3"/>
  <c r="M2256" i="3"/>
  <c r="N2256" i="3"/>
  <c r="O2256" i="3"/>
  <c r="P2256" i="3"/>
  <c r="Q2256" i="3"/>
  <c r="R2256" i="3"/>
  <c r="K2257" i="3"/>
  <c r="L2257" i="3"/>
  <c r="M2257" i="3"/>
  <c r="N2257" i="3"/>
  <c r="O2257" i="3"/>
  <c r="P2257" i="3"/>
  <c r="Q2257" i="3"/>
  <c r="R2257" i="3"/>
  <c r="K2258" i="3"/>
  <c r="L2258" i="3"/>
  <c r="M2258" i="3"/>
  <c r="N2258" i="3"/>
  <c r="O2258" i="3"/>
  <c r="P2258" i="3"/>
  <c r="Q2258" i="3"/>
  <c r="R2258" i="3"/>
  <c r="K2259" i="3"/>
  <c r="L2259" i="3"/>
  <c r="M2259" i="3"/>
  <c r="N2259" i="3"/>
  <c r="O2259" i="3"/>
  <c r="P2259" i="3"/>
  <c r="Q2259" i="3"/>
  <c r="R2259" i="3"/>
  <c r="K2260" i="3"/>
  <c r="L2260" i="3"/>
  <c r="M2260" i="3"/>
  <c r="N2260" i="3"/>
  <c r="O2260" i="3"/>
  <c r="P2260" i="3"/>
  <c r="Q2260" i="3"/>
  <c r="R2260" i="3"/>
  <c r="K2261" i="3"/>
  <c r="L2261" i="3"/>
  <c r="M2261" i="3"/>
  <c r="N2261" i="3"/>
  <c r="O2261" i="3"/>
  <c r="P2261" i="3"/>
  <c r="Q2261" i="3"/>
  <c r="R2261" i="3"/>
  <c r="K2262" i="3"/>
  <c r="L2262" i="3"/>
  <c r="M2262" i="3"/>
  <c r="N2262" i="3"/>
  <c r="O2262" i="3"/>
  <c r="P2262" i="3"/>
  <c r="Q2262" i="3"/>
  <c r="R2262" i="3"/>
  <c r="K2263" i="3"/>
  <c r="L2263" i="3"/>
  <c r="M2263" i="3"/>
  <c r="N2263" i="3"/>
  <c r="O2263" i="3"/>
  <c r="P2263" i="3"/>
  <c r="Q2263" i="3"/>
  <c r="R2263" i="3"/>
  <c r="K2264" i="3"/>
  <c r="L2264" i="3"/>
  <c r="M2264" i="3"/>
  <c r="N2264" i="3"/>
  <c r="O2264" i="3"/>
  <c r="P2264" i="3"/>
  <c r="Q2264" i="3"/>
  <c r="R2264" i="3"/>
  <c r="K2265" i="3"/>
  <c r="L2265" i="3"/>
  <c r="M2265" i="3"/>
  <c r="N2265" i="3"/>
  <c r="O2265" i="3"/>
  <c r="P2265" i="3"/>
  <c r="Q2265" i="3"/>
  <c r="R2265" i="3"/>
  <c r="K2266" i="3"/>
  <c r="L2266" i="3"/>
  <c r="M2266" i="3"/>
  <c r="N2266" i="3"/>
  <c r="O2266" i="3"/>
  <c r="P2266" i="3"/>
  <c r="Q2266" i="3"/>
  <c r="R2266" i="3"/>
  <c r="K2267" i="3"/>
  <c r="L2267" i="3"/>
  <c r="M2267" i="3"/>
  <c r="N2267" i="3"/>
  <c r="O2267" i="3"/>
  <c r="P2267" i="3"/>
  <c r="Q2267" i="3"/>
  <c r="R2267" i="3"/>
  <c r="K2268" i="3"/>
  <c r="L2268" i="3"/>
  <c r="M2268" i="3"/>
  <c r="N2268" i="3"/>
  <c r="O2268" i="3"/>
  <c r="P2268" i="3"/>
  <c r="Q2268" i="3"/>
  <c r="R2268" i="3"/>
  <c r="K2269" i="3"/>
  <c r="L2269" i="3"/>
  <c r="M2269" i="3"/>
  <c r="N2269" i="3"/>
  <c r="O2269" i="3"/>
  <c r="P2269" i="3"/>
  <c r="Q2269" i="3"/>
  <c r="R2269" i="3"/>
  <c r="K2270" i="3"/>
  <c r="L2270" i="3"/>
  <c r="M2270" i="3"/>
  <c r="N2270" i="3"/>
  <c r="O2270" i="3"/>
  <c r="P2270" i="3"/>
  <c r="Q2270" i="3"/>
  <c r="R2270" i="3"/>
  <c r="K2271" i="3"/>
  <c r="L2271" i="3"/>
  <c r="M2271" i="3"/>
  <c r="N2271" i="3"/>
  <c r="O2271" i="3"/>
  <c r="P2271" i="3"/>
  <c r="Q2271" i="3"/>
  <c r="R2271" i="3"/>
  <c r="K2272" i="3"/>
  <c r="L2272" i="3"/>
  <c r="M2272" i="3"/>
  <c r="N2272" i="3"/>
  <c r="O2272" i="3"/>
  <c r="P2272" i="3"/>
  <c r="Q2272" i="3"/>
  <c r="R2272" i="3"/>
  <c r="K2273" i="3"/>
  <c r="L2273" i="3"/>
  <c r="M2273" i="3"/>
  <c r="N2273" i="3"/>
  <c r="O2273" i="3"/>
  <c r="P2273" i="3"/>
  <c r="Q2273" i="3"/>
  <c r="R2273" i="3"/>
  <c r="K2274" i="3"/>
  <c r="L2274" i="3"/>
  <c r="M2274" i="3"/>
  <c r="N2274" i="3"/>
  <c r="O2274" i="3"/>
  <c r="P2274" i="3"/>
  <c r="Q2274" i="3"/>
  <c r="R2274" i="3"/>
  <c r="K2275" i="3"/>
  <c r="L2275" i="3"/>
  <c r="M2275" i="3"/>
  <c r="N2275" i="3"/>
  <c r="O2275" i="3"/>
  <c r="P2275" i="3"/>
  <c r="Q2275" i="3"/>
  <c r="R2275" i="3"/>
  <c r="K2276" i="3"/>
  <c r="L2276" i="3"/>
  <c r="M2276" i="3"/>
  <c r="N2276" i="3"/>
  <c r="O2276" i="3"/>
  <c r="P2276" i="3"/>
  <c r="Q2276" i="3"/>
  <c r="R2276" i="3"/>
  <c r="K2277" i="3"/>
  <c r="L2277" i="3"/>
  <c r="M2277" i="3"/>
  <c r="N2277" i="3"/>
  <c r="O2277" i="3"/>
  <c r="P2277" i="3"/>
  <c r="Q2277" i="3"/>
  <c r="R2277" i="3"/>
  <c r="K2278" i="3"/>
  <c r="L2278" i="3"/>
  <c r="M2278" i="3"/>
  <c r="N2278" i="3"/>
  <c r="O2278" i="3"/>
  <c r="P2278" i="3"/>
  <c r="Q2278" i="3"/>
  <c r="R2278" i="3"/>
  <c r="K2279" i="3"/>
  <c r="L2279" i="3"/>
  <c r="M2279" i="3"/>
  <c r="N2279" i="3"/>
  <c r="O2279" i="3"/>
  <c r="P2279" i="3"/>
  <c r="Q2279" i="3"/>
  <c r="R2279" i="3"/>
  <c r="K2280" i="3"/>
  <c r="L2280" i="3"/>
  <c r="M2280" i="3"/>
  <c r="N2280" i="3"/>
  <c r="O2280" i="3"/>
  <c r="P2280" i="3"/>
  <c r="Q2280" i="3"/>
  <c r="R2280" i="3"/>
  <c r="K2281" i="3"/>
  <c r="L2281" i="3"/>
  <c r="M2281" i="3"/>
  <c r="N2281" i="3"/>
  <c r="O2281" i="3"/>
  <c r="P2281" i="3"/>
  <c r="Q2281" i="3"/>
  <c r="R2281" i="3"/>
  <c r="K2282" i="3"/>
  <c r="L2282" i="3"/>
  <c r="M2282" i="3"/>
  <c r="N2282" i="3"/>
  <c r="O2282" i="3"/>
  <c r="P2282" i="3"/>
  <c r="Q2282" i="3"/>
  <c r="R2282" i="3"/>
  <c r="K2283" i="3"/>
  <c r="L2283" i="3"/>
  <c r="M2283" i="3"/>
  <c r="N2283" i="3"/>
  <c r="O2283" i="3"/>
  <c r="P2283" i="3"/>
  <c r="Q2283" i="3"/>
  <c r="R2283" i="3"/>
  <c r="K2284" i="3"/>
  <c r="L2284" i="3"/>
  <c r="M2284" i="3"/>
  <c r="N2284" i="3"/>
  <c r="O2284" i="3"/>
  <c r="P2284" i="3"/>
  <c r="Q2284" i="3"/>
  <c r="R2284" i="3"/>
  <c r="K2285" i="3"/>
  <c r="L2285" i="3"/>
  <c r="M2285" i="3"/>
  <c r="N2285" i="3"/>
  <c r="O2285" i="3"/>
  <c r="P2285" i="3"/>
  <c r="Q2285" i="3"/>
  <c r="R2285" i="3"/>
  <c r="K2286" i="3"/>
  <c r="L2286" i="3"/>
  <c r="M2286" i="3"/>
  <c r="N2286" i="3"/>
  <c r="O2286" i="3"/>
  <c r="P2286" i="3"/>
  <c r="Q2286" i="3"/>
  <c r="R2286" i="3"/>
  <c r="K2287" i="3"/>
  <c r="L2287" i="3"/>
  <c r="M2287" i="3"/>
  <c r="N2287" i="3"/>
  <c r="O2287" i="3"/>
  <c r="P2287" i="3"/>
  <c r="Q2287" i="3"/>
  <c r="R2287" i="3"/>
  <c r="K2288" i="3"/>
  <c r="L2288" i="3"/>
  <c r="M2288" i="3"/>
  <c r="N2288" i="3"/>
  <c r="O2288" i="3"/>
  <c r="P2288" i="3"/>
  <c r="Q2288" i="3"/>
  <c r="R2288" i="3"/>
  <c r="K2289" i="3"/>
  <c r="L2289" i="3"/>
  <c r="M2289" i="3"/>
  <c r="N2289" i="3"/>
  <c r="O2289" i="3"/>
  <c r="P2289" i="3"/>
  <c r="Q2289" i="3"/>
  <c r="R2289" i="3"/>
  <c r="K2290" i="3"/>
  <c r="L2290" i="3"/>
  <c r="M2290" i="3"/>
  <c r="N2290" i="3"/>
  <c r="O2290" i="3"/>
  <c r="P2290" i="3"/>
  <c r="Q2290" i="3"/>
  <c r="R2290" i="3"/>
  <c r="K2291" i="3"/>
  <c r="L2291" i="3"/>
  <c r="M2291" i="3"/>
  <c r="N2291" i="3"/>
  <c r="O2291" i="3"/>
  <c r="P2291" i="3"/>
  <c r="Q2291" i="3"/>
  <c r="R2291" i="3"/>
  <c r="K2292" i="3"/>
  <c r="L2292" i="3"/>
  <c r="M2292" i="3"/>
  <c r="N2292" i="3"/>
  <c r="O2292" i="3"/>
  <c r="P2292" i="3"/>
  <c r="Q2292" i="3"/>
  <c r="R2292" i="3"/>
  <c r="K2293" i="3"/>
  <c r="L2293" i="3"/>
  <c r="M2293" i="3"/>
  <c r="N2293" i="3"/>
  <c r="O2293" i="3"/>
  <c r="P2293" i="3"/>
  <c r="Q2293" i="3"/>
  <c r="R2293" i="3"/>
  <c r="K2294" i="3"/>
  <c r="L2294" i="3"/>
  <c r="M2294" i="3"/>
  <c r="N2294" i="3"/>
  <c r="O2294" i="3"/>
  <c r="P2294" i="3"/>
  <c r="Q2294" i="3"/>
  <c r="R2294" i="3"/>
  <c r="K2295" i="3"/>
  <c r="L2295" i="3"/>
  <c r="M2295" i="3"/>
  <c r="N2295" i="3"/>
  <c r="O2295" i="3"/>
  <c r="P2295" i="3"/>
  <c r="Q2295" i="3"/>
  <c r="R2295" i="3"/>
  <c r="K2296" i="3"/>
  <c r="L2296" i="3"/>
  <c r="M2296" i="3"/>
  <c r="N2296" i="3"/>
  <c r="O2296" i="3"/>
  <c r="P2296" i="3"/>
  <c r="Q2296" i="3"/>
  <c r="R2296" i="3"/>
  <c r="K2297" i="3"/>
  <c r="L2297" i="3"/>
  <c r="M2297" i="3"/>
  <c r="N2297" i="3"/>
  <c r="O2297" i="3"/>
  <c r="P2297" i="3"/>
  <c r="Q2297" i="3"/>
  <c r="R2297" i="3"/>
  <c r="K2298" i="3"/>
  <c r="L2298" i="3"/>
  <c r="M2298" i="3"/>
  <c r="N2298" i="3"/>
  <c r="O2298" i="3"/>
  <c r="P2298" i="3"/>
  <c r="Q2298" i="3"/>
  <c r="R2298" i="3"/>
  <c r="K2299" i="3"/>
  <c r="L2299" i="3"/>
  <c r="M2299" i="3"/>
  <c r="N2299" i="3"/>
  <c r="O2299" i="3"/>
  <c r="P2299" i="3"/>
  <c r="Q2299" i="3"/>
  <c r="R2299" i="3"/>
  <c r="K2300" i="3"/>
  <c r="L2300" i="3"/>
  <c r="M2300" i="3"/>
  <c r="N2300" i="3"/>
  <c r="O2300" i="3"/>
  <c r="P2300" i="3"/>
  <c r="Q2300" i="3"/>
  <c r="R2300" i="3"/>
  <c r="K2301" i="3"/>
  <c r="L2301" i="3"/>
  <c r="M2301" i="3"/>
  <c r="N2301" i="3"/>
  <c r="O2301" i="3"/>
  <c r="P2301" i="3"/>
  <c r="Q2301" i="3"/>
  <c r="R2301" i="3"/>
  <c r="K2302" i="3"/>
  <c r="L2302" i="3"/>
  <c r="M2302" i="3"/>
  <c r="N2302" i="3"/>
  <c r="O2302" i="3"/>
  <c r="P2302" i="3"/>
  <c r="Q2302" i="3"/>
  <c r="R2302" i="3"/>
  <c r="K2303" i="3"/>
  <c r="L2303" i="3"/>
  <c r="M2303" i="3"/>
  <c r="N2303" i="3"/>
  <c r="O2303" i="3"/>
  <c r="P2303" i="3"/>
  <c r="Q2303" i="3"/>
  <c r="R2303" i="3"/>
  <c r="K2304" i="3"/>
  <c r="L2304" i="3"/>
  <c r="M2304" i="3"/>
  <c r="N2304" i="3"/>
  <c r="O2304" i="3"/>
  <c r="P2304" i="3"/>
  <c r="Q2304" i="3"/>
  <c r="R2304" i="3"/>
  <c r="K2305" i="3"/>
  <c r="L2305" i="3"/>
  <c r="M2305" i="3"/>
  <c r="N2305" i="3"/>
  <c r="O2305" i="3"/>
  <c r="P2305" i="3"/>
  <c r="Q2305" i="3"/>
  <c r="R2305" i="3"/>
  <c r="K2306" i="3"/>
  <c r="L2306" i="3"/>
  <c r="M2306" i="3"/>
  <c r="N2306" i="3"/>
  <c r="O2306" i="3"/>
  <c r="P2306" i="3"/>
  <c r="Q2306" i="3"/>
  <c r="R2306" i="3"/>
  <c r="K2307" i="3"/>
  <c r="L2307" i="3"/>
  <c r="M2307" i="3"/>
  <c r="N2307" i="3"/>
  <c r="O2307" i="3"/>
  <c r="P2307" i="3"/>
  <c r="Q2307" i="3"/>
  <c r="R2307" i="3"/>
  <c r="K2308" i="3"/>
  <c r="L2308" i="3"/>
  <c r="M2308" i="3"/>
  <c r="N2308" i="3"/>
  <c r="O2308" i="3"/>
  <c r="P2308" i="3"/>
  <c r="Q2308" i="3"/>
  <c r="R2308" i="3"/>
  <c r="K2309" i="3"/>
  <c r="L2309" i="3"/>
  <c r="M2309" i="3"/>
  <c r="N2309" i="3"/>
  <c r="O2309" i="3"/>
  <c r="P2309" i="3"/>
  <c r="Q2309" i="3"/>
  <c r="R2309" i="3"/>
  <c r="K2310" i="3"/>
  <c r="L2310" i="3"/>
  <c r="M2310" i="3"/>
  <c r="N2310" i="3"/>
  <c r="O2310" i="3"/>
  <c r="P2310" i="3"/>
  <c r="Q2310" i="3"/>
  <c r="R2310" i="3"/>
  <c r="K2311" i="3"/>
  <c r="L2311" i="3"/>
  <c r="M2311" i="3"/>
  <c r="N2311" i="3"/>
  <c r="O2311" i="3"/>
  <c r="P2311" i="3"/>
  <c r="Q2311" i="3"/>
  <c r="R2311" i="3"/>
  <c r="K2312" i="3"/>
  <c r="L2312" i="3"/>
  <c r="M2312" i="3"/>
  <c r="N2312" i="3"/>
  <c r="O2312" i="3"/>
  <c r="P2312" i="3"/>
  <c r="Q2312" i="3"/>
  <c r="R2312" i="3"/>
  <c r="K2313" i="3"/>
  <c r="L2313" i="3"/>
  <c r="M2313" i="3"/>
  <c r="N2313" i="3"/>
  <c r="O2313" i="3"/>
  <c r="P2313" i="3"/>
  <c r="Q2313" i="3"/>
  <c r="R2313" i="3"/>
  <c r="K2314" i="3"/>
  <c r="L2314" i="3"/>
  <c r="M2314" i="3"/>
  <c r="N2314" i="3"/>
  <c r="O2314" i="3"/>
  <c r="P2314" i="3"/>
  <c r="Q2314" i="3"/>
  <c r="R2314" i="3"/>
  <c r="K2315" i="3"/>
  <c r="L2315" i="3"/>
  <c r="M2315" i="3"/>
  <c r="N2315" i="3"/>
  <c r="O2315" i="3"/>
  <c r="P2315" i="3"/>
  <c r="Q2315" i="3"/>
  <c r="R2315" i="3"/>
  <c r="K2316" i="3"/>
  <c r="L2316" i="3"/>
  <c r="M2316" i="3"/>
  <c r="N2316" i="3"/>
  <c r="O2316" i="3"/>
  <c r="P2316" i="3"/>
  <c r="Q2316" i="3"/>
  <c r="R2316" i="3"/>
  <c r="K2317" i="3"/>
  <c r="L2317" i="3"/>
  <c r="M2317" i="3"/>
  <c r="N2317" i="3"/>
  <c r="O2317" i="3"/>
  <c r="P2317" i="3"/>
  <c r="Q2317" i="3"/>
  <c r="R2317" i="3"/>
  <c r="K2318" i="3"/>
  <c r="L2318" i="3"/>
  <c r="M2318" i="3"/>
  <c r="N2318" i="3"/>
  <c r="O2318" i="3"/>
  <c r="P2318" i="3"/>
  <c r="Q2318" i="3"/>
  <c r="R2318" i="3"/>
  <c r="K2319" i="3"/>
  <c r="L2319" i="3"/>
  <c r="M2319" i="3"/>
  <c r="N2319" i="3"/>
  <c r="O2319" i="3"/>
  <c r="P2319" i="3"/>
  <c r="Q2319" i="3"/>
  <c r="R2319" i="3"/>
  <c r="K2320" i="3"/>
  <c r="L2320" i="3"/>
  <c r="M2320" i="3"/>
  <c r="N2320" i="3"/>
  <c r="O2320" i="3"/>
  <c r="P2320" i="3"/>
  <c r="Q2320" i="3"/>
  <c r="R2320" i="3"/>
  <c r="K2321" i="3"/>
  <c r="L2321" i="3"/>
  <c r="M2321" i="3"/>
  <c r="N2321" i="3"/>
  <c r="O2321" i="3"/>
  <c r="P2321" i="3"/>
  <c r="Q2321" i="3"/>
  <c r="R2321" i="3"/>
  <c r="K2322" i="3"/>
  <c r="L2322" i="3"/>
  <c r="M2322" i="3"/>
  <c r="N2322" i="3"/>
  <c r="O2322" i="3"/>
  <c r="P2322" i="3"/>
  <c r="Q2322" i="3"/>
  <c r="R2322" i="3"/>
  <c r="K2323" i="3"/>
  <c r="L2323" i="3"/>
  <c r="M2323" i="3"/>
  <c r="N2323" i="3"/>
  <c r="O2323" i="3"/>
  <c r="P2323" i="3"/>
  <c r="Q2323" i="3"/>
  <c r="R2323" i="3"/>
  <c r="K2324" i="3"/>
  <c r="L2324" i="3"/>
  <c r="M2324" i="3"/>
  <c r="N2324" i="3"/>
  <c r="O2324" i="3"/>
  <c r="P2324" i="3"/>
  <c r="Q2324" i="3"/>
  <c r="R2324" i="3"/>
  <c r="K2325" i="3"/>
  <c r="L2325" i="3"/>
  <c r="M2325" i="3"/>
  <c r="N2325" i="3"/>
  <c r="O2325" i="3"/>
  <c r="P2325" i="3"/>
  <c r="Q2325" i="3"/>
  <c r="R2325" i="3"/>
  <c r="K2326" i="3"/>
  <c r="L2326" i="3"/>
  <c r="M2326" i="3"/>
  <c r="N2326" i="3"/>
  <c r="O2326" i="3"/>
  <c r="P2326" i="3"/>
  <c r="Q2326" i="3"/>
  <c r="R2326" i="3"/>
  <c r="K2327" i="3"/>
  <c r="L2327" i="3"/>
  <c r="M2327" i="3"/>
  <c r="N2327" i="3"/>
  <c r="O2327" i="3"/>
  <c r="P2327" i="3"/>
  <c r="Q2327" i="3"/>
  <c r="R2327" i="3"/>
  <c r="K2328" i="3"/>
  <c r="L2328" i="3"/>
  <c r="M2328" i="3"/>
  <c r="N2328" i="3"/>
  <c r="O2328" i="3"/>
  <c r="P2328" i="3"/>
  <c r="Q2328" i="3"/>
  <c r="R2328" i="3"/>
  <c r="K2329" i="3"/>
  <c r="L2329" i="3"/>
  <c r="M2329" i="3"/>
  <c r="N2329" i="3"/>
  <c r="O2329" i="3"/>
  <c r="P2329" i="3"/>
  <c r="Q2329" i="3"/>
  <c r="R2329" i="3"/>
  <c r="K2330" i="3"/>
  <c r="L2330" i="3"/>
  <c r="M2330" i="3"/>
  <c r="N2330" i="3"/>
  <c r="O2330" i="3"/>
  <c r="P2330" i="3"/>
  <c r="Q2330" i="3"/>
  <c r="R2330" i="3"/>
  <c r="K2331" i="3"/>
  <c r="L2331" i="3"/>
  <c r="M2331" i="3"/>
  <c r="N2331" i="3"/>
  <c r="O2331" i="3"/>
  <c r="P2331" i="3"/>
  <c r="Q2331" i="3"/>
  <c r="R2331" i="3"/>
  <c r="K2332" i="3"/>
  <c r="L2332" i="3"/>
  <c r="M2332" i="3"/>
  <c r="N2332" i="3"/>
  <c r="O2332" i="3"/>
  <c r="P2332" i="3"/>
  <c r="Q2332" i="3"/>
  <c r="R2332" i="3"/>
  <c r="K2333" i="3"/>
  <c r="L2333" i="3"/>
  <c r="M2333" i="3"/>
  <c r="N2333" i="3"/>
  <c r="O2333" i="3"/>
  <c r="P2333" i="3"/>
  <c r="Q2333" i="3"/>
  <c r="R2333" i="3"/>
  <c r="K2334" i="3"/>
  <c r="L2334" i="3"/>
  <c r="M2334" i="3"/>
  <c r="N2334" i="3"/>
  <c r="O2334" i="3"/>
  <c r="P2334" i="3"/>
  <c r="Q2334" i="3"/>
  <c r="R2334" i="3"/>
  <c r="K2335" i="3"/>
  <c r="L2335" i="3"/>
  <c r="M2335" i="3"/>
  <c r="N2335" i="3"/>
  <c r="O2335" i="3"/>
  <c r="P2335" i="3"/>
  <c r="Q2335" i="3"/>
  <c r="R2335" i="3"/>
  <c r="K2336" i="3"/>
  <c r="L2336" i="3"/>
  <c r="M2336" i="3"/>
  <c r="N2336" i="3"/>
  <c r="O2336" i="3"/>
  <c r="P2336" i="3"/>
  <c r="Q2336" i="3"/>
  <c r="R2336" i="3"/>
  <c r="K2337" i="3"/>
  <c r="L2337" i="3"/>
  <c r="M2337" i="3"/>
  <c r="N2337" i="3"/>
  <c r="O2337" i="3"/>
  <c r="P2337" i="3"/>
  <c r="Q2337" i="3"/>
  <c r="R2337" i="3"/>
  <c r="K2338" i="3"/>
  <c r="L2338" i="3"/>
  <c r="M2338" i="3"/>
  <c r="N2338" i="3"/>
  <c r="O2338" i="3"/>
  <c r="P2338" i="3"/>
  <c r="Q2338" i="3"/>
  <c r="R2338" i="3"/>
  <c r="K2339" i="3"/>
  <c r="L2339" i="3"/>
  <c r="M2339" i="3"/>
  <c r="N2339" i="3"/>
  <c r="O2339" i="3"/>
  <c r="P2339" i="3"/>
  <c r="Q2339" i="3"/>
  <c r="R2339" i="3"/>
  <c r="K2340" i="3"/>
  <c r="L2340" i="3"/>
  <c r="M2340" i="3"/>
  <c r="N2340" i="3"/>
  <c r="O2340" i="3"/>
  <c r="P2340" i="3"/>
  <c r="Q2340" i="3"/>
  <c r="R2340" i="3"/>
  <c r="K2341" i="3"/>
  <c r="L2341" i="3"/>
  <c r="M2341" i="3"/>
  <c r="N2341" i="3"/>
  <c r="O2341" i="3"/>
  <c r="P2341" i="3"/>
  <c r="Q2341" i="3"/>
  <c r="R2341" i="3"/>
  <c r="K2342" i="3"/>
  <c r="L2342" i="3"/>
  <c r="M2342" i="3"/>
  <c r="N2342" i="3"/>
  <c r="O2342" i="3"/>
  <c r="P2342" i="3"/>
  <c r="Q2342" i="3"/>
  <c r="R2342" i="3"/>
  <c r="K2343" i="3"/>
  <c r="L2343" i="3"/>
  <c r="M2343" i="3"/>
  <c r="N2343" i="3"/>
  <c r="O2343" i="3"/>
  <c r="P2343" i="3"/>
  <c r="Q2343" i="3"/>
  <c r="R2343" i="3"/>
  <c r="K2344" i="3"/>
  <c r="L2344" i="3"/>
  <c r="M2344" i="3"/>
  <c r="N2344" i="3"/>
  <c r="O2344" i="3"/>
  <c r="P2344" i="3"/>
  <c r="Q2344" i="3"/>
  <c r="R2344" i="3"/>
  <c r="K2345" i="3"/>
  <c r="L2345" i="3"/>
  <c r="M2345" i="3"/>
  <c r="N2345" i="3"/>
  <c r="O2345" i="3"/>
  <c r="P2345" i="3"/>
  <c r="Q2345" i="3"/>
  <c r="R2345" i="3"/>
  <c r="K2346" i="3"/>
  <c r="L2346" i="3"/>
  <c r="M2346" i="3"/>
  <c r="N2346" i="3"/>
  <c r="O2346" i="3"/>
  <c r="P2346" i="3"/>
  <c r="Q2346" i="3"/>
  <c r="R2346" i="3"/>
  <c r="K2347" i="3"/>
  <c r="L2347" i="3"/>
  <c r="M2347" i="3"/>
  <c r="N2347" i="3"/>
  <c r="O2347" i="3"/>
  <c r="P2347" i="3"/>
  <c r="Q2347" i="3"/>
  <c r="R2347" i="3"/>
  <c r="K2348" i="3"/>
  <c r="L2348" i="3"/>
  <c r="M2348" i="3"/>
  <c r="N2348" i="3"/>
  <c r="O2348" i="3"/>
  <c r="P2348" i="3"/>
  <c r="Q2348" i="3"/>
  <c r="R2348" i="3"/>
  <c r="K2349" i="3"/>
  <c r="L2349" i="3"/>
  <c r="M2349" i="3"/>
  <c r="N2349" i="3"/>
  <c r="O2349" i="3"/>
  <c r="P2349" i="3"/>
  <c r="Q2349" i="3"/>
  <c r="R2349" i="3"/>
  <c r="K2350" i="3"/>
  <c r="L2350" i="3"/>
  <c r="M2350" i="3"/>
  <c r="N2350" i="3"/>
  <c r="O2350" i="3"/>
  <c r="P2350" i="3"/>
  <c r="Q2350" i="3"/>
  <c r="R2350" i="3"/>
  <c r="K2351" i="3"/>
  <c r="L2351" i="3"/>
  <c r="M2351" i="3"/>
  <c r="N2351" i="3"/>
  <c r="O2351" i="3"/>
  <c r="P2351" i="3"/>
  <c r="Q2351" i="3"/>
  <c r="R2351" i="3"/>
  <c r="K2352" i="3"/>
  <c r="L2352" i="3"/>
  <c r="M2352" i="3"/>
  <c r="N2352" i="3"/>
  <c r="O2352" i="3"/>
  <c r="P2352" i="3"/>
  <c r="Q2352" i="3"/>
  <c r="R2352" i="3"/>
  <c r="K2353" i="3"/>
  <c r="L2353" i="3"/>
  <c r="M2353" i="3"/>
  <c r="N2353" i="3"/>
  <c r="O2353" i="3"/>
  <c r="P2353" i="3"/>
  <c r="Q2353" i="3"/>
  <c r="R2353" i="3"/>
  <c r="K2354" i="3"/>
  <c r="L2354" i="3"/>
  <c r="M2354" i="3"/>
  <c r="N2354" i="3"/>
  <c r="O2354" i="3"/>
  <c r="P2354" i="3"/>
  <c r="Q2354" i="3"/>
  <c r="R2354" i="3"/>
  <c r="K2355" i="3"/>
  <c r="L2355" i="3"/>
  <c r="M2355" i="3"/>
  <c r="N2355" i="3"/>
  <c r="O2355" i="3"/>
  <c r="P2355" i="3"/>
  <c r="Q2355" i="3"/>
  <c r="R2355" i="3"/>
  <c r="K2356" i="3"/>
  <c r="L2356" i="3"/>
  <c r="M2356" i="3"/>
  <c r="N2356" i="3"/>
  <c r="O2356" i="3"/>
  <c r="P2356" i="3"/>
  <c r="Q2356" i="3"/>
  <c r="R2356" i="3"/>
  <c r="K2357" i="3"/>
  <c r="L2357" i="3"/>
  <c r="M2357" i="3"/>
  <c r="N2357" i="3"/>
  <c r="O2357" i="3"/>
  <c r="P2357" i="3"/>
  <c r="Q2357" i="3"/>
  <c r="R2357" i="3"/>
  <c r="K2358" i="3"/>
  <c r="L2358" i="3"/>
  <c r="M2358" i="3"/>
  <c r="N2358" i="3"/>
  <c r="O2358" i="3"/>
  <c r="P2358" i="3"/>
  <c r="Q2358" i="3"/>
  <c r="R2358" i="3"/>
  <c r="K2359" i="3"/>
  <c r="L2359" i="3"/>
  <c r="M2359" i="3"/>
  <c r="N2359" i="3"/>
  <c r="O2359" i="3"/>
  <c r="P2359" i="3"/>
  <c r="Q2359" i="3"/>
  <c r="R2359" i="3"/>
  <c r="K2360" i="3"/>
  <c r="L2360" i="3"/>
  <c r="M2360" i="3"/>
  <c r="N2360" i="3"/>
  <c r="O2360" i="3"/>
  <c r="P2360" i="3"/>
  <c r="Q2360" i="3"/>
  <c r="R2360" i="3"/>
  <c r="K2361" i="3"/>
  <c r="L2361" i="3"/>
  <c r="M2361" i="3"/>
  <c r="N2361" i="3"/>
  <c r="O2361" i="3"/>
  <c r="P2361" i="3"/>
  <c r="Q2361" i="3"/>
  <c r="R2361" i="3"/>
  <c r="K2362" i="3"/>
  <c r="L2362" i="3"/>
  <c r="M2362" i="3"/>
  <c r="N2362" i="3"/>
  <c r="O2362" i="3"/>
  <c r="P2362" i="3"/>
  <c r="Q2362" i="3"/>
  <c r="R2362" i="3"/>
  <c r="K2363" i="3"/>
  <c r="L2363" i="3"/>
  <c r="M2363" i="3"/>
  <c r="N2363" i="3"/>
  <c r="O2363" i="3"/>
  <c r="P2363" i="3"/>
  <c r="Q2363" i="3"/>
  <c r="R2363" i="3"/>
  <c r="K2364" i="3"/>
  <c r="L2364" i="3"/>
  <c r="M2364" i="3"/>
  <c r="N2364" i="3"/>
  <c r="O2364" i="3"/>
  <c r="P2364" i="3"/>
  <c r="Q2364" i="3"/>
  <c r="R2364" i="3"/>
  <c r="K2365" i="3"/>
  <c r="L2365" i="3"/>
  <c r="M2365" i="3"/>
  <c r="N2365" i="3"/>
  <c r="O2365" i="3"/>
  <c r="P2365" i="3"/>
  <c r="Q2365" i="3"/>
  <c r="R2365" i="3"/>
  <c r="K2366" i="3"/>
  <c r="L2366" i="3"/>
  <c r="M2366" i="3"/>
  <c r="N2366" i="3"/>
  <c r="O2366" i="3"/>
  <c r="P2366" i="3"/>
  <c r="Q2366" i="3"/>
  <c r="R2366" i="3"/>
  <c r="K2367" i="3"/>
  <c r="L2367" i="3"/>
  <c r="M2367" i="3"/>
  <c r="N2367" i="3"/>
  <c r="O2367" i="3"/>
  <c r="P2367" i="3"/>
  <c r="Q2367" i="3"/>
  <c r="R2367" i="3"/>
  <c r="K2368" i="3"/>
  <c r="L2368" i="3"/>
  <c r="M2368" i="3"/>
  <c r="N2368" i="3"/>
  <c r="O2368" i="3"/>
  <c r="P2368" i="3"/>
  <c r="Q2368" i="3"/>
  <c r="R2368" i="3"/>
  <c r="K2369" i="3"/>
  <c r="L2369" i="3"/>
  <c r="M2369" i="3"/>
  <c r="N2369" i="3"/>
  <c r="O2369" i="3"/>
  <c r="P2369" i="3"/>
  <c r="Q2369" i="3"/>
  <c r="R2369" i="3"/>
  <c r="K2370" i="3"/>
  <c r="L2370" i="3"/>
  <c r="M2370" i="3"/>
  <c r="N2370" i="3"/>
  <c r="O2370" i="3"/>
  <c r="P2370" i="3"/>
  <c r="Q2370" i="3"/>
  <c r="R2370" i="3"/>
  <c r="K2371" i="3"/>
  <c r="L2371" i="3"/>
  <c r="M2371" i="3"/>
  <c r="N2371" i="3"/>
  <c r="O2371" i="3"/>
  <c r="P2371" i="3"/>
  <c r="Q2371" i="3"/>
  <c r="R2371" i="3"/>
  <c r="K2372" i="3"/>
  <c r="L2372" i="3"/>
  <c r="M2372" i="3"/>
  <c r="N2372" i="3"/>
  <c r="O2372" i="3"/>
  <c r="P2372" i="3"/>
  <c r="Q2372" i="3"/>
  <c r="R2372" i="3"/>
  <c r="K2373" i="3"/>
  <c r="L2373" i="3"/>
  <c r="M2373" i="3"/>
  <c r="N2373" i="3"/>
  <c r="O2373" i="3"/>
  <c r="P2373" i="3"/>
  <c r="Q2373" i="3"/>
  <c r="R2373" i="3"/>
  <c r="K2374" i="3"/>
  <c r="L2374" i="3"/>
  <c r="M2374" i="3"/>
  <c r="N2374" i="3"/>
  <c r="O2374" i="3"/>
  <c r="P2374" i="3"/>
  <c r="C7" i="6" s="1"/>
  <c r="Q2374" i="3"/>
  <c r="R2374" i="3"/>
  <c r="K2375" i="3"/>
  <c r="L2375" i="3"/>
  <c r="M2375" i="3"/>
  <c r="N2375" i="3"/>
  <c r="O2375" i="3"/>
  <c r="P2375" i="3"/>
  <c r="Q2375" i="3"/>
  <c r="R2375" i="3"/>
  <c r="K2376" i="3"/>
  <c r="L2376" i="3"/>
  <c r="M2376" i="3"/>
  <c r="N2376" i="3"/>
  <c r="O2376" i="3"/>
  <c r="P2376" i="3"/>
  <c r="Q2376" i="3"/>
  <c r="R2376" i="3"/>
  <c r="K2377" i="3"/>
  <c r="L2377" i="3"/>
  <c r="M2377" i="3"/>
  <c r="N2377" i="3"/>
  <c r="O2377" i="3"/>
  <c r="P2377" i="3"/>
  <c r="Q2377" i="3"/>
  <c r="R2377" i="3"/>
  <c r="K2378" i="3"/>
  <c r="L2378" i="3"/>
  <c r="M2378" i="3"/>
  <c r="N2378" i="3"/>
  <c r="O2378" i="3"/>
  <c r="P2378" i="3"/>
  <c r="Q2378" i="3"/>
  <c r="R2378" i="3"/>
  <c r="K2379" i="3"/>
  <c r="L2379" i="3"/>
  <c r="M2379" i="3"/>
  <c r="N2379" i="3"/>
  <c r="O2379" i="3"/>
  <c r="P2379" i="3"/>
  <c r="Q2379" i="3"/>
  <c r="R2379" i="3"/>
  <c r="K2380" i="3"/>
  <c r="L2380" i="3"/>
  <c r="M2380" i="3"/>
  <c r="N2380" i="3"/>
  <c r="O2380" i="3"/>
  <c r="P2380" i="3"/>
  <c r="Q2380" i="3"/>
  <c r="R2380" i="3"/>
  <c r="K2381" i="3"/>
  <c r="L2381" i="3"/>
  <c r="M2381" i="3"/>
  <c r="N2381" i="3"/>
  <c r="O2381" i="3"/>
  <c r="P2381" i="3"/>
  <c r="Q2381" i="3"/>
  <c r="R2381" i="3"/>
  <c r="K2382" i="3"/>
  <c r="L2382" i="3"/>
  <c r="M2382" i="3"/>
  <c r="N2382" i="3"/>
  <c r="O2382" i="3"/>
  <c r="P2382" i="3"/>
  <c r="Q2382" i="3"/>
  <c r="R2382" i="3"/>
  <c r="K2383" i="3"/>
  <c r="L2383" i="3"/>
  <c r="M2383" i="3"/>
  <c r="N2383" i="3"/>
  <c r="O2383" i="3"/>
  <c r="P2383" i="3"/>
  <c r="Q2383" i="3"/>
  <c r="R2383" i="3"/>
  <c r="K2384" i="3"/>
  <c r="L2384" i="3"/>
  <c r="M2384" i="3"/>
  <c r="N2384" i="3"/>
  <c r="O2384" i="3"/>
  <c r="P2384" i="3"/>
  <c r="Q2384" i="3"/>
  <c r="R2384" i="3"/>
  <c r="K2385" i="3"/>
  <c r="L2385" i="3"/>
  <c r="M2385" i="3"/>
  <c r="N2385" i="3"/>
  <c r="O2385" i="3"/>
  <c r="P2385" i="3"/>
  <c r="Q2385" i="3"/>
  <c r="R2385" i="3"/>
  <c r="K2386" i="3"/>
  <c r="L2386" i="3"/>
  <c r="M2386" i="3"/>
  <c r="N2386" i="3"/>
  <c r="O2386" i="3"/>
  <c r="P2386" i="3"/>
  <c r="Q2386" i="3"/>
  <c r="R2386" i="3"/>
  <c r="K2387" i="3"/>
  <c r="L2387" i="3"/>
  <c r="M2387" i="3"/>
  <c r="N2387" i="3"/>
  <c r="O2387" i="3"/>
  <c r="P2387" i="3"/>
  <c r="Q2387" i="3"/>
  <c r="R2387" i="3"/>
  <c r="K2388" i="3"/>
  <c r="L2388" i="3"/>
  <c r="M2388" i="3"/>
  <c r="N2388" i="3"/>
  <c r="O2388" i="3"/>
  <c r="P2388" i="3"/>
  <c r="Q2388" i="3"/>
  <c r="R2388" i="3"/>
  <c r="K2389" i="3"/>
  <c r="L2389" i="3"/>
  <c r="M2389" i="3"/>
  <c r="N2389" i="3"/>
  <c r="O2389" i="3"/>
  <c r="P2389" i="3"/>
  <c r="Q2389" i="3"/>
  <c r="R2389" i="3"/>
  <c r="K2390" i="3"/>
  <c r="L2390" i="3"/>
  <c r="M2390" i="3"/>
  <c r="N2390" i="3"/>
  <c r="O2390" i="3"/>
  <c r="P2390" i="3"/>
  <c r="Q2390" i="3"/>
  <c r="R2390" i="3"/>
  <c r="K2391" i="3"/>
  <c r="L2391" i="3"/>
  <c r="M2391" i="3"/>
  <c r="N2391" i="3"/>
  <c r="O2391" i="3"/>
  <c r="P2391" i="3"/>
  <c r="Q2391" i="3"/>
  <c r="R2391" i="3"/>
  <c r="K2392" i="3"/>
  <c r="L2392" i="3"/>
  <c r="M2392" i="3"/>
  <c r="N2392" i="3"/>
  <c r="O2392" i="3"/>
  <c r="P2392" i="3"/>
  <c r="Q2392" i="3"/>
  <c r="R2392" i="3"/>
  <c r="K2393" i="3"/>
  <c r="L2393" i="3"/>
  <c r="M2393" i="3"/>
  <c r="N2393" i="3"/>
  <c r="O2393" i="3"/>
  <c r="P2393" i="3"/>
  <c r="Q2393" i="3"/>
  <c r="R2393" i="3"/>
  <c r="K2394" i="3"/>
  <c r="L2394" i="3"/>
  <c r="M2394" i="3"/>
  <c r="N2394" i="3"/>
  <c r="O2394" i="3"/>
  <c r="P2394" i="3"/>
  <c r="Q2394" i="3"/>
  <c r="R2394" i="3"/>
  <c r="K2395" i="3"/>
  <c r="L2395" i="3"/>
  <c r="M2395" i="3"/>
  <c r="N2395" i="3"/>
  <c r="O2395" i="3"/>
  <c r="P2395" i="3"/>
  <c r="Q2395" i="3"/>
  <c r="R2395" i="3"/>
  <c r="K2396" i="3"/>
  <c r="L2396" i="3"/>
  <c r="M2396" i="3"/>
  <c r="N2396" i="3"/>
  <c r="O2396" i="3"/>
  <c r="P2396" i="3"/>
  <c r="Q2396" i="3"/>
  <c r="R2396" i="3"/>
  <c r="K2397" i="3"/>
  <c r="L2397" i="3"/>
  <c r="M2397" i="3"/>
  <c r="N2397" i="3"/>
  <c r="O2397" i="3"/>
  <c r="P2397" i="3"/>
  <c r="Q2397" i="3"/>
  <c r="R2397" i="3"/>
  <c r="K2398" i="3"/>
  <c r="L2398" i="3"/>
  <c r="M2398" i="3"/>
  <c r="N2398" i="3"/>
  <c r="O2398" i="3"/>
  <c r="P2398" i="3"/>
  <c r="Q2398" i="3"/>
  <c r="R2398" i="3"/>
  <c r="K2399" i="3"/>
  <c r="L2399" i="3"/>
  <c r="M2399" i="3"/>
  <c r="N2399" i="3"/>
  <c r="O2399" i="3"/>
  <c r="P2399" i="3"/>
  <c r="Q2399" i="3"/>
  <c r="R2399" i="3"/>
  <c r="K2400" i="3"/>
  <c r="L2400" i="3"/>
  <c r="M2400" i="3"/>
  <c r="N2400" i="3"/>
  <c r="O2400" i="3"/>
  <c r="P2400" i="3"/>
  <c r="Q2400" i="3"/>
  <c r="R2400" i="3"/>
  <c r="K2401" i="3"/>
  <c r="L2401" i="3"/>
  <c r="M2401" i="3"/>
  <c r="N2401" i="3"/>
  <c r="O2401" i="3"/>
  <c r="P2401" i="3"/>
  <c r="Q2401" i="3"/>
  <c r="R2401" i="3"/>
  <c r="K2402" i="3"/>
  <c r="L2402" i="3"/>
  <c r="M2402" i="3"/>
  <c r="N2402" i="3"/>
  <c r="O2402" i="3"/>
  <c r="P2402" i="3"/>
  <c r="Q2402" i="3"/>
  <c r="R2402" i="3"/>
  <c r="K2403" i="3"/>
  <c r="L2403" i="3"/>
  <c r="M2403" i="3"/>
  <c r="N2403" i="3"/>
  <c r="O2403" i="3"/>
  <c r="P2403" i="3"/>
  <c r="Q2403" i="3"/>
  <c r="R2403" i="3"/>
  <c r="K2404" i="3"/>
  <c r="L2404" i="3"/>
  <c r="M2404" i="3"/>
  <c r="N2404" i="3"/>
  <c r="O2404" i="3"/>
  <c r="P2404" i="3"/>
  <c r="Q2404" i="3"/>
  <c r="R2404" i="3"/>
  <c r="K2405" i="3"/>
  <c r="L2405" i="3"/>
  <c r="M2405" i="3"/>
  <c r="N2405" i="3"/>
  <c r="O2405" i="3"/>
  <c r="P2405" i="3"/>
  <c r="Q2405" i="3"/>
  <c r="R2405" i="3"/>
  <c r="K2406" i="3"/>
  <c r="L2406" i="3"/>
  <c r="M2406" i="3"/>
  <c r="N2406" i="3"/>
  <c r="O2406" i="3"/>
  <c r="P2406" i="3"/>
  <c r="Q2406" i="3"/>
  <c r="R2406" i="3"/>
  <c r="K2407" i="3"/>
  <c r="L2407" i="3"/>
  <c r="M2407" i="3"/>
  <c r="N2407" i="3"/>
  <c r="O2407" i="3"/>
  <c r="P2407" i="3"/>
  <c r="Q2407" i="3"/>
  <c r="R2407" i="3"/>
  <c r="K2408" i="3"/>
  <c r="L2408" i="3"/>
  <c r="M2408" i="3"/>
  <c r="N2408" i="3"/>
  <c r="O2408" i="3"/>
  <c r="P2408" i="3"/>
  <c r="Q2408" i="3"/>
  <c r="R2408" i="3"/>
  <c r="K2409" i="3"/>
  <c r="L2409" i="3"/>
  <c r="M2409" i="3"/>
  <c r="N2409" i="3"/>
  <c r="O2409" i="3"/>
  <c r="P2409" i="3"/>
  <c r="Q2409" i="3"/>
  <c r="R2409" i="3"/>
  <c r="K2410" i="3"/>
  <c r="L2410" i="3"/>
  <c r="M2410" i="3"/>
  <c r="N2410" i="3"/>
  <c r="O2410" i="3"/>
  <c r="P2410" i="3"/>
  <c r="Q2410" i="3"/>
  <c r="R2410" i="3"/>
  <c r="K2411" i="3"/>
  <c r="L2411" i="3"/>
  <c r="M2411" i="3"/>
  <c r="N2411" i="3"/>
  <c r="O2411" i="3"/>
  <c r="P2411" i="3"/>
  <c r="Q2411" i="3"/>
  <c r="R2411" i="3"/>
  <c r="K2412" i="3"/>
  <c r="L2412" i="3"/>
  <c r="M2412" i="3"/>
  <c r="N2412" i="3"/>
  <c r="O2412" i="3"/>
  <c r="P2412" i="3"/>
  <c r="Q2412" i="3"/>
  <c r="R2412" i="3"/>
  <c r="K2413" i="3"/>
  <c r="L2413" i="3"/>
  <c r="M2413" i="3"/>
  <c r="N2413" i="3"/>
  <c r="O2413" i="3"/>
  <c r="P2413" i="3"/>
  <c r="Q2413" i="3"/>
  <c r="R2413" i="3"/>
  <c r="K2414" i="3"/>
  <c r="L2414" i="3"/>
  <c r="M2414" i="3"/>
  <c r="N2414" i="3"/>
  <c r="O2414" i="3"/>
  <c r="P2414" i="3"/>
  <c r="Q2414" i="3"/>
  <c r="R2414" i="3"/>
  <c r="K2415" i="3"/>
  <c r="L2415" i="3"/>
  <c r="M2415" i="3"/>
  <c r="N2415" i="3"/>
  <c r="O2415" i="3"/>
  <c r="P2415" i="3"/>
  <c r="Q2415" i="3"/>
  <c r="R2415" i="3"/>
  <c r="K2416" i="3"/>
  <c r="L2416" i="3"/>
  <c r="M2416" i="3"/>
  <c r="N2416" i="3"/>
  <c r="O2416" i="3"/>
  <c r="P2416" i="3"/>
  <c r="Q2416" i="3"/>
  <c r="R2416" i="3"/>
  <c r="K2417" i="3"/>
  <c r="L2417" i="3"/>
  <c r="M2417" i="3"/>
  <c r="N2417" i="3"/>
  <c r="O2417" i="3"/>
  <c r="P2417" i="3"/>
  <c r="Q2417" i="3"/>
  <c r="R2417" i="3"/>
  <c r="K2418" i="3"/>
  <c r="L2418" i="3"/>
  <c r="M2418" i="3"/>
  <c r="N2418" i="3"/>
  <c r="O2418" i="3"/>
  <c r="P2418" i="3"/>
  <c r="Q2418" i="3"/>
  <c r="R2418" i="3"/>
  <c r="K2419" i="3"/>
  <c r="L2419" i="3"/>
  <c r="M2419" i="3"/>
  <c r="N2419" i="3"/>
  <c r="O2419" i="3"/>
  <c r="P2419" i="3"/>
  <c r="Q2419" i="3"/>
  <c r="R2419" i="3"/>
  <c r="K2420" i="3"/>
  <c r="L2420" i="3"/>
  <c r="M2420" i="3"/>
  <c r="N2420" i="3"/>
  <c r="O2420" i="3"/>
  <c r="P2420" i="3"/>
  <c r="Q2420" i="3"/>
  <c r="R2420" i="3"/>
  <c r="K2421" i="3"/>
  <c r="L2421" i="3"/>
  <c r="M2421" i="3"/>
  <c r="N2421" i="3"/>
  <c r="O2421" i="3"/>
  <c r="P2421" i="3"/>
  <c r="Q2421" i="3"/>
  <c r="R2421" i="3"/>
  <c r="K2422" i="3"/>
  <c r="L2422" i="3"/>
  <c r="M2422" i="3"/>
  <c r="N2422" i="3"/>
  <c r="O2422" i="3"/>
  <c r="P2422" i="3"/>
  <c r="Q2422" i="3"/>
  <c r="R2422" i="3"/>
  <c r="K2423" i="3"/>
  <c r="L2423" i="3"/>
  <c r="M2423" i="3"/>
  <c r="N2423" i="3"/>
  <c r="O2423" i="3"/>
  <c r="P2423" i="3"/>
  <c r="Q2423" i="3"/>
  <c r="R2423" i="3"/>
  <c r="K2424" i="3"/>
  <c r="L2424" i="3"/>
  <c r="M2424" i="3"/>
  <c r="N2424" i="3"/>
  <c r="O2424" i="3"/>
  <c r="P2424" i="3"/>
  <c r="Q2424" i="3"/>
  <c r="R2424" i="3"/>
  <c r="K2425" i="3"/>
  <c r="L2425" i="3"/>
  <c r="M2425" i="3"/>
  <c r="N2425" i="3"/>
  <c r="O2425" i="3"/>
  <c r="P2425" i="3"/>
  <c r="Q2425" i="3"/>
  <c r="R2425" i="3"/>
  <c r="K2426" i="3"/>
  <c r="L2426" i="3"/>
  <c r="M2426" i="3"/>
  <c r="N2426" i="3"/>
  <c r="O2426" i="3"/>
  <c r="P2426" i="3"/>
  <c r="Q2426" i="3"/>
  <c r="R2426" i="3"/>
  <c r="K2427" i="3"/>
  <c r="L2427" i="3"/>
  <c r="M2427" i="3"/>
  <c r="N2427" i="3"/>
  <c r="O2427" i="3"/>
  <c r="P2427" i="3"/>
  <c r="Q2427" i="3"/>
  <c r="R2427" i="3"/>
  <c r="K2428" i="3"/>
  <c r="L2428" i="3"/>
  <c r="M2428" i="3"/>
  <c r="N2428" i="3"/>
  <c r="O2428" i="3"/>
  <c r="P2428" i="3"/>
  <c r="Q2428" i="3"/>
  <c r="R2428" i="3"/>
  <c r="K2429" i="3"/>
  <c r="L2429" i="3"/>
  <c r="M2429" i="3"/>
  <c r="N2429" i="3"/>
  <c r="O2429" i="3"/>
  <c r="P2429" i="3"/>
  <c r="Q2429" i="3"/>
  <c r="R2429" i="3"/>
  <c r="K2430" i="3"/>
  <c r="L2430" i="3"/>
  <c r="M2430" i="3"/>
  <c r="N2430" i="3"/>
  <c r="O2430" i="3"/>
  <c r="P2430" i="3"/>
  <c r="Q2430" i="3"/>
  <c r="R2430" i="3"/>
  <c r="K2431" i="3"/>
  <c r="L2431" i="3"/>
  <c r="M2431" i="3"/>
  <c r="N2431" i="3"/>
  <c r="O2431" i="3"/>
  <c r="P2431" i="3"/>
  <c r="Q2431" i="3"/>
  <c r="R2431" i="3"/>
  <c r="K2432" i="3"/>
  <c r="L2432" i="3"/>
  <c r="M2432" i="3"/>
  <c r="N2432" i="3"/>
  <c r="O2432" i="3"/>
  <c r="P2432" i="3"/>
  <c r="Q2432" i="3"/>
  <c r="R2432" i="3"/>
  <c r="K2433" i="3"/>
  <c r="L2433" i="3"/>
  <c r="M2433" i="3"/>
  <c r="N2433" i="3"/>
  <c r="O2433" i="3"/>
  <c r="P2433" i="3"/>
  <c r="Q2433" i="3"/>
  <c r="R2433" i="3"/>
  <c r="K2434" i="3"/>
  <c r="L2434" i="3"/>
  <c r="M2434" i="3"/>
  <c r="N2434" i="3"/>
  <c r="O2434" i="3"/>
  <c r="P2434" i="3"/>
  <c r="Q2434" i="3"/>
  <c r="R2434" i="3"/>
  <c r="K2435" i="3"/>
  <c r="L2435" i="3"/>
  <c r="M2435" i="3"/>
  <c r="N2435" i="3"/>
  <c r="O2435" i="3"/>
  <c r="P2435" i="3"/>
  <c r="Q2435" i="3"/>
  <c r="R2435" i="3"/>
  <c r="K2436" i="3"/>
  <c r="L2436" i="3"/>
  <c r="M2436" i="3"/>
  <c r="N2436" i="3"/>
  <c r="O2436" i="3"/>
  <c r="P2436" i="3"/>
  <c r="Q2436" i="3"/>
  <c r="R2436" i="3"/>
  <c r="K2437" i="3"/>
  <c r="L2437" i="3"/>
  <c r="M2437" i="3"/>
  <c r="N2437" i="3"/>
  <c r="O2437" i="3"/>
  <c r="P2437" i="3"/>
  <c r="Q2437" i="3"/>
  <c r="R2437" i="3"/>
  <c r="K2438" i="3"/>
  <c r="L2438" i="3"/>
  <c r="M2438" i="3"/>
  <c r="N2438" i="3"/>
  <c r="O2438" i="3"/>
  <c r="P2438" i="3"/>
  <c r="Q2438" i="3"/>
  <c r="R2438" i="3"/>
  <c r="K2439" i="3"/>
  <c r="L2439" i="3"/>
  <c r="M2439" i="3"/>
  <c r="N2439" i="3"/>
  <c r="O2439" i="3"/>
  <c r="P2439" i="3"/>
  <c r="Q2439" i="3"/>
  <c r="R2439" i="3"/>
  <c r="K2440" i="3"/>
  <c r="L2440" i="3"/>
  <c r="M2440" i="3"/>
  <c r="N2440" i="3"/>
  <c r="O2440" i="3"/>
  <c r="P2440" i="3"/>
  <c r="Q2440" i="3"/>
  <c r="R2440" i="3"/>
  <c r="K2441" i="3"/>
  <c r="L2441" i="3"/>
  <c r="M2441" i="3"/>
  <c r="N2441" i="3"/>
  <c r="O2441" i="3"/>
  <c r="P2441" i="3"/>
  <c r="Q2441" i="3"/>
  <c r="R2441" i="3"/>
  <c r="K2442" i="3"/>
  <c r="L2442" i="3"/>
  <c r="M2442" i="3"/>
  <c r="N2442" i="3"/>
  <c r="O2442" i="3"/>
  <c r="P2442" i="3"/>
  <c r="Q2442" i="3"/>
  <c r="R2442" i="3"/>
  <c r="K2443" i="3"/>
  <c r="L2443" i="3"/>
  <c r="M2443" i="3"/>
  <c r="N2443" i="3"/>
  <c r="O2443" i="3"/>
  <c r="P2443" i="3"/>
  <c r="Q2443" i="3"/>
  <c r="R2443" i="3"/>
  <c r="K2444" i="3"/>
  <c r="L2444" i="3"/>
  <c r="M2444" i="3"/>
  <c r="N2444" i="3"/>
  <c r="O2444" i="3"/>
  <c r="P2444" i="3"/>
  <c r="Q2444" i="3"/>
  <c r="R2444" i="3"/>
  <c r="K2445" i="3"/>
  <c r="L2445" i="3"/>
  <c r="M2445" i="3"/>
  <c r="N2445" i="3"/>
  <c r="O2445" i="3"/>
  <c r="P2445" i="3"/>
  <c r="Q2445" i="3"/>
  <c r="R2445" i="3"/>
  <c r="K2446" i="3"/>
  <c r="L2446" i="3"/>
  <c r="M2446" i="3"/>
  <c r="N2446" i="3"/>
  <c r="O2446" i="3"/>
  <c r="P2446" i="3"/>
  <c r="Q2446" i="3"/>
  <c r="R2446" i="3"/>
  <c r="K2447" i="3"/>
  <c r="L2447" i="3"/>
  <c r="M2447" i="3"/>
  <c r="N2447" i="3"/>
  <c r="O2447" i="3"/>
  <c r="P2447" i="3"/>
  <c r="Q2447" i="3"/>
  <c r="R2447" i="3"/>
  <c r="K2448" i="3"/>
  <c r="L2448" i="3"/>
  <c r="M2448" i="3"/>
  <c r="N2448" i="3"/>
  <c r="O2448" i="3"/>
  <c r="P2448" i="3"/>
  <c r="Q2448" i="3"/>
  <c r="R2448" i="3"/>
  <c r="K2449" i="3"/>
  <c r="L2449" i="3"/>
  <c r="M2449" i="3"/>
  <c r="N2449" i="3"/>
  <c r="O2449" i="3"/>
  <c r="P2449" i="3"/>
  <c r="Q2449" i="3"/>
  <c r="R2449" i="3"/>
  <c r="K2450" i="3"/>
  <c r="L2450" i="3"/>
  <c r="M2450" i="3"/>
  <c r="N2450" i="3"/>
  <c r="O2450" i="3"/>
  <c r="P2450" i="3"/>
  <c r="Q2450" i="3"/>
  <c r="R2450" i="3"/>
  <c r="K2451" i="3"/>
  <c r="L2451" i="3"/>
  <c r="M2451" i="3"/>
  <c r="N2451" i="3"/>
  <c r="O2451" i="3"/>
  <c r="P2451" i="3"/>
  <c r="Q2451" i="3"/>
  <c r="R2451" i="3"/>
  <c r="K2452" i="3"/>
  <c r="L2452" i="3"/>
  <c r="M2452" i="3"/>
  <c r="N2452" i="3"/>
  <c r="O2452" i="3"/>
  <c r="P2452" i="3"/>
  <c r="Q2452" i="3"/>
  <c r="R2452" i="3"/>
  <c r="K2453" i="3"/>
  <c r="L2453" i="3"/>
  <c r="M2453" i="3"/>
  <c r="N2453" i="3"/>
  <c r="O2453" i="3"/>
  <c r="P2453" i="3"/>
  <c r="Q2453" i="3"/>
  <c r="R2453" i="3"/>
  <c r="K2454" i="3"/>
  <c r="L2454" i="3"/>
  <c r="M2454" i="3"/>
  <c r="N2454" i="3"/>
  <c r="O2454" i="3"/>
  <c r="P2454" i="3"/>
  <c r="Q2454" i="3"/>
  <c r="R2454" i="3"/>
  <c r="K2455" i="3"/>
  <c r="L2455" i="3"/>
  <c r="M2455" i="3"/>
  <c r="N2455" i="3"/>
  <c r="O2455" i="3"/>
  <c r="P2455" i="3"/>
  <c r="Q2455" i="3"/>
  <c r="R2455" i="3"/>
  <c r="K2456" i="3"/>
  <c r="L2456" i="3"/>
  <c r="M2456" i="3"/>
  <c r="N2456" i="3"/>
  <c r="O2456" i="3"/>
  <c r="P2456" i="3"/>
  <c r="Q2456" i="3"/>
  <c r="R2456" i="3"/>
  <c r="K2457" i="3"/>
  <c r="L2457" i="3"/>
  <c r="M2457" i="3"/>
  <c r="N2457" i="3"/>
  <c r="O2457" i="3"/>
  <c r="P2457" i="3"/>
  <c r="Q2457" i="3"/>
  <c r="R2457" i="3"/>
  <c r="K2458" i="3"/>
  <c r="L2458" i="3"/>
  <c r="M2458" i="3"/>
  <c r="N2458" i="3"/>
  <c r="O2458" i="3"/>
  <c r="P2458" i="3"/>
  <c r="Q2458" i="3"/>
  <c r="R2458" i="3"/>
  <c r="K2459" i="3"/>
  <c r="L2459" i="3"/>
  <c r="M2459" i="3"/>
  <c r="N2459" i="3"/>
  <c r="O2459" i="3"/>
  <c r="P2459" i="3"/>
  <c r="Q2459" i="3"/>
  <c r="R2459" i="3"/>
  <c r="K2460" i="3"/>
  <c r="L2460" i="3"/>
  <c r="M2460" i="3"/>
  <c r="N2460" i="3"/>
  <c r="O2460" i="3"/>
  <c r="P2460" i="3"/>
  <c r="Q2460" i="3"/>
  <c r="R2460" i="3"/>
  <c r="K2461" i="3"/>
  <c r="L2461" i="3"/>
  <c r="M2461" i="3"/>
  <c r="N2461" i="3"/>
  <c r="O2461" i="3"/>
  <c r="P2461" i="3"/>
  <c r="Q2461" i="3"/>
  <c r="R2461" i="3"/>
  <c r="K2462" i="3"/>
  <c r="L2462" i="3"/>
  <c r="M2462" i="3"/>
  <c r="N2462" i="3"/>
  <c r="O2462" i="3"/>
  <c r="P2462" i="3"/>
  <c r="Q2462" i="3"/>
  <c r="R2462" i="3"/>
  <c r="K2463" i="3"/>
  <c r="L2463" i="3"/>
  <c r="M2463" i="3"/>
  <c r="N2463" i="3"/>
  <c r="O2463" i="3"/>
  <c r="P2463" i="3"/>
  <c r="Q2463" i="3"/>
  <c r="R2463" i="3"/>
  <c r="K2464" i="3"/>
  <c r="L2464" i="3"/>
  <c r="M2464" i="3"/>
  <c r="N2464" i="3"/>
  <c r="O2464" i="3"/>
  <c r="P2464" i="3"/>
  <c r="Q2464" i="3"/>
  <c r="R2464" i="3"/>
  <c r="K2465" i="3"/>
  <c r="L2465" i="3"/>
  <c r="M2465" i="3"/>
  <c r="N2465" i="3"/>
  <c r="O2465" i="3"/>
  <c r="P2465" i="3"/>
  <c r="Q2465" i="3"/>
  <c r="R2465" i="3"/>
  <c r="K2466" i="3"/>
  <c r="L2466" i="3"/>
  <c r="M2466" i="3"/>
  <c r="N2466" i="3"/>
  <c r="O2466" i="3"/>
  <c r="P2466" i="3"/>
  <c r="Q2466" i="3"/>
  <c r="R2466" i="3"/>
  <c r="K2467" i="3"/>
  <c r="L2467" i="3"/>
  <c r="M2467" i="3"/>
  <c r="N2467" i="3"/>
  <c r="O2467" i="3"/>
  <c r="P2467" i="3"/>
  <c r="Q2467" i="3"/>
  <c r="R2467" i="3"/>
  <c r="K2468" i="3"/>
  <c r="L2468" i="3"/>
  <c r="M2468" i="3"/>
  <c r="N2468" i="3"/>
  <c r="O2468" i="3"/>
  <c r="P2468" i="3"/>
  <c r="Q2468" i="3"/>
  <c r="R2468" i="3"/>
  <c r="K2469" i="3"/>
  <c r="L2469" i="3"/>
  <c r="M2469" i="3"/>
  <c r="N2469" i="3"/>
  <c r="O2469" i="3"/>
  <c r="P2469" i="3"/>
  <c r="Q2469" i="3"/>
  <c r="R2469" i="3"/>
  <c r="K2470" i="3"/>
  <c r="L2470" i="3"/>
  <c r="M2470" i="3"/>
  <c r="N2470" i="3"/>
  <c r="O2470" i="3"/>
  <c r="P2470" i="3"/>
  <c r="Q2470" i="3"/>
  <c r="R2470" i="3"/>
  <c r="K2471" i="3"/>
  <c r="L2471" i="3"/>
  <c r="M2471" i="3"/>
  <c r="N2471" i="3"/>
  <c r="O2471" i="3"/>
  <c r="P2471" i="3"/>
  <c r="Q2471" i="3"/>
  <c r="R2471" i="3"/>
  <c r="K2472" i="3"/>
  <c r="L2472" i="3"/>
  <c r="M2472" i="3"/>
  <c r="N2472" i="3"/>
  <c r="O2472" i="3"/>
  <c r="P2472" i="3"/>
  <c r="Q2472" i="3"/>
  <c r="R2472" i="3"/>
  <c r="K2473" i="3"/>
  <c r="L2473" i="3"/>
  <c r="M2473" i="3"/>
  <c r="N2473" i="3"/>
  <c r="O2473" i="3"/>
  <c r="P2473" i="3"/>
  <c r="Q2473" i="3"/>
  <c r="R2473" i="3"/>
  <c r="K2474" i="3"/>
  <c r="L2474" i="3"/>
  <c r="M2474" i="3"/>
  <c r="N2474" i="3"/>
  <c r="O2474" i="3"/>
  <c r="P2474" i="3"/>
  <c r="Q2474" i="3"/>
  <c r="R2474" i="3"/>
  <c r="K2475" i="3"/>
  <c r="L2475" i="3"/>
  <c r="M2475" i="3"/>
  <c r="N2475" i="3"/>
  <c r="O2475" i="3"/>
  <c r="P2475" i="3"/>
  <c r="Q2475" i="3"/>
  <c r="R2475" i="3"/>
  <c r="K2476" i="3"/>
  <c r="L2476" i="3"/>
  <c r="M2476" i="3"/>
  <c r="N2476" i="3"/>
  <c r="O2476" i="3"/>
  <c r="P2476" i="3"/>
  <c r="Q2476" i="3"/>
  <c r="R2476" i="3"/>
  <c r="K2477" i="3"/>
  <c r="L2477" i="3"/>
  <c r="M2477" i="3"/>
  <c r="N2477" i="3"/>
  <c r="O2477" i="3"/>
  <c r="P2477" i="3"/>
  <c r="Q2477" i="3"/>
  <c r="R2477" i="3"/>
  <c r="K2478" i="3"/>
  <c r="L2478" i="3"/>
  <c r="M2478" i="3"/>
  <c r="N2478" i="3"/>
  <c r="O2478" i="3"/>
  <c r="P2478" i="3"/>
  <c r="Q2478" i="3"/>
  <c r="R2478" i="3"/>
  <c r="K2479" i="3"/>
  <c r="L2479" i="3"/>
  <c r="M2479" i="3"/>
  <c r="N2479" i="3"/>
  <c r="O2479" i="3"/>
  <c r="P2479" i="3"/>
  <c r="Q2479" i="3"/>
  <c r="R2479" i="3"/>
  <c r="K2480" i="3"/>
  <c r="L2480" i="3"/>
  <c r="M2480" i="3"/>
  <c r="N2480" i="3"/>
  <c r="O2480" i="3"/>
  <c r="P2480" i="3"/>
  <c r="Q2480" i="3"/>
  <c r="R2480" i="3"/>
  <c r="K2481" i="3"/>
  <c r="L2481" i="3"/>
  <c r="M2481" i="3"/>
  <c r="N2481" i="3"/>
  <c r="O2481" i="3"/>
  <c r="P2481" i="3"/>
  <c r="Q2481" i="3"/>
  <c r="R2481" i="3"/>
  <c r="K2482" i="3"/>
  <c r="L2482" i="3"/>
  <c r="M2482" i="3"/>
  <c r="N2482" i="3"/>
  <c r="O2482" i="3"/>
  <c r="P2482" i="3"/>
  <c r="Q2482" i="3"/>
  <c r="R2482" i="3"/>
  <c r="K2483" i="3"/>
  <c r="L2483" i="3"/>
  <c r="M2483" i="3"/>
  <c r="N2483" i="3"/>
  <c r="O2483" i="3"/>
  <c r="P2483" i="3"/>
  <c r="Q2483" i="3"/>
  <c r="R2483" i="3"/>
  <c r="K2484" i="3"/>
  <c r="L2484" i="3"/>
  <c r="M2484" i="3"/>
  <c r="N2484" i="3"/>
  <c r="O2484" i="3"/>
  <c r="P2484" i="3"/>
  <c r="Q2484" i="3"/>
  <c r="R2484" i="3"/>
  <c r="K2485" i="3"/>
  <c r="L2485" i="3"/>
  <c r="M2485" i="3"/>
  <c r="N2485" i="3"/>
  <c r="O2485" i="3"/>
  <c r="P2485" i="3"/>
  <c r="Q2485" i="3"/>
  <c r="R2485" i="3"/>
  <c r="K2486" i="3"/>
  <c r="L2486" i="3"/>
  <c r="M2486" i="3"/>
  <c r="N2486" i="3"/>
  <c r="O2486" i="3"/>
  <c r="P2486" i="3"/>
  <c r="Q2486" i="3"/>
  <c r="R2486" i="3"/>
  <c r="K2487" i="3"/>
  <c r="L2487" i="3"/>
  <c r="M2487" i="3"/>
  <c r="N2487" i="3"/>
  <c r="O2487" i="3"/>
  <c r="P2487" i="3"/>
  <c r="Q2487" i="3"/>
  <c r="R2487" i="3"/>
  <c r="K2488" i="3"/>
  <c r="L2488" i="3"/>
  <c r="M2488" i="3"/>
  <c r="N2488" i="3"/>
  <c r="O2488" i="3"/>
  <c r="P2488" i="3"/>
  <c r="Q2488" i="3"/>
  <c r="R2488" i="3"/>
  <c r="K2489" i="3"/>
  <c r="L2489" i="3"/>
  <c r="M2489" i="3"/>
  <c r="N2489" i="3"/>
  <c r="O2489" i="3"/>
  <c r="P2489" i="3"/>
  <c r="Q2489" i="3"/>
  <c r="R2489" i="3"/>
  <c r="K2490" i="3"/>
  <c r="L2490" i="3"/>
  <c r="M2490" i="3"/>
  <c r="N2490" i="3"/>
  <c r="O2490" i="3"/>
  <c r="P2490" i="3"/>
  <c r="Q2490" i="3"/>
  <c r="R2490" i="3"/>
  <c r="K2491" i="3"/>
  <c r="L2491" i="3"/>
  <c r="M2491" i="3"/>
  <c r="N2491" i="3"/>
  <c r="O2491" i="3"/>
  <c r="P2491" i="3"/>
  <c r="Q2491" i="3"/>
  <c r="R2491" i="3"/>
  <c r="K2492" i="3"/>
  <c r="L2492" i="3"/>
  <c r="M2492" i="3"/>
  <c r="N2492" i="3"/>
  <c r="O2492" i="3"/>
  <c r="P2492" i="3"/>
  <c r="Q2492" i="3"/>
  <c r="R2492" i="3"/>
  <c r="K2493" i="3"/>
  <c r="L2493" i="3"/>
  <c r="M2493" i="3"/>
  <c r="N2493" i="3"/>
  <c r="O2493" i="3"/>
  <c r="P2493" i="3"/>
  <c r="Q2493" i="3"/>
  <c r="R2493" i="3"/>
  <c r="K2494" i="3"/>
  <c r="L2494" i="3"/>
  <c r="M2494" i="3"/>
  <c r="N2494" i="3"/>
  <c r="O2494" i="3"/>
  <c r="P2494" i="3"/>
  <c r="Q2494" i="3"/>
  <c r="R2494" i="3"/>
  <c r="K2495" i="3"/>
  <c r="L2495" i="3"/>
  <c r="M2495" i="3"/>
  <c r="N2495" i="3"/>
  <c r="O2495" i="3"/>
  <c r="P2495" i="3"/>
  <c r="Q2495" i="3"/>
  <c r="R2495" i="3"/>
  <c r="K2496" i="3"/>
  <c r="L2496" i="3"/>
  <c r="M2496" i="3"/>
  <c r="N2496" i="3"/>
  <c r="O2496" i="3"/>
  <c r="P2496" i="3"/>
  <c r="Q2496" i="3"/>
  <c r="R2496" i="3"/>
  <c r="K2497" i="3"/>
  <c r="L2497" i="3"/>
  <c r="M2497" i="3"/>
  <c r="N2497" i="3"/>
  <c r="O2497" i="3"/>
  <c r="P2497" i="3"/>
  <c r="Q2497" i="3"/>
  <c r="R2497" i="3"/>
  <c r="K2498" i="3"/>
  <c r="L2498" i="3"/>
  <c r="M2498" i="3"/>
  <c r="N2498" i="3"/>
  <c r="O2498" i="3"/>
  <c r="P2498" i="3"/>
  <c r="Q2498" i="3"/>
  <c r="R2498" i="3"/>
  <c r="K2499" i="3"/>
  <c r="L2499" i="3"/>
  <c r="M2499" i="3"/>
  <c r="N2499" i="3"/>
  <c r="O2499" i="3"/>
  <c r="P2499" i="3"/>
  <c r="Q2499" i="3"/>
  <c r="R2499" i="3"/>
  <c r="K2500" i="3"/>
  <c r="L2500" i="3"/>
  <c r="M2500" i="3"/>
  <c r="N2500" i="3"/>
  <c r="O2500" i="3"/>
  <c r="P2500" i="3"/>
  <c r="Q2500" i="3"/>
  <c r="R2500" i="3"/>
  <c r="K2501" i="3"/>
  <c r="L2501" i="3"/>
  <c r="M2501" i="3"/>
  <c r="N2501" i="3"/>
  <c r="O2501" i="3"/>
  <c r="P2501" i="3"/>
  <c r="Q2501" i="3"/>
  <c r="R2501" i="3"/>
  <c r="K2502" i="3"/>
  <c r="L2502" i="3"/>
  <c r="M2502" i="3"/>
  <c r="N2502" i="3"/>
  <c r="O2502" i="3"/>
  <c r="P2502" i="3"/>
  <c r="Q2502" i="3"/>
  <c r="R2502" i="3"/>
  <c r="K2503" i="3"/>
  <c r="L2503" i="3"/>
  <c r="M2503" i="3"/>
  <c r="N2503" i="3"/>
  <c r="O2503" i="3"/>
  <c r="P2503" i="3"/>
  <c r="Q2503" i="3"/>
  <c r="R2503" i="3"/>
  <c r="K2504" i="3"/>
  <c r="L2504" i="3"/>
  <c r="M2504" i="3"/>
  <c r="N2504" i="3"/>
  <c r="O2504" i="3"/>
  <c r="P2504" i="3"/>
  <c r="Q2504" i="3"/>
  <c r="R2504" i="3"/>
  <c r="K2505" i="3"/>
  <c r="L2505" i="3"/>
  <c r="M2505" i="3"/>
  <c r="N2505" i="3"/>
  <c r="O2505" i="3"/>
  <c r="P2505" i="3"/>
  <c r="Q2505" i="3"/>
  <c r="R2505" i="3"/>
  <c r="K2506" i="3"/>
  <c r="L2506" i="3"/>
  <c r="M2506" i="3"/>
  <c r="N2506" i="3"/>
  <c r="O2506" i="3"/>
  <c r="P2506" i="3"/>
  <c r="Q2506" i="3"/>
  <c r="R2506" i="3"/>
  <c r="K2507" i="3"/>
  <c r="L2507" i="3"/>
  <c r="M2507" i="3"/>
  <c r="N2507" i="3"/>
  <c r="O2507" i="3"/>
  <c r="P2507" i="3"/>
  <c r="Q2507" i="3"/>
  <c r="R2507" i="3"/>
  <c r="K2508" i="3"/>
  <c r="L2508" i="3"/>
  <c r="M2508" i="3"/>
  <c r="N2508" i="3"/>
  <c r="O2508" i="3"/>
  <c r="P2508" i="3"/>
  <c r="Q2508" i="3"/>
  <c r="R2508" i="3"/>
  <c r="K2509" i="3"/>
  <c r="L2509" i="3"/>
  <c r="M2509" i="3"/>
  <c r="N2509" i="3"/>
  <c r="O2509" i="3"/>
  <c r="P2509" i="3"/>
  <c r="Q2509" i="3"/>
  <c r="R2509" i="3"/>
  <c r="K2510" i="3"/>
  <c r="L2510" i="3"/>
  <c r="M2510" i="3"/>
  <c r="N2510" i="3"/>
  <c r="O2510" i="3"/>
  <c r="P2510" i="3"/>
  <c r="Q2510" i="3"/>
  <c r="R2510" i="3"/>
  <c r="K2511" i="3"/>
  <c r="L2511" i="3"/>
  <c r="M2511" i="3"/>
  <c r="N2511" i="3"/>
  <c r="O2511" i="3"/>
  <c r="P2511" i="3"/>
  <c r="Q2511" i="3"/>
  <c r="R2511" i="3"/>
  <c r="K2512" i="3"/>
  <c r="L2512" i="3"/>
  <c r="M2512" i="3"/>
  <c r="N2512" i="3"/>
  <c r="O2512" i="3"/>
  <c r="P2512" i="3"/>
  <c r="Q2512" i="3"/>
  <c r="R2512" i="3"/>
  <c r="K2513" i="3"/>
  <c r="L2513" i="3"/>
  <c r="M2513" i="3"/>
  <c r="N2513" i="3"/>
  <c r="O2513" i="3"/>
  <c r="P2513" i="3"/>
  <c r="Q2513" i="3"/>
  <c r="R2513" i="3"/>
  <c r="K2514" i="3"/>
  <c r="L2514" i="3"/>
  <c r="M2514" i="3"/>
  <c r="N2514" i="3"/>
  <c r="O2514" i="3"/>
  <c r="P2514" i="3"/>
  <c r="Q2514" i="3"/>
  <c r="R2514" i="3"/>
  <c r="K2515" i="3"/>
  <c r="L2515" i="3"/>
  <c r="M2515" i="3"/>
  <c r="N2515" i="3"/>
  <c r="O2515" i="3"/>
  <c r="P2515" i="3"/>
  <c r="Q2515" i="3"/>
  <c r="R2515" i="3"/>
  <c r="K2516" i="3"/>
  <c r="L2516" i="3"/>
  <c r="M2516" i="3"/>
  <c r="N2516" i="3"/>
  <c r="O2516" i="3"/>
  <c r="P2516" i="3"/>
  <c r="Q2516" i="3"/>
  <c r="R2516" i="3"/>
  <c r="K2517" i="3"/>
  <c r="L2517" i="3"/>
  <c r="M2517" i="3"/>
  <c r="N2517" i="3"/>
  <c r="O2517" i="3"/>
  <c r="P2517" i="3"/>
  <c r="Q2517" i="3"/>
  <c r="R2517" i="3"/>
  <c r="K2518" i="3"/>
  <c r="L2518" i="3"/>
  <c r="M2518" i="3"/>
  <c r="N2518" i="3"/>
  <c r="O2518" i="3"/>
  <c r="P2518" i="3"/>
  <c r="Q2518" i="3"/>
  <c r="R2518" i="3"/>
  <c r="K2519" i="3"/>
  <c r="L2519" i="3"/>
  <c r="M2519" i="3"/>
  <c r="N2519" i="3"/>
  <c r="O2519" i="3"/>
  <c r="P2519" i="3"/>
  <c r="Q2519" i="3"/>
  <c r="R2519" i="3"/>
  <c r="K2520" i="3"/>
  <c r="L2520" i="3"/>
  <c r="M2520" i="3"/>
  <c r="N2520" i="3"/>
  <c r="O2520" i="3"/>
  <c r="P2520" i="3"/>
  <c r="Q2520" i="3"/>
  <c r="R2520" i="3"/>
  <c r="K2521" i="3"/>
  <c r="L2521" i="3"/>
  <c r="M2521" i="3"/>
  <c r="N2521" i="3"/>
  <c r="O2521" i="3"/>
  <c r="P2521" i="3"/>
  <c r="Q2521" i="3"/>
  <c r="R2521" i="3"/>
  <c r="K2522" i="3"/>
  <c r="L2522" i="3"/>
  <c r="M2522" i="3"/>
  <c r="N2522" i="3"/>
  <c r="O2522" i="3"/>
  <c r="P2522" i="3"/>
  <c r="Q2522" i="3"/>
  <c r="R2522" i="3"/>
  <c r="K2523" i="3"/>
  <c r="L2523" i="3"/>
  <c r="M2523" i="3"/>
  <c r="N2523" i="3"/>
  <c r="O2523" i="3"/>
  <c r="P2523" i="3"/>
  <c r="Q2523" i="3"/>
  <c r="R2523" i="3"/>
  <c r="K2524" i="3"/>
  <c r="L2524" i="3"/>
  <c r="M2524" i="3"/>
  <c r="N2524" i="3"/>
  <c r="O2524" i="3"/>
  <c r="P2524" i="3"/>
  <c r="Q2524" i="3"/>
  <c r="R2524" i="3"/>
  <c r="K2525" i="3"/>
  <c r="L2525" i="3"/>
  <c r="M2525" i="3"/>
  <c r="N2525" i="3"/>
  <c r="O2525" i="3"/>
  <c r="P2525" i="3"/>
  <c r="Q2525" i="3"/>
  <c r="R2525" i="3"/>
  <c r="K2526" i="3"/>
  <c r="L2526" i="3"/>
  <c r="M2526" i="3"/>
  <c r="N2526" i="3"/>
  <c r="O2526" i="3"/>
  <c r="P2526" i="3"/>
  <c r="Q2526" i="3"/>
  <c r="R2526" i="3"/>
  <c r="K2527" i="3"/>
  <c r="L2527" i="3"/>
  <c r="M2527" i="3"/>
  <c r="N2527" i="3"/>
  <c r="O2527" i="3"/>
  <c r="P2527" i="3"/>
  <c r="Q2527" i="3"/>
  <c r="R2527" i="3"/>
  <c r="K2528" i="3"/>
  <c r="L2528" i="3"/>
  <c r="M2528" i="3"/>
  <c r="N2528" i="3"/>
  <c r="O2528" i="3"/>
  <c r="P2528" i="3"/>
  <c r="Q2528" i="3"/>
  <c r="R2528" i="3"/>
  <c r="K2529" i="3"/>
  <c r="L2529" i="3"/>
  <c r="M2529" i="3"/>
  <c r="N2529" i="3"/>
  <c r="O2529" i="3"/>
  <c r="P2529" i="3"/>
  <c r="Q2529" i="3"/>
  <c r="R2529" i="3"/>
  <c r="K2530" i="3"/>
  <c r="L2530" i="3"/>
  <c r="M2530" i="3"/>
  <c r="N2530" i="3"/>
  <c r="O2530" i="3"/>
  <c r="P2530" i="3"/>
  <c r="Q2530" i="3"/>
  <c r="R2530" i="3"/>
  <c r="K2531" i="3"/>
  <c r="L2531" i="3"/>
  <c r="M2531" i="3"/>
  <c r="N2531" i="3"/>
  <c r="O2531" i="3"/>
  <c r="P2531" i="3"/>
  <c r="Q2531" i="3"/>
  <c r="R2531" i="3"/>
  <c r="K2532" i="3"/>
  <c r="L2532" i="3"/>
  <c r="M2532" i="3"/>
  <c r="N2532" i="3"/>
  <c r="O2532" i="3"/>
  <c r="P2532" i="3"/>
  <c r="Q2532" i="3"/>
  <c r="R2532" i="3"/>
  <c r="K2533" i="3"/>
  <c r="L2533" i="3"/>
  <c r="M2533" i="3"/>
  <c r="N2533" i="3"/>
  <c r="O2533" i="3"/>
  <c r="P2533" i="3"/>
  <c r="Q2533" i="3"/>
  <c r="R2533" i="3"/>
  <c r="K2534" i="3"/>
  <c r="L2534" i="3"/>
  <c r="M2534" i="3"/>
  <c r="N2534" i="3"/>
  <c r="O2534" i="3"/>
  <c r="P2534" i="3"/>
  <c r="Q2534" i="3"/>
  <c r="R2534" i="3"/>
  <c r="K2535" i="3"/>
  <c r="L2535" i="3"/>
  <c r="M2535" i="3"/>
  <c r="N2535" i="3"/>
  <c r="O2535" i="3"/>
  <c r="P2535" i="3"/>
  <c r="Q2535" i="3"/>
  <c r="R2535" i="3"/>
  <c r="K2536" i="3"/>
  <c r="L2536" i="3"/>
  <c r="M2536" i="3"/>
  <c r="N2536" i="3"/>
  <c r="O2536" i="3"/>
  <c r="P2536" i="3"/>
  <c r="Q2536" i="3"/>
  <c r="R2536" i="3"/>
  <c r="K2537" i="3"/>
  <c r="L2537" i="3"/>
  <c r="M2537" i="3"/>
  <c r="N2537" i="3"/>
  <c r="O2537" i="3"/>
  <c r="P2537" i="3"/>
  <c r="Q2537" i="3"/>
  <c r="R2537" i="3"/>
  <c r="K2538" i="3"/>
  <c r="L2538" i="3"/>
  <c r="M2538" i="3"/>
  <c r="N2538" i="3"/>
  <c r="O2538" i="3"/>
  <c r="P2538" i="3"/>
  <c r="Q2538" i="3"/>
  <c r="R2538" i="3"/>
  <c r="K2539" i="3"/>
  <c r="L2539" i="3"/>
  <c r="M2539" i="3"/>
  <c r="N2539" i="3"/>
  <c r="O2539" i="3"/>
  <c r="P2539" i="3"/>
  <c r="Q2539" i="3"/>
  <c r="R2539" i="3"/>
  <c r="K2540" i="3"/>
  <c r="L2540" i="3"/>
  <c r="M2540" i="3"/>
  <c r="N2540" i="3"/>
  <c r="O2540" i="3"/>
  <c r="P2540" i="3"/>
  <c r="Q2540" i="3"/>
  <c r="R2540" i="3"/>
  <c r="K2541" i="3"/>
  <c r="L2541" i="3"/>
  <c r="M2541" i="3"/>
  <c r="N2541" i="3"/>
  <c r="O2541" i="3"/>
  <c r="P2541" i="3"/>
  <c r="Q2541" i="3"/>
  <c r="R2541" i="3"/>
  <c r="K2542" i="3"/>
  <c r="L2542" i="3"/>
  <c r="M2542" i="3"/>
  <c r="N2542" i="3"/>
  <c r="O2542" i="3"/>
  <c r="P2542" i="3"/>
  <c r="Q2542" i="3"/>
  <c r="R2542" i="3"/>
  <c r="K2543" i="3"/>
  <c r="L2543" i="3"/>
  <c r="M2543" i="3"/>
  <c r="N2543" i="3"/>
  <c r="O2543" i="3"/>
  <c r="P2543" i="3"/>
  <c r="Q2543" i="3"/>
  <c r="R2543" i="3"/>
  <c r="K2544" i="3"/>
  <c r="L2544" i="3"/>
  <c r="M2544" i="3"/>
  <c r="N2544" i="3"/>
  <c r="O2544" i="3"/>
  <c r="P2544" i="3"/>
  <c r="Q2544" i="3"/>
  <c r="R2544" i="3"/>
  <c r="K2545" i="3"/>
  <c r="L2545" i="3"/>
  <c r="M2545" i="3"/>
  <c r="N2545" i="3"/>
  <c r="O2545" i="3"/>
  <c r="P2545" i="3"/>
  <c r="Q2545" i="3"/>
  <c r="R2545" i="3"/>
  <c r="K2546" i="3"/>
  <c r="L2546" i="3"/>
  <c r="M2546" i="3"/>
  <c r="N2546" i="3"/>
  <c r="O2546" i="3"/>
  <c r="P2546" i="3"/>
  <c r="Q2546" i="3"/>
  <c r="R2546" i="3"/>
  <c r="K2547" i="3"/>
  <c r="L2547" i="3"/>
  <c r="M2547" i="3"/>
  <c r="N2547" i="3"/>
  <c r="O2547" i="3"/>
  <c r="P2547" i="3"/>
  <c r="Q2547" i="3"/>
  <c r="R2547" i="3"/>
  <c r="K2548" i="3"/>
  <c r="L2548" i="3"/>
  <c r="M2548" i="3"/>
  <c r="N2548" i="3"/>
  <c r="O2548" i="3"/>
  <c r="P2548" i="3"/>
  <c r="Q2548" i="3"/>
  <c r="R2548" i="3"/>
  <c r="K2549" i="3"/>
  <c r="L2549" i="3"/>
  <c r="M2549" i="3"/>
  <c r="N2549" i="3"/>
  <c r="O2549" i="3"/>
  <c r="P2549" i="3"/>
  <c r="Q2549" i="3"/>
  <c r="R2549" i="3"/>
  <c r="K2550" i="3"/>
  <c r="L2550" i="3"/>
  <c r="M2550" i="3"/>
  <c r="N2550" i="3"/>
  <c r="O2550" i="3"/>
  <c r="P2550" i="3"/>
  <c r="Q2550" i="3"/>
  <c r="R2550" i="3"/>
  <c r="K2551" i="3"/>
  <c r="L2551" i="3"/>
  <c r="M2551" i="3"/>
  <c r="N2551" i="3"/>
  <c r="O2551" i="3"/>
  <c r="P2551" i="3"/>
  <c r="Q2551" i="3"/>
  <c r="R2551" i="3"/>
  <c r="K2552" i="3"/>
  <c r="L2552" i="3"/>
  <c r="M2552" i="3"/>
  <c r="N2552" i="3"/>
  <c r="O2552" i="3"/>
  <c r="P2552" i="3"/>
  <c r="Q2552" i="3"/>
  <c r="R2552" i="3"/>
  <c r="K2553" i="3"/>
  <c r="L2553" i="3"/>
  <c r="M2553" i="3"/>
  <c r="N2553" i="3"/>
  <c r="O2553" i="3"/>
  <c r="P2553" i="3"/>
  <c r="Q2553" i="3"/>
  <c r="R2553" i="3"/>
  <c r="K2554" i="3"/>
  <c r="L2554" i="3"/>
  <c r="M2554" i="3"/>
  <c r="N2554" i="3"/>
  <c r="O2554" i="3"/>
  <c r="P2554" i="3"/>
  <c r="Q2554" i="3"/>
  <c r="R2554" i="3"/>
  <c r="K2555" i="3"/>
  <c r="L2555" i="3"/>
  <c r="M2555" i="3"/>
  <c r="N2555" i="3"/>
  <c r="O2555" i="3"/>
  <c r="P2555" i="3"/>
  <c r="Q2555" i="3"/>
  <c r="R2555" i="3"/>
  <c r="K2556" i="3"/>
  <c r="L2556" i="3"/>
  <c r="M2556" i="3"/>
  <c r="N2556" i="3"/>
  <c r="O2556" i="3"/>
  <c r="P2556" i="3"/>
  <c r="Q2556" i="3"/>
  <c r="R2556" i="3"/>
  <c r="K2557" i="3"/>
  <c r="L2557" i="3"/>
  <c r="M2557" i="3"/>
  <c r="N2557" i="3"/>
  <c r="O2557" i="3"/>
  <c r="P2557" i="3"/>
  <c r="Q2557" i="3"/>
  <c r="R2557" i="3"/>
  <c r="K2558" i="3"/>
  <c r="L2558" i="3"/>
  <c r="M2558" i="3"/>
  <c r="N2558" i="3"/>
  <c r="O2558" i="3"/>
  <c r="P2558" i="3"/>
  <c r="Q2558" i="3"/>
  <c r="R2558" i="3"/>
  <c r="K2559" i="3"/>
  <c r="L2559" i="3"/>
  <c r="M2559" i="3"/>
  <c r="N2559" i="3"/>
  <c r="O2559" i="3"/>
  <c r="P2559" i="3"/>
  <c r="Q2559" i="3"/>
  <c r="R2559" i="3"/>
  <c r="K2560" i="3"/>
  <c r="L2560" i="3"/>
  <c r="M2560" i="3"/>
  <c r="N2560" i="3"/>
  <c r="O2560" i="3"/>
  <c r="P2560" i="3"/>
  <c r="Q2560" i="3"/>
  <c r="R2560" i="3"/>
  <c r="K2561" i="3"/>
  <c r="L2561" i="3"/>
  <c r="M2561" i="3"/>
  <c r="N2561" i="3"/>
  <c r="O2561" i="3"/>
  <c r="P2561" i="3"/>
  <c r="Q2561" i="3"/>
  <c r="R2561" i="3"/>
  <c r="K2562" i="3"/>
  <c r="L2562" i="3"/>
  <c r="M2562" i="3"/>
  <c r="N2562" i="3"/>
  <c r="O2562" i="3"/>
  <c r="P2562" i="3"/>
  <c r="Q2562" i="3"/>
  <c r="R2562" i="3"/>
  <c r="K2563" i="3"/>
  <c r="L2563" i="3"/>
  <c r="M2563" i="3"/>
  <c r="N2563" i="3"/>
  <c r="O2563" i="3"/>
  <c r="P2563" i="3"/>
  <c r="Q2563" i="3"/>
  <c r="R2563" i="3"/>
  <c r="K2564" i="3"/>
  <c r="L2564" i="3"/>
  <c r="M2564" i="3"/>
  <c r="N2564" i="3"/>
  <c r="O2564" i="3"/>
  <c r="P2564" i="3"/>
  <c r="Q2564" i="3"/>
  <c r="R2564" i="3"/>
  <c r="K2565" i="3"/>
  <c r="L2565" i="3"/>
  <c r="M2565" i="3"/>
  <c r="N2565" i="3"/>
  <c r="O2565" i="3"/>
  <c r="P2565" i="3"/>
  <c r="Q2565" i="3"/>
  <c r="R2565" i="3"/>
  <c r="K2566" i="3"/>
  <c r="L2566" i="3"/>
  <c r="M2566" i="3"/>
  <c r="N2566" i="3"/>
  <c r="O2566" i="3"/>
  <c r="P2566" i="3"/>
  <c r="Q2566" i="3"/>
  <c r="R2566" i="3"/>
  <c r="K2567" i="3"/>
  <c r="L2567" i="3"/>
  <c r="M2567" i="3"/>
  <c r="N2567" i="3"/>
  <c r="O2567" i="3"/>
  <c r="P2567" i="3"/>
  <c r="Q2567" i="3"/>
  <c r="R2567" i="3"/>
  <c r="K2568" i="3"/>
  <c r="L2568" i="3"/>
  <c r="M2568" i="3"/>
  <c r="N2568" i="3"/>
  <c r="O2568" i="3"/>
  <c r="P2568" i="3"/>
  <c r="Q2568" i="3"/>
  <c r="R2568" i="3"/>
  <c r="K2569" i="3"/>
  <c r="L2569" i="3"/>
  <c r="M2569" i="3"/>
  <c r="N2569" i="3"/>
  <c r="O2569" i="3"/>
  <c r="P2569" i="3"/>
  <c r="Q2569" i="3"/>
  <c r="R2569" i="3"/>
  <c r="K2570" i="3"/>
  <c r="L2570" i="3"/>
  <c r="M2570" i="3"/>
  <c r="N2570" i="3"/>
  <c r="O2570" i="3"/>
  <c r="P2570" i="3"/>
  <c r="Q2570" i="3"/>
  <c r="R2570" i="3"/>
  <c r="K2571" i="3"/>
  <c r="L2571" i="3"/>
  <c r="M2571" i="3"/>
  <c r="N2571" i="3"/>
  <c r="O2571" i="3"/>
  <c r="P2571" i="3"/>
  <c r="Q2571" i="3"/>
  <c r="R2571" i="3"/>
  <c r="K2572" i="3"/>
  <c r="L2572" i="3"/>
  <c r="M2572" i="3"/>
  <c r="N2572" i="3"/>
  <c r="O2572" i="3"/>
  <c r="P2572" i="3"/>
  <c r="Q2572" i="3"/>
  <c r="R2572" i="3"/>
  <c r="K2573" i="3"/>
  <c r="L2573" i="3"/>
  <c r="M2573" i="3"/>
  <c r="N2573" i="3"/>
  <c r="O2573" i="3"/>
  <c r="P2573" i="3"/>
  <c r="Q2573" i="3"/>
  <c r="R2573" i="3"/>
  <c r="K2574" i="3"/>
  <c r="L2574" i="3"/>
  <c r="M2574" i="3"/>
  <c r="N2574" i="3"/>
  <c r="O2574" i="3"/>
  <c r="P2574" i="3"/>
  <c r="Q2574" i="3"/>
  <c r="R2574" i="3"/>
  <c r="K2575" i="3"/>
  <c r="L2575" i="3"/>
  <c r="M2575" i="3"/>
  <c r="N2575" i="3"/>
  <c r="O2575" i="3"/>
  <c r="P2575" i="3"/>
  <c r="Q2575" i="3"/>
  <c r="R2575" i="3"/>
  <c r="K2576" i="3"/>
  <c r="L2576" i="3"/>
  <c r="M2576" i="3"/>
  <c r="N2576" i="3"/>
  <c r="O2576" i="3"/>
  <c r="P2576" i="3"/>
  <c r="Q2576" i="3"/>
  <c r="R2576" i="3"/>
  <c r="K2577" i="3"/>
  <c r="L2577" i="3"/>
  <c r="M2577" i="3"/>
  <c r="N2577" i="3"/>
  <c r="O2577" i="3"/>
  <c r="P2577" i="3"/>
  <c r="Q2577" i="3"/>
  <c r="R2577" i="3"/>
  <c r="K2578" i="3"/>
  <c r="L2578" i="3"/>
  <c r="M2578" i="3"/>
  <c r="N2578" i="3"/>
  <c r="O2578" i="3"/>
  <c r="P2578" i="3"/>
  <c r="Q2578" i="3"/>
  <c r="R2578" i="3"/>
  <c r="K2579" i="3"/>
  <c r="L2579" i="3"/>
  <c r="M2579" i="3"/>
  <c r="N2579" i="3"/>
  <c r="O2579" i="3"/>
  <c r="P2579" i="3"/>
  <c r="Q2579" i="3"/>
  <c r="R2579" i="3"/>
  <c r="K2580" i="3"/>
  <c r="L2580" i="3"/>
  <c r="M2580" i="3"/>
  <c r="N2580" i="3"/>
  <c r="O2580" i="3"/>
  <c r="P2580" i="3"/>
  <c r="Q2580" i="3"/>
  <c r="R2580" i="3"/>
  <c r="K2581" i="3"/>
  <c r="L2581" i="3"/>
  <c r="M2581" i="3"/>
  <c r="N2581" i="3"/>
  <c r="O2581" i="3"/>
  <c r="P2581" i="3"/>
  <c r="Q2581" i="3"/>
  <c r="R2581" i="3"/>
  <c r="K2582" i="3"/>
  <c r="L2582" i="3"/>
  <c r="M2582" i="3"/>
  <c r="N2582" i="3"/>
  <c r="O2582" i="3"/>
  <c r="P2582" i="3"/>
  <c r="Q2582" i="3"/>
  <c r="R2582" i="3"/>
  <c r="K2583" i="3"/>
  <c r="L2583" i="3"/>
  <c r="M2583" i="3"/>
  <c r="N2583" i="3"/>
  <c r="O2583" i="3"/>
  <c r="P2583" i="3"/>
  <c r="Q2583" i="3"/>
  <c r="R2583" i="3"/>
  <c r="K2584" i="3"/>
  <c r="L2584" i="3"/>
  <c r="M2584" i="3"/>
  <c r="N2584" i="3"/>
  <c r="O2584" i="3"/>
  <c r="P2584" i="3"/>
  <c r="Q2584" i="3"/>
  <c r="R2584" i="3"/>
  <c r="K2585" i="3"/>
  <c r="L2585" i="3"/>
  <c r="M2585" i="3"/>
  <c r="N2585" i="3"/>
  <c r="O2585" i="3"/>
  <c r="P2585" i="3"/>
  <c r="Q2585" i="3"/>
  <c r="R2585" i="3"/>
  <c r="K2586" i="3"/>
  <c r="L2586" i="3"/>
  <c r="M2586" i="3"/>
  <c r="N2586" i="3"/>
  <c r="O2586" i="3"/>
  <c r="P2586" i="3"/>
  <c r="Q2586" i="3"/>
  <c r="R2586" i="3"/>
  <c r="K2587" i="3"/>
  <c r="L2587" i="3"/>
  <c r="M2587" i="3"/>
  <c r="N2587" i="3"/>
  <c r="O2587" i="3"/>
  <c r="P2587" i="3"/>
  <c r="Q2587" i="3"/>
  <c r="R2587" i="3"/>
  <c r="K2588" i="3"/>
  <c r="L2588" i="3"/>
  <c r="M2588" i="3"/>
  <c r="N2588" i="3"/>
  <c r="O2588" i="3"/>
  <c r="P2588" i="3"/>
  <c r="Q2588" i="3"/>
  <c r="R2588" i="3"/>
  <c r="K2589" i="3"/>
  <c r="L2589" i="3"/>
  <c r="M2589" i="3"/>
  <c r="N2589" i="3"/>
  <c r="O2589" i="3"/>
  <c r="P2589" i="3"/>
  <c r="Q2589" i="3"/>
  <c r="R2589" i="3"/>
  <c r="K2590" i="3"/>
  <c r="L2590" i="3"/>
  <c r="M2590" i="3"/>
  <c r="N2590" i="3"/>
  <c r="O2590" i="3"/>
  <c r="P2590" i="3"/>
  <c r="Q2590" i="3"/>
  <c r="R2590" i="3"/>
  <c r="K2591" i="3"/>
  <c r="L2591" i="3"/>
  <c r="M2591" i="3"/>
  <c r="N2591" i="3"/>
  <c r="O2591" i="3"/>
  <c r="P2591" i="3"/>
  <c r="Q2591" i="3"/>
  <c r="R2591" i="3"/>
  <c r="K2592" i="3"/>
  <c r="L2592" i="3"/>
  <c r="M2592" i="3"/>
  <c r="N2592" i="3"/>
  <c r="O2592" i="3"/>
  <c r="P2592" i="3"/>
  <c r="Q2592" i="3"/>
  <c r="R2592" i="3"/>
  <c r="K2593" i="3"/>
  <c r="L2593" i="3"/>
  <c r="M2593" i="3"/>
  <c r="N2593" i="3"/>
  <c r="O2593" i="3"/>
  <c r="P2593" i="3"/>
  <c r="Q2593" i="3"/>
  <c r="R2593" i="3"/>
  <c r="K2594" i="3"/>
  <c r="L2594" i="3"/>
  <c r="M2594" i="3"/>
  <c r="N2594" i="3"/>
  <c r="O2594" i="3"/>
  <c r="P2594" i="3"/>
  <c r="Q2594" i="3"/>
  <c r="R2594" i="3"/>
  <c r="K2595" i="3"/>
  <c r="L2595" i="3"/>
  <c r="M2595" i="3"/>
  <c r="N2595" i="3"/>
  <c r="O2595" i="3"/>
  <c r="P2595" i="3"/>
  <c r="Q2595" i="3"/>
  <c r="R2595" i="3"/>
  <c r="K2596" i="3"/>
  <c r="L2596" i="3"/>
  <c r="M2596" i="3"/>
  <c r="N2596" i="3"/>
  <c r="O2596" i="3"/>
  <c r="P2596" i="3"/>
  <c r="Q2596" i="3"/>
  <c r="R2596" i="3"/>
  <c r="K2597" i="3"/>
  <c r="L2597" i="3"/>
  <c r="M2597" i="3"/>
  <c r="N2597" i="3"/>
  <c r="O2597" i="3"/>
  <c r="P2597" i="3"/>
  <c r="Q2597" i="3"/>
  <c r="R2597" i="3"/>
  <c r="K2598" i="3"/>
  <c r="L2598" i="3"/>
  <c r="M2598" i="3"/>
  <c r="N2598" i="3"/>
  <c r="O2598" i="3"/>
  <c r="P2598" i="3"/>
  <c r="Q2598" i="3"/>
  <c r="R2598" i="3"/>
  <c r="K2599" i="3"/>
  <c r="L2599" i="3"/>
  <c r="M2599" i="3"/>
  <c r="N2599" i="3"/>
  <c r="O2599" i="3"/>
  <c r="P2599" i="3"/>
  <c r="Q2599" i="3"/>
  <c r="R2599" i="3"/>
  <c r="K2600" i="3"/>
  <c r="L2600" i="3"/>
  <c r="M2600" i="3"/>
  <c r="N2600" i="3"/>
  <c r="O2600" i="3"/>
  <c r="P2600" i="3"/>
  <c r="Q2600" i="3"/>
  <c r="R2600" i="3"/>
  <c r="K2601" i="3"/>
  <c r="L2601" i="3"/>
  <c r="M2601" i="3"/>
  <c r="N2601" i="3"/>
  <c r="O2601" i="3"/>
  <c r="P2601" i="3"/>
  <c r="Q2601" i="3"/>
  <c r="R2601" i="3"/>
  <c r="K2602" i="3"/>
  <c r="L2602" i="3"/>
  <c r="M2602" i="3"/>
  <c r="N2602" i="3"/>
  <c r="O2602" i="3"/>
  <c r="P2602" i="3"/>
  <c r="Q2602" i="3"/>
  <c r="R2602" i="3"/>
  <c r="K2603" i="3"/>
  <c r="L2603" i="3"/>
  <c r="M2603" i="3"/>
  <c r="N2603" i="3"/>
  <c r="O2603" i="3"/>
  <c r="P2603" i="3"/>
  <c r="Q2603" i="3"/>
  <c r="R2603" i="3"/>
  <c r="K2604" i="3"/>
  <c r="L2604" i="3"/>
  <c r="M2604" i="3"/>
  <c r="N2604" i="3"/>
  <c r="O2604" i="3"/>
  <c r="P2604" i="3"/>
  <c r="Q2604" i="3"/>
  <c r="R2604" i="3"/>
  <c r="K2605" i="3"/>
  <c r="L2605" i="3"/>
  <c r="M2605" i="3"/>
  <c r="N2605" i="3"/>
  <c r="O2605" i="3"/>
  <c r="P2605" i="3"/>
  <c r="Q2605" i="3"/>
  <c r="R2605" i="3"/>
  <c r="K2606" i="3"/>
  <c r="L2606" i="3"/>
  <c r="M2606" i="3"/>
  <c r="N2606" i="3"/>
  <c r="O2606" i="3"/>
  <c r="P2606" i="3"/>
  <c r="Q2606" i="3"/>
  <c r="R2606" i="3"/>
  <c r="K2607" i="3"/>
  <c r="L2607" i="3"/>
  <c r="M2607" i="3"/>
  <c r="N2607" i="3"/>
  <c r="O2607" i="3"/>
  <c r="P2607" i="3"/>
  <c r="Q2607" i="3"/>
  <c r="R2607" i="3"/>
  <c r="K2608" i="3"/>
  <c r="L2608" i="3"/>
  <c r="M2608" i="3"/>
  <c r="N2608" i="3"/>
  <c r="O2608" i="3"/>
  <c r="P2608" i="3"/>
  <c r="Q2608" i="3"/>
  <c r="R2608" i="3"/>
  <c r="K2609" i="3"/>
  <c r="L2609" i="3"/>
  <c r="M2609" i="3"/>
  <c r="N2609" i="3"/>
  <c r="O2609" i="3"/>
  <c r="P2609" i="3"/>
  <c r="Q2609" i="3"/>
  <c r="R2609" i="3"/>
  <c r="K2610" i="3"/>
  <c r="L2610" i="3"/>
  <c r="M2610" i="3"/>
  <c r="N2610" i="3"/>
  <c r="O2610" i="3"/>
  <c r="P2610" i="3"/>
  <c r="Q2610" i="3"/>
  <c r="R2610" i="3"/>
  <c r="K2611" i="3"/>
  <c r="L2611" i="3"/>
  <c r="M2611" i="3"/>
  <c r="N2611" i="3"/>
  <c r="O2611" i="3"/>
  <c r="P2611" i="3"/>
  <c r="Q2611" i="3"/>
  <c r="R2611" i="3"/>
  <c r="K2612" i="3"/>
  <c r="L2612" i="3"/>
  <c r="M2612" i="3"/>
  <c r="N2612" i="3"/>
  <c r="O2612" i="3"/>
  <c r="P2612" i="3"/>
  <c r="Q2612" i="3"/>
  <c r="R2612" i="3"/>
  <c r="K2613" i="3"/>
  <c r="L2613" i="3"/>
  <c r="M2613" i="3"/>
  <c r="N2613" i="3"/>
  <c r="O2613" i="3"/>
  <c r="P2613" i="3"/>
  <c r="Q2613" i="3"/>
  <c r="R2613" i="3"/>
  <c r="K2614" i="3"/>
  <c r="L2614" i="3"/>
  <c r="M2614" i="3"/>
  <c r="N2614" i="3"/>
  <c r="O2614" i="3"/>
  <c r="P2614" i="3"/>
  <c r="Q2614" i="3"/>
  <c r="R2614" i="3"/>
  <c r="K2615" i="3"/>
  <c r="L2615" i="3"/>
  <c r="M2615" i="3"/>
  <c r="N2615" i="3"/>
  <c r="O2615" i="3"/>
  <c r="P2615" i="3"/>
  <c r="Q2615" i="3"/>
  <c r="R2615" i="3"/>
  <c r="K2616" i="3"/>
  <c r="L2616" i="3"/>
  <c r="M2616" i="3"/>
  <c r="N2616" i="3"/>
  <c r="O2616" i="3"/>
  <c r="P2616" i="3"/>
  <c r="Q2616" i="3"/>
  <c r="R2616" i="3"/>
  <c r="K2617" i="3"/>
  <c r="L2617" i="3"/>
  <c r="M2617" i="3"/>
  <c r="N2617" i="3"/>
  <c r="O2617" i="3"/>
  <c r="P2617" i="3"/>
  <c r="Q2617" i="3"/>
  <c r="R2617" i="3"/>
  <c r="K2618" i="3"/>
  <c r="L2618" i="3"/>
  <c r="M2618" i="3"/>
  <c r="N2618" i="3"/>
  <c r="O2618" i="3"/>
  <c r="P2618" i="3"/>
  <c r="Q2618" i="3"/>
  <c r="R2618" i="3"/>
  <c r="K2619" i="3"/>
  <c r="L2619" i="3"/>
  <c r="M2619" i="3"/>
  <c r="N2619" i="3"/>
  <c r="O2619" i="3"/>
  <c r="P2619" i="3"/>
  <c r="Q2619" i="3"/>
  <c r="R2619" i="3"/>
  <c r="K2620" i="3"/>
  <c r="L2620" i="3"/>
  <c r="M2620" i="3"/>
  <c r="N2620" i="3"/>
  <c r="O2620" i="3"/>
  <c r="P2620" i="3"/>
  <c r="Q2620" i="3"/>
  <c r="R2620" i="3"/>
  <c r="K2621" i="3"/>
  <c r="L2621" i="3"/>
  <c r="M2621" i="3"/>
  <c r="N2621" i="3"/>
  <c r="O2621" i="3"/>
  <c r="P2621" i="3"/>
  <c r="Q2621" i="3"/>
  <c r="R2621" i="3"/>
  <c r="K2622" i="3"/>
  <c r="L2622" i="3"/>
  <c r="M2622" i="3"/>
  <c r="N2622" i="3"/>
  <c r="O2622" i="3"/>
  <c r="P2622" i="3"/>
  <c r="Q2622" i="3"/>
  <c r="R2622" i="3"/>
  <c r="K2623" i="3"/>
  <c r="L2623" i="3"/>
  <c r="M2623" i="3"/>
  <c r="N2623" i="3"/>
  <c r="O2623" i="3"/>
  <c r="P2623" i="3"/>
  <c r="Q2623" i="3"/>
  <c r="R2623" i="3"/>
  <c r="K2624" i="3"/>
  <c r="L2624" i="3"/>
  <c r="M2624" i="3"/>
  <c r="N2624" i="3"/>
  <c r="O2624" i="3"/>
  <c r="P2624" i="3"/>
  <c r="Q2624" i="3"/>
  <c r="R2624" i="3"/>
  <c r="K2625" i="3"/>
  <c r="L2625" i="3"/>
  <c r="M2625" i="3"/>
  <c r="N2625" i="3"/>
  <c r="O2625" i="3"/>
  <c r="P2625" i="3"/>
  <c r="Q2625" i="3"/>
  <c r="R2625" i="3"/>
  <c r="K2626" i="3"/>
  <c r="L2626" i="3"/>
  <c r="M2626" i="3"/>
  <c r="N2626" i="3"/>
  <c r="O2626" i="3"/>
  <c r="P2626" i="3"/>
  <c r="Q2626" i="3"/>
  <c r="R2626" i="3"/>
  <c r="K2627" i="3"/>
  <c r="L2627" i="3"/>
  <c r="M2627" i="3"/>
  <c r="N2627" i="3"/>
  <c r="O2627" i="3"/>
  <c r="P2627" i="3"/>
  <c r="Q2627" i="3"/>
  <c r="R2627" i="3"/>
  <c r="K2628" i="3"/>
  <c r="L2628" i="3"/>
  <c r="M2628" i="3"/>
  <c r="N2628" i="3"/>
  <c r="O2628" i="3"/>
  <c r="P2628" i="3"/>
  <c r="Q2628" i="3"/>
  <c r="R2628" i="3"/>
  <c r="K2629" i="3"/>
  <c r="L2629" i="3"/>
  <c r="M2629" i="3"/>
  <c r="N2629" i="3"/>
  <c r="O2629" i="3"/>
  <c r="P2629" i="3"/>
  <c r="Q2629" i="3"/>
  <c r="R2629" i="3"/>
  <c r="K2630" i="3"/>
  <c r="L2630" i="3"/>
  <c r="M2630" i="3"/>
  <c r="N2630" i="3"/>
  <c r="O2630" i="3"/>
  <c r="P2630" i="3"/>
  <c r="Q2630" i="3"/>
  <c r="R2630" i="3"/>
  <c r="K2631" i="3"/>
  <c r="L2631" i="3"/>
  <c r="M2631" i="3"/>
  <c r="N2631" i="3"/>
  <c r="O2631" i="3"/>
  <c r="P2631" i="3"/>
  <c r="Q2631" i="3"/>
  <c r="R2631" i="3"/>
  <c r="K2632" i="3"/>
  <c r="L2632" i="3"/>
  <c r="M2632" i="3"/>
  <c r="N2632" i="3"/>
  <c r="O2632" i="3"/>
  <c r="P2632" i="3"/>
  <c r="Q2632" i="3"/>
  <c r="R2632" i="3"/>
  <c r="K2633" i="3"/>
  <c r="L2633" i="3"/>
  <c r="M2633" i="3"/>
  <c r="N2633" i="3"/>
  <c r="O2633" i="3"/>
  <c r="P2633" i="3"/>
  <c r="Q2633" i="3"/>
  <c r="R2633" i="3"/>
  <c r="K2634" i="3"/>
  <c r="L2634" i="3"/>
  <c r="M2634" i="3"/>
  <c r="N2634" i="3"/>
  <c r="O2634" i="3"/>
  <c r="P2634" i="3"/>
  <c r="Q2634" i="3"/>
  <c r="R2634" i="3"/>
  <c r="K2635" i="3"/>
  <c r="L2635" i="3"/>
  <c r="M2635" i="3"/>
  <c r="N2635" i="3"/>
  <c r="O2635" i="3"/>
  <c r="P2635" i="3"/>
  <c r="Q2635" i="3"/>
  <c r="R2635" i="3"/>
  <c r="K2636" i="3"/>
  <c r="L2636" i="3"/>
  <c r="M2636" i="3"/>
  <c r="N2636" i="3"/>
  <c r="O2636" i="3"/>
  <c r="P2636" i="3"/>
  <c r="Q2636" i="3"/>
  <c r="R2636" i="3"/>
  <c r="K2637" i="3"/>
  <c r="L2637" i="3"/>
  <c r="M2637" i="3"/>
  <c r="N2637" i="3"/>
  <c r="O2637" i="3"/>
  <c r="P2637" i="3"/>
  <c r="Q2637" i="3"/>
  <c r="R2637" i="3"/>
  <c r="K2638" i="3"/>
  <c r="L2638" i="3"/>
  <c r="M2638" i="3"/>
  <c r="N2638" i="3"/>
  <c r="O2638" i="3"/>
  <c r="P2638" i="3"/>
  <c r="Q2638" i="3"/>
  <c r="R2638" i="3"/>
  <c r="K2639" i="3"/>
  <c r="L2639" i="3"/>
  <c r="M2639" i="3"/>
  <c r="N2639" i="3"/>
  <c r="O2639" i="3"/>
  <c r="P2639" i="3"/>
  <c r="Q2639" i="3"/>
  <c r="R2639" i="3"/>
  <c r="K2640" i="3"/>
  <c r="L2640" i="3"/>
  <c r="M2640" i="3"/>
  <c r="N2640" i="3"/>
  <c r="O2640" i="3"/>
  <c r="P2640" i="3"/>
  <c r="Q2640" i="3"/>
  <c r="R2640" i="3"/>
  <c r="K2641" i="3"/>
  <c r="L2641" i="3"/>
  <c r="M2641" i="3"/>
  <c r="N2641" i="3"/>
  <c r="O2641" i="3"/>
  <c r="P2641" i="3"/>
  <c r="Q2641" i="3"/>
  <c r="R2641" i="3"/>
  <c r="K2642" i="3"/>
  <c r="L2642" i="3"/>
  <c r="M2642" i="3"/>
  <c r="N2642" i="3"/>
  <c r="O2642" i="3"/>
  <c r="P2642" i="3"/>
  <c r="Q2642" i="3"/>
  <c r="R2642" i="3"/>
  <c r="K2643" i="3"/>
  <c r="L2643" i="3"/>
  <c r="M2643" i="3"/>
  <c r="N2643" i="3"/>
  <c r="O2643" i="3"/>
  <c r="P2643" i="3"/>
  <c r="Q2643" i="3"/>
  <c r="R2643" i="3"/>
  <c r="K2644" i="3"/>
  <c r="L2644" i="3"/>
  <c r="M2644" i="3"/>
  <c r="N2644" i="3"/>
  <c r="O2644" i="3"/>
  <c r="P2644" i="3"/>
  <c r="Q2644" i="3"/>
  <c r="R2644" i="3"/>
  <c r="K2645" i="3"/>
  <c r="L2645" i="3"/>
  <c r="M2645" i="3"/>
  <c r="N2645" i="3"/>
  <c r="O2645" i="3"/>
  <c r="P2645" i="3"/>
  <c r="Q2645" i="3"/>
  <c r="R2645" i="3"/>
  <c r="K2646" i="3"/>
  <c r="L2646" i="3"/>
  <c r="M2646" i="3"/>
  <c r="N2646" i="3"/>
  <c r="O2646" i="3"/>
  <c r="P2646" i="3"/>
  <c r="Q2646" i="3"/>
  <c r="R2646" i="3"/>
  <c r="K2647" i="3"/>
  <c r="L2647" i="3"/>
  <c r="M2647" i="3"/>
  <c r="N2647" i="3"/>
  <c r="O2647" i="3"/>
  <c r="P2647" i="3"/>
  <c r="Q2647" i="3"/>
  <c r="R2647" i="3"/>
  <c r="K2648" i="3"/>
  <c r="L2648" i="3"/>
  <c r="M2648" i="3"/>
  <c r="N2648" i="3"/>
  <c r="O2648" i="3"/>
  <c r="P2648" i="3"/>
  <c r="Q2648" i="3"/>
  <c r="R2648" i="3"/>
  <c r="K2649" i="3"/>
  <c r="L2649" i="3"/>
  <c r="M2649" i="3"/>
  <c r="N2649" i="3"/>
  <c r="O2649" i="3"/>
  <c r="P2649" i="3"/>
  <c r="Q2649" i="3"/>
  <c r="R2649" i="3"/>
  <c r="K2650" i="3"/>
  <c r="L2650" i="3"/>
  <c r="M2650" i="3"/>
  <c r="N2650" i="3"/>
  <c r="O2650" i="3"/>
  <c r="P2650" i="3"/>
  <c r="Q2650" i="3"/>
  <c r="R2650" i="3"/>
  <c r="K2651" i="3"/>
  <c r="L2651" i="3"/>
  <c r="M2651" i="3"/>
  <c r="N2651" i="3"/>
  <c r="O2651" i="3"/>
  <c r="P2651" i="3"/>
  <c r="Q2651" i="3"/>
  <c r="R2651" i="3"/>
  <c r="K2652" i="3"/>
  <c r="L2652" i="3"/>
  <c r="M2652" i="3"/>
  <c r="N2652" i="3"/>
  <c r="O2652" i="3"/>
  <c r="P2652" i="3"/>
  <c r="Q2652" i="3"/>
  <c r="R2652" i="3"/>
  <c r="K2653" i="3"/>
  <c r="L2653" i="3"/>
  <c r="M2653" i="3"/>
  <c r="N2653" i="3"/>
  <c r="O2653" i="3"/>
  <c r="P2653" i="3"/>
  <c r="Q2653" i="3"/>
  <c r="R2653" i="3"/>
  <c r="K2654" i="3"/>
  <c r="L2654" i="3"/>
  <c r="M2654" i="3"/>
  <c r="N2654" i="3"/>
  <c r="O2654" i="3"/>
  <c r="P2654" i="3"/>
  <c r="Q2654" i="3"/>
  <c r="R2654" i="3"/>
  <c r="K2655" i="3"/>
  <c r="L2655" i="3"/>
  <c r="M2655" i="3"/>
  <c r="N2655" i="3"/>
  <c r="O2655" i="3"/>
  <c r="P2655" i="3"/>
  <c r="Q2655" i="3"/>
  <c r="R2655" i="3"/>
  <c r="K2656" i="3"/>
  <c r="L2656" i="3"/>
  <c r="M2656" i="3"/>
  <c r="N2656" i="3"/>
  <c r="O2656" i="3"/>
  <c r="P2656" i="3"/>
  <c r="Q2656" i="3"/>
  <c r="R2656" i="3"/>
  <c r="K2657" i="3"/>
  <c r="L2657" i="3"/>
  <c r="M2657" i="3"/>
  <c r="N2657" i="3"/>
  <c r="O2657" i="3"/>
  <c r="P2657" i="3"/>
  <c r="Q2657" i="3"/>
  <c r="R2657" i="3"/>
  <c r="K2658" i="3"/>
  <c r="L2658" i="3"/>
  <c r="M2658" i="3"/>
  <c r="N2658" i="3"/>
  <c r="O2658" i="3"/>
  <c r="P2658" i="3"/>
  <c r="Q2658" i="3"/>
  <c r="R2658" i="3"/>
  <c r="K2659" i="3"/>
  <c r="L2659" i="3"/>
  <c r="M2659" i="3"/>
  <c r="N2659" i="3"/>
  <c r="O2659" i="3"/>
  <c r="P2659" i="3"/>
  <c r="Q2659" i="3"/>
  <c r="R2659" i="3"/>
  <c r="K2660" i="3"/>
  <c r="L2660" i="3"/>
  <c r="M2660" i="3"/>
  <c r="N2660" i="3"/>
  <c r="O2660" i="3"/>
  <c r="P2660" i="3"/>
  <c r="Q2660" i="3"/>
  <c r="R2660" i="3"/>
  <c r="K2661" i="3"/>
  <c r="L2661" i="3"/>
  <c r="M2661" i="3"/>
  <c r="N2661" i="3"/>
  <c r="O2661" i="3"/>
  <c r="P2661" i="3"/>
  <c r="Q2661" i="3"/>
  <c r="R2661" i="3"/>
  <c r="K2662" i="3"/>
  <c r="L2662" i="3"/>
  <c r="M2662" i="3"/>
  <c r="N2662" i="3"/>
  <c r="O2662" i="3"/>
  <c r="P2662" i="3"/>
  <c r="Q2662" i="3"/>
  <c r="R2662" i="3"/>
  <c r="K2663" i="3"/>
  <c r="L2663" i="3"/>
  <c r="M2663" i="3"/>
  <c r="N2663" i="3"/>
  <c r="O2663" i="3"/>
  <c r="P2663" i="3"/>
  <c r="Q2663" i="3"/>
  <c r="R2663" i="3"/>
  <c r="K2664" i="3"/>
  <c r="L2664" i="3"/>
  <c r="M2664" i="3"/>
  <c r="N2664" i="3"/>
  <c r="O2664" i="3"/>
  <c r="P2664" i="3"/>
  <c r="Q2664" i="3"/>
  <c r="R2664" i="3"/>
  <c r="K2665" i="3"/>
  <c r="L2665" i="3"/>
  <c r="M2665" i="3"/>
  <c r="N2665" i="3"/>
  <c r="O2665" i="3"/>
  <c r="P2665" i="3"/>
  <c r="Q2665" i="3"/>
  <c r="R2665" i="3"/>
  <c r="K2666" i="3"/>
  <c r="L2666" i="3"/>
  <c r="M2666" i="3"/>
  <c r="N2666" i="3"/>
  <c r="O2666" i="3"/>
  <c r="P2666" i="3"/>
  <c r="Q2666" i="3"/>
  <c r="R2666" i="3"/>
  <c r="K2667" i="3"/>
  <c r="L2667" i="3"/>
  <c r="M2667" i="3"/>
  <c r="N2667" i="3"/>
  <c r="O2667" i="3"/>
  <c r="P2667" i="3"/>
  <c r="Q2667" i="3"/>
  <c r="R2667" i="3"/>
  <c r="K2668" i="3"/>
  <c r="L2668" i="3"/>
  <c r="M2668" i="3"/>
  <c r="N2668" i="3"/>
  <c r="O2668" i="3"/>
  <c r="P2668" i="3"/>
  <c r="Q2668" i="3"/>
  <c r="R2668" i="3"/>
  <c r="K2669" i="3"/>
  <c r="L2669" i="3"/>
  <c r="M2669" i="3"/>
  <c r="N2669" i="3"/>
  <c r="O2669" i="3"/>
  <c r="P2669" i="3"/>
  <c r="Q2669" i="3"/>
  <c r="R2669" i="3"/>
  <c r="K2670" i="3"/>
  <c r="L2670" i="3"/>
  <c r="M2670" i="3"/>
  <c r="N2670" i="3"/>
  <c r="O2670" i="3"/>
  <c r="P2670" i="3"/>
  <c r="Q2670" i="3"/>
  <c r="R2670" i="3"/>
  <c r="K2671" i="3"/>
  <c r="L2671" i="3"/>
  <c r="M2671" i="3"/>
  <c r="N2671" i="3"/>
  <c r="O2671" i="3"/>
  <c r="P2671" i="3"/>
  <c r="Q2671" i="3"/>
  <c r="R2671" i="3"/>
  <c r="K2672" i="3"/>
  <c r="L2672" i="3"/>
  <c r="M2672" i="3"/>
  <c r="N2672" i="3"/>
  <c r="O2672" i="3"/>
  <c r="P2672" i="3"/>
  <c r="Q2672" i="3"/>
  <c r="R2672" i="3"/>
  <c r="K2673" i="3"/>
  <c r="L2673" i="3"/>
  <c r="M2673" i="3"/>
  <c r="N2673" i="3"/>
  <c r="O2673" i="3"/>
  <c r="P2673" i="3"/>
  <c r="Q2673" i="3"/>
  <c r="R2673" i="3"/>
  <c r="K2674" i="3"/>
  <c r="L2674" i="3"/>
  <c r="M2674" i="3"/>
  <c r="N2674" i="3"/>
  <c r="O2674" i="3"/>
  <c r="P2674" i="3"/>
  <c r="Q2674" i="3"/>
  <c r="R2674" i="3"/>
  <c r="K2675" i="3"/>
  <c r="L2675" i="3"/>
  <c r="M2675" i="3"/>
  <c r="N2675" i="3"/>
  <c r="O2675" i="3"/>
  <c r="P2675" i="3"/>
  <c r="Q2675" i="3"/>
  <c r="R2675" i="3"/>
  <c r="K2676" i="3"/>
  <c r="L2676" i="3"/>
  <c r="M2676" i="3"/>
  <c r="N2676" i="3"/>
  <c r="O2676" i="3"/>
  <c r="P2676" i="3"/>
  <c r="Q2676" i="3"/>
  <c r="R2676" i="3"/>
  <c r="K2677" i="3"/>
  <c r="L2677" i="3"/>
  <c r="M2677" i="3"/>
  <c r="N2677" i="3"/>
  <c r="O2677" i="3"/>
  <c r="P2677" i="3"/>
  <c r="Q2677" i="3"/>
  <c r="R2677" i="3"/>
  <c r="K2678" i="3"/>
  <c r="L2678" i="3"/>
  <c r="M2678" i="3"/>
  <c r="N2678" i="3"/>
  <c r="O2678" i="3"/>
  <c r="P2678" i="3"/>
  <c r="Q2678" i="3"/>
  <c r="R2678" i="3"/>
  <c r="K2679" i="3"/>
  <c r="L2679" i="3"/>
  <c r="M2679" i="3"/>
  <c r="N2679" i="3"/>
  <c r="O2679" i="3"/>
  <c r="P2679" i="3"/>
  <c r="Q2679" i="3"/>
  <c r="R2679" i="3"/>
  <c r="K2680" i="3"/>
  <c r="L2680" i="3"/>
  <c r="M2680" i="3"/>
  <c r="N2680" i="3"/>
  <c r="O2680" i="3"/>
  <c r="P2680" i="3"/>
  <c r="Q2680" i="3"/>
  <c r="R2680" i="3"/>
  <c r="K2681" i="3"/>
  <c r="L2681" i="3"/>
  <c r="M2681" i="3"/>
  <c r="N2681" i="3"/>
  <c r="O2681" i="3"/>
  <c r="P2681" i="3"/>
  <c r="Q2681" i="3"/>
  <c r="R2681" i="3"/>
  <c r="K2682" i="3"/>
  <c r="L2682" i="3"/>
  <c r="M2682" i="3"/>
  <c r="N2682" i="3"/>
  <c r="O2682" i="3"/>
  <c r="P2682" i="3"/>
  <c r="Q2682" i="3"/>
  <c r="R2682" i="3"/>
  <c r="K2683" i="3"/>
  <c r="L2683" i="3"/>
  <c r="M2683" i="3"/>
  <c r="N2683" i="3"/>
  <c r="O2683" i="3"/>
  <c r="P2683" i="3"/>
  <c r="Q2683" i="3"/>
  <c r="R2683" i="3"/>
  <c r="K2684" i="3"/>
  <c r="L2684" i="3"/>
  <c r="M2684" i="3"/>
  <c r="N2684" i="3"/>
  <c r="O2684" i="3"/>
  <c r="P2684" i="3"/>
  <c r="Q2684" i="3"/>
  <c r="R2684" i="3"/>
  <c r="K2685" i="3"/>
  <c r="L2685" i="3"/>
  <c r="M2685" i="3"/>
  <c r="N2685" i="3"/>
  <c r="O2685" i="3"/>
  <c r="P2685" i="3"/>
  <c r="Q2685" i="3"/>
  <c r="R2685" i="3"/>
  <c r="K2686" i="3"/>
  <c r="L2686" i="3"/>
  <c r="M2686" i="3"/>
  <c r="N2686" i="3"/>
  <c r="O2686" i="3"/>
  <c r="P2686" i="3"/>
  <c r="Q2686" i="3"/>
  <c r="R2686" i="3"/>
  <c r="K2687" i="3"/>
  <c r="L2687" i="3"/>
  <c r="M2687" i="3"/>
  <c r="N2687" i="3"/>
  <c r="O2687" i="3"/>
  <c r="P2687" i="3"/>
  <c r="Q2687" i="3"/>
  <c r="R2687" i="3"/>
  <c r="K2688" i="3"/>
  <c r="L2688" i="3"/>
  <c r="M2688" i="3"/>
  <c r="N2688" i="3"/>
  <c r="O2688" i="3"/>
  <c r="P2688" i="3"/>
  <c r="Q2688" i="3"/>
  <c r="R2688" i="3"/>
  <c r="K2689" i="3"/>
  <c r="L2689" i="3"/>
  <c r="M2689" i="3"/>
  <c r="N2689" i="3"/>
  <c r="O2689" i="3"/>
  <c r="P2689" i="3"/>
  <c r="Q2689" i="3"/>
  <c r="R2689" i="3"/>
  <c r="K2690" i="3"/>
  <c r="L2690" i="3"/>
  <c r="M2690" i="3"/>
  <c r="N2690" i="3"/>
  <c r="O2690" i="3"/>
  <c r="P2690" i="3"/>
  <c r="Q2690" i="3"/>
  <c r="R2690" i="3"/>
  <c r="K2691" i="3"/>
  <c r="L2691" i="3"/>
  <c r="M2691" i="3"/>
  <c r="N2691" i="3"/>
  <c r="O2691" i="3"/>
  <c r="P2691" i="3"/>
  <c r="Q2691" i="3"/>
  <c r="R2691" i="3"/>
  <c r="K2692" i="3"/>
  <c r="L2692" i="3"/>
  <c r="M2692" i="3"/>
  <c r="N2692" i="3"/>
  <c r="O2692" i="3"/>
  <c r="P2692" i="3"/>
  <c r="Q2692" i="3"/>
  <c r="R2692" i="3"/>
  <c r="K2693" i="3"/>
  <c r="L2693" i="3"/>
  <c r="M2693" i="3"/>
  <c r="N2693" i="3"/>
  <c r="O2693" i="3"/>
  <c r="P2693" i="3"/>
  <c r="Q2693" i="3"/>
  <c r="R2693" i="3"/>
  <c r="K2694" i="3"/>
  <c r="L2694" i="3"/>
  <c r="M2694" i="3"/>
  <c r="N2694" i="3"/>
  <c r="O2694" i="3"/>
  <c r="P2694" i="3"/>
  <c r="Q2694" i="3"/>
  <c r="R2694" i="3"/>
  <c r="K2695" i="3"/>
  <c r="L2695" i="3"/>
  <c r="M2695" i="3"/>
  <c r="N2695" i="3"/>
  <c r="O2695" i="3"/>
  <c r="P2695" i="3"/>
  <c r="Q2695" i="3"/>
  <c r="R2695" i="3"/>
  <c r="K2696" i="3"/>
  <c r="L2696" i="3"/>
  <c r="M2696" i="3"/>
  <c r="N2696" i="3"/>
  <c r="O2696" i="3"/>
  <c r="P2696" i="3"/>
  <c r="Q2696" i="3"/>
  <c r="R2696" i="3"/>
  <c r="K2697" i="3"/>
  <c r="L2697" i="3"/>
  <c r="M2697" i="3"/>
  <c r="N2697" i="3"/>
  <c r="O2697" i="3"/>
  <c r="P2697" i="3"/>
  <c r="Q2697" i="3"/>
  <c r="R2697" i="3"/>
  <c r="K2698" i="3"/>
  <c r="L2698" i="3"/>
  <c r="M2698" i="3"/>
  <c r="N2698" i="3"/>
  <c r="O2698" i="3"/>
  <c r="P2698" i="3"/>
  <c r="Q2698" i="3"/>
  <c r="R2698" i="3"/>
  <c r="K2699" i="3"/>
  <c r="L2699" i="3"/>
  <c r="M2699" i="3"/>
  <c r="N2699" i="3"/>
  <c r="O2699" i="3"/>
  <c r="P2699" i="3"/>
  <c r="Q2699" i="3"/>
  <c r="R2699" i="3"/>
  <c r="K2700" i="3"/>
  <c r="L2700" i="3"/>
  <c r="M2700" i="3"/>
  <c r="N2700" i="3"/>
  <c r="O2700" i="3"/>
  <c r="P2700" i="3"/>
  <c r="Q2700" i="3"/>
  <c r="R2700" i="3"/>
  <c r="K2701" i="3"/>
  <c r="L2701" i="3"/>
  <c r="M2701" i="3"/>
  <c r="N2701" i="3"/>
  <c r="O2701" i="3"/>
  <c r="P2701" i="3"/>
  <c r="Q2701" i="3"/>
  <c r="R2701" i="3"/>
  <c r="K2702" i="3"/>
  <c r="L2702" i="3"/>
  <c r="M2702" i="3"/>
  <c r="N2702" i="3"/>
  <c r="O2702" i="3"/>
  <c r="P2702" i="3"/>
  <c r="Q2702" i="3"/>
  <c r="R2702" i="3"/>
  <c r="K2703" i="3"/>
  <c r="L2703" i="3"/>
  <c r="M2703" i="3"/>
  <c r="N2703" i="3"/>
  <c r="O2703" i="3"/>
  <c r="P2703" i="3"/>
  <c r="Q2703" i="3"/>
  <c r="R2703" i="3"/>
  <c r="K2704" i="3"/>
  <c r="L2704" i="3"/>
  <c r="M2704" i="3"/>
  <c r="N2704" i="3"/>
  <c r="O2704" i="3"/>
  <c r="P2704" i="3"/>
  <c r="Q2704" i="3"/>
  <c r="R2704" i="3"/>
  <c r="K2705" i="3"/>
  <c r="L2705" i="3"/>
  <c r="M2705" i="3"/>
  <c r="N2705" i="3"/>
  <c r="O2705" i="3"/>
  <c r="P2705" i="3"/>
  <c r="Q2705" i="3"/>
  <c r="R2705" i="3"/>
  <c r="K2706" i="3"/>
  <c r="L2706" i="3"/>
  <c r="M2706" i="3"/>
  <c r="N2706" i="3"/>
  <c r="O2706" i="3"/>
  <c r="P2706" i="3"/>
  <c r="Q2706" i="3"/>
  <c r="R2706" i="3"/>
  <c r="K2707" i="3"/>
  <c r="L2707" i="3"/>
  <c r="M2707" i="3"/>
  <c r="N2707" i="3"/>
  <c r="O2707" i="3"/>
  <c r="P2707" i="3"/>
  <c r="Q2707" i="3"/>
  <c r="R2707" i="3"/>
  <c r="K2708" i="3"/>
  <c r="L2708" i="3"/>
  <c r="M2708" i="3"/>
  <c r="N2708" i="3"/>
  <c r="O2708" i="3"/>
  <c r="P2708" i="3"/>
  <c r="Q2708" i="3"/>
  <c r="R2708" i="3"/>
  <c r="K2709" i="3"/>
  <c r="L2709" i="3"/>
  <c r="M2709" i="3"/>
  <c r="N2709" i="3"/>
  <c r="O2709" i="3"/>
  <c r="P2709" i="3"/>
  <c r="Q2709" i="3"/>
  <c r="R2709" i="3"/>
  <c r="K2710" i="3"/>
  <c r="L2710" i="3"/>
  <c r="M2710" i="3"/>
  <c r="N2710" i="3"/>
  <c r="O2710" i="3"/>
  <c r="P2710" i="3"/>
  <c r="Q2710" i="3"/>
  <c r="R2710" i="3"/>
  <c r="K2711" i="3"/>
  <c r="L2711" i="3"/>
  <c r="M2711" i="3"/>
  <c r="N2711" i="3"/>
  <c r="O2711" i="3"/>
  <c r="P2711" i="3"/>
  <c r="Q2711" i="3"/>
  <c r="R2711" i="3"/>
  <c r="K2712" i="3"/>
  <c r="L2712" i="3"/>
  <c r="M2712" i="3"/>
  <c r="N2712" i="3"/>
  <c r="O2712" i="3"/>
  <c r="P2712" i="3"/>
  <c r="Q2712" i="3"/>
  <c r="R2712" i="3"/>
  <c r="K2713" i="3"/>
  <c r="L2713" i="3"/>
  <c r="M2713" i="3"/>
  <c r="N2713" i="3"/>
  <c r="O2713" i="3"/>
  <c r="P2713" i="3"/>
  <c r="Q2713" i="3"/>
  <c r="R2713" i="3"/>
  <c r="K2714" i="3"/>
  <c r="L2714" i="3"/>
  <c r="M2714" i="3"/>
  <c r="N2714" i="3"/>
  <c r="O2714" i="3"/>
  <c r="P2714" i="3"/>
  <c r="Q2714" i="3"/>
  <c r="R2714" i="3"/>
  <c r="K2715" i="3"/>
  <c r="L2715" i="3"/>
  <c r="M2715" i="3"/>
  <c r="N2715" i="3"/>
  <c r="O2715" i="3"/>
  <c r="P2715" i="3"/>
  <c r="Q2715" i="3"/>
  <c r="R2715" i="3"/>
  <c r="K2716" i="3"/>
  <c r="L2716" i="3"/>
  <c r="M2716" i="3"/>
  <c r="N2716" i="3"/>
  <c r="O2716" i="3"/>
  <c r="P2716" i="3"/>
  <c r="Q2716" i="3"/>
  <c r="R2716" i="3"/>
  <c r="K2717" i="3"/>
  <c r="L2717" i="3"/>
  <c r="M2717" i="3"/>
  <c r="N2717" i="3"/>
  <c r="O2717" i="3"/>
  <c r="P2717" i="3"/>
  <c r="Q2717" i="3"/>
  <c r="R2717" i="3"/>
  <c r="K2718" i="3"/>
  <c r="L2718" i="3"/>
  <c r="M2718" i="3"/>
  <c r="N2718" i="3"/>
  <c r="O2718" i="3"/>
  <c r="P2718" i="3"/>
  <c r="Q2718" i="3"/>
  <c r="R2718" i="3"/>
  <c r="K2719" i="3"/>
  <c r="L2719" i="3"/>
  <c r="M2719" i="3"/>
  <c r="N2719" i="3"/>
  <c r="O2719" i="3"/>
  <c r="P2719" i="3"/>
  <c r="Q2719" i="3"/>
  <c r="R2719" i="3"/>
  <c r="K2720" i="3"/>
  <c r="L2720" i="3"/>
  <c r="M2720" i="3"/>
  <c r="N2720" i="3"/>
  <c r="O2720" i="3"/>
  <c r="P2720" i="3"/>
  <c r="Q2720" i="3"/>
  <c r="R2720" i="3"/>
  <c r="K2721" i="3"/>
  <c r="L2721" i="3"/>
  <c r="M2721" i="3"/>
  <c r="N2721" i="3"/>
  <c r="O2721" i="3"/>
  <c r="P2721" i="3"/>
  <c r="Q2721" i="3"/>
  <c r="R2721" i="3"/>
  <c r="K2722" i="3"/>
  <c r="L2722" i="3"/>
  <c r="M2722" i="3"/>
  <c r="N2722" i="3"/>
  <c r="O2722" i="3"/>
  <c r="P2722" i="3"/>
  <c r="Q2722" i="3"/>
  <c r="R2722" i="3"/>
  <c r="K2723" i="3"/>
  <c r="L2723" i="3"/>
  <c r="M2723" i="3"/>
  <c r="N2723" i="3"/>
  <c r="O2723" i="3"/>
  <c r="P2723" i="3"/>
  <c r="Q2723" i="3"/>
  <c r="R2723" i="3"/>
  <c r="K2724" i="3"/>
  <c r="L2724" i="3"/>
  <c r="M2724" i="3"/>
  <c r="N2724" i="3"/>
  <c r="O2724" i="3"/>
  <c r="P2724" i="3"/>
  <c r="Q2724" i="3"/>
  <c r="R2724" i="3"/>
  <c r="K2725" i="3"/>
  <c r="L2725" i="3"/>
  <c r="M2725" i="3"/>
  <c r="N2725" i="3"/>
  <c r="O2725" i="3"/>
  <c r="P2725" i="3"/>
  <c r="Q2725" i="3"/>
  <c r="R2725" i="3"/>
  <c r="K2726" i="3"/>
  <c r="L2726" i="3"/>
  <c r="M2726" i="3"/>
  <c r="N2726" i="3"/>
  <c r="O2726" i="3"/>
  <c r="P2726" i="3"/>
  <c r="Q2726" i="3"/>
  <c r="R2726" i="3"/>
  <c r="K2727" i="3"/>
  <c r="L2727" i="3"/>
  <c r="M2727" i="3"/>
  <c r="N2727" i="3"/>
  <c r="O2727" i="3"/>
  <c r="P2727" i="3"/>
  <c r="Q2727" i="3"/>
  <c r="R2727" i="3"/>
  <c r="K2728" i="3"/>
  <c r="L2728" i="3"/>
  <c r="M2728" i="3"/>
  <c r="N2728" i="3"/>
  <c r="O2728" i="3"/>
  <c r="P2728" i="3"/>
  <c r="Q2728" i="3"/>
  <c r="R2728" i="3"/>
  <c r="K2729" i="3"/>
  <c r="L2729" i="3"/>
  <c r="M2729" i="3"/>
  <c r="N2729" i="3"/>
  <c r="O2729" i="3"/>
  <c r="P2729" i="3"/>
  <c r="Q2729" i="3"/>
  <c r="R2729" i="3"/>
  <c r="K2730" i="3"/>
  <c r="L2730" i="3"/>
  <c r="M2730" i="3"/>
  <c r="N2730" i="3"/>
  <c r="O2730" i="3"/>
  <c r="P2730" i="3"/>
  <c r="Q2730" i="3"/>
  <c r="R2730" i="3"/>
  <c r="K2731" i="3"/>
  <c r="L2731" i="3"/>
  <c r="M2731" i="3"/>
  <c r="N2731" i="3"/>
  <c r="O2731" i="3"/>
  <c r="P2731" i="3"/>
  <c r="Q2731" i="3"/>
  <c r="R2731" i="3"/>
  <c r="K2732" i="3"/>
  <c r="L2732" i="3"/>
  <c r="M2732" i="3"/>
  <c r="N2732" i="3"/>
  <c r="O2732" i="3"/>
  <c r="P2732" i="3"/>
  <c r="Q2732" i="3"/>
  <c r="R2732" i="3"/>
  <c r="K2733" i="3"/>
  <c r="L2733" i="3"/>
  <c r="M2733" i="3"/>
  <c r="N2733" i="3"/>
  <c r="O2733" i="3"/>
  <c r="P2733" i="3"/>
  <c r="Q2733" i="3"/>
  <c r="R2733" i="3"/>
  <c r="K2734" i="3"/>
  <c r="L2734" i="3"/>
  <c r="M2734" i="3"/>
  <c r="N2734" i="3"/>
  <c r="O2734" i="3"/>
  <c r="P2734" i="3"/>
  <c r="Q2734" i="3"/>
  <c r="R2734" i="3"/>
  <c r="K2735" i="3"/>
  <c r="L2735" i="3"/>
  <c r="M2735" i="3"/>
  <c r="N2735" i="3"/>
  <c r="O2735" i="3"/>
  <c r="P2735" i="3"/>
  <c r="Q2735" i="3"/>
  <c r="R2735" i="3"/>
  <c r="K2736" i="3"/>
  <c r="L2736" i="3"/>
  <c r="M2736" i="3"/>
  <c r="N2736" i="3"/>
  <c r="O2736" i="3"/>
  <c r="P2736" i="3"/>
  <c r="Q2736" i="3"/>
  <c r="R2736" i="3"/>
  <c r="K2737" i="3"/>
  <c r="L2737" i="3"/>
  <c r="M2737" i="3"/>
  <c r="N2737" i="3"/>
  <c r="O2737" i="3"/>
  <c r="P2737" i="3"/>
  <c r="Q2737" i="3"/>
  <c r="R2737" i="3"/>
  <c r="K2738" i="3"/>
  <c r="L2738" i="3"/>
  <c r="M2738" i="3"/>
  <c r="N2738" i="3"/>
  <c r="O2738" i="3"/>
  <c r="P2738" i="3"/>
  <c r="Q2738" i="3"/>
  <c r="R2738" i="3"/>
  <c r="K2739" i="3"/>
  <c r="L2739" i="3"/>
  <c r="M2739" i="3"/>
  <c r="N2739" i="3"/>
  <c r="O2739" i="3"/>
  <c r="P2739" i="3"/>
  <c r="Q2739" i="3"/>
  <c r="R2739" i="3"/>
  <c r="K2740" i="3"/>
  <c r="L2740" i="3"/>
  <c r="M2740" i="3"/>
  <c r="N2740" i="3"/>
  <c r="O2740" i="3"/>
  <c r="P2740" i="3"/>
  <c r="Q2740" i="3"/>
  <c r="R2740" i="3"/>
  <c r="K2741" i="3"/>
  <c r="L2741" i="3"/>
  <c r="M2741" i="3"/>
  <c r="N2741" i="3"/>
  <c r="O2741" i="3"/>
  <c r="P2741" i="3"/>
  <c r="Q2741" i="3"/>
  <c r="R2741" i="3"/>
  <c r="K2742" i="3"/>
  <c r="L2742" i="3"/>
  <c r="M2742" i="3"/>
  <c r="N2742" i="3"/>
  <c r="O2742" i="3"/>
  <c r="P2742" i="3"/>
  <c r="Q2742" i="3"/>
  <c r="R2742" i="3"/>
  <c r="K2743" i="3"/>
  <c r="L2743" i="3"/>
  <c r="M2743" i="3"/>
  <c r="N2743" i="3"/>
  <c r="O2743" i="3"/>
  <c r="P2743" i="3"/>
  <c r="Q2743" i="3"/>
  <c r="R2743" i="3"/>
  <c r="K2744" i="3"/>
  <c r="L2744" i="3"/>
  <c r="M2744" i="3"/>
  <c r="N2744" i="3"/>
  <c r="O2744" i="3"/>
  <c r="P2744" i="3"/>
  <c r="Q2744" i="3"/>
  <c r="R2744" i="3"/>
  <c r="K2745" i="3"/>
  <c r="L2745" i="3"/>
  <c r="M2745" i="3"/>
  <c r="N2745" i="3"/>
  <c r="O2745" i="3"/>
  <c r="P2745" i="3"/>
  <c r="Q2745" i="3"/>
  <c r="R2745" i="3"/>
  <c r="K2746" i="3"/>
  <c r="L2746" i="3"/>
  <c r="M2746" i="3"/>
  <c r="N2746" i="3"/>
  <c r="O2746" i="3"/>
  <c r="P2746" i="3"/>
  <c r="Q2746" i="3"/>
  <c r="R2746" i="3"/>
  <c r="K2747" i="3"/>
  <c r="L2747" i="3"/>
  <c r="M2747" i="3"/>
  <c r="N2747" i="3"/>
  <c r="O2747" i="3"/>
  <c r="P2747" i="3"/>
  <c r="Q2747" i="3"/>
  <c r="R2747" i="3"/>
  <c r="K2748" i="3"/>
  <c r="L2748" i="3"/>
  <c r="M2748" i="3"/>
  <c r="N2748" i="3"/>
  <c r="O2748" i="3"/>
  <c r="P2748" i="3"/>
  <c r="Q2748" i="3"/>
  <c r="R2748" i="3"/>
  <c r="K2749" i="3"/>
  <c r="L2749" i="3"/>
  <c r="M2749" i="3"/>
  <c r="N2749" i="3"/>
  <c r="O2749" i="3"/>
  <c r="P2749" i="3"/>
  <c r="Q2749" i="3"/>
  <c r="R2749" i="3"/>
  <c r="K2750" i="3"/>
  <c r="L2750" i="3"/>
  <c r="M2750" i="3"/>
  <c r="N2750" i="3"/>
  <c r="O2750" i="3"/>
  <c r="P2750" i="3"/>
  <c r="Q2750" i="3"/>
  <c r="R2750" i="3"/>
  <c r="K2751" i="3"/>
  <c r="L2751" i="3"/>
  <c r="M2751" i="3"/>
  <c r="N2751" i="3"/>
  <c r="O2751" i="3"/>
  <c r="P2751" i="3"/>
  <c r="Q2751" i="3"/>
  <c r="R2751" i="3"/>
  <c r="K2752" i="3"/>
  <c r="L2752" i="3"/>
  <c r="M2752" i="3"/>
  <c r="N2752" i="3"/>
  <c r="O2752" i="3"/>
  <c r="P2752" i="3"/>
  <c r="Q2752" i="3"/>
  <c r="R2752" i="3"/>
  <c r="K2753" i="3"/>
  <c r="L2753" i="3"/>
  <c r="M2753" i="3"/>
  <c r="N2753" i="3"/>
  <c r="O2753" i="3"/>
  <c r="P2753" i="3"/>
  <c r="Q2753" i="3"/>
  <c r="R2753" i="3"/>
  <c r="K2754" i="3"/>
  <c r="L2754" i="3"/>
  <c r="M2754" i="3"/>
  <c r="N2754" i="3"/>
  <c r="O2754" i="3"/>
  <c r="P2754" i="3"/>
  <c r="Q2754" i="3"/>
  <c r="R2754" i="3"/>
  <c r="K2755" i="3"/>
  <c r="L2755" i="3"/>
  <c r="M2755" i="3"/>
  <c r="N2755" i="3"/>
  <c r="O2755" i="3"/>
  <c r="P2755" i="3"/>
  <c r="Q2755" i="3"/>
  <c r="R2755" i="3"/>
  <c r="K2756" i="3"/>
  <c r="L2756" i="3"/>
  <c r="M2756" i="3"/>
  <c r="N2756" i="3"/>
  <c r="O2756" i="3"/>
  <c r="P2756" i="3"/>
  <c r="Q2756" i="3"/>
  <c r="R2756" i="3"/>
  <c r="K2757" i="3"/>
  <c r="L2757" i="3"/>
  <c r="M2757" i="3"/>
  <c r="N2757" i="3"/>
  <c r="O2757" i="3"/>
  <c r="P2757" i="3"/>
  <c r="Q2757" i="3"/>
  <c r="R2757" i="3"/>
  <c r="K2758" i="3"/>
  <c r="L2758" i="3"/>
  <c r="M2758" i="3"/>
  <c r="N2758" i="3"/>
  <c r="O2758" i="3"/>
  <c r="P2758" i="3"/>
  <c r="Q2758" i="3"/>
  <c r="R2758" i="3"/>
  <c r="K2759" i="3"/>
  <c r="L2759" i="3"/>
  <c r="M2759" i="3"/>
  <c r="N2759" i="3"/>
  <c r="O2759" i="3"/>
  <c r="P2759" i="3"/>
  <c r="Q2759" i="3"/>
  <c r="R2759" i="3"/>
  <c r="K2760" i="3"/>
  <c r="L2760" i="3"/>
  <c r="M2760" i="3"/>
  <c r="N2760" i="3"/>
  <c r="O2760" i="3"/>
  <c r="P2760" i="3"/>
  <c r="Q2760" i="3"/>
  <c r="R2760" i="3"/>
  <c r="K2761" i="3"/>
  <c r="L2761" i="3"/>
  <c r="M2761" i="3"/>
  <c r="N2761" i="3"/>
  <c r="O2761" i="3"/>
  <c r="P2761" i="3"/>
  <c r="Q2761" i="3"/>
  <c r="R2761" i="3"/>
  <c r="K2762" i="3"/>
  <c r="L2762" i="3"/>
  <c r="M2762" i="3"/>
  <c r="N2762" i="3"/>
  <c r="O2762" i="3"/>
  <c r="P2762" i="3"/>
  <c r="Q2762" i="3"/>
  <c r="R2762" i="3"/>
  <c r="K2763" i="3"/>
  <c r="L2763" i="3"/>
  <c r="M2763" i="3"/>
  <c r="N2763" i="3"/>
  <c r="O2763" i="3"/>
  <c r="P2763" i="3"/>
  <c r="Q2763" i="3"/>
  <c r="R2763" i="3"/>
  <c r="K2764" i="3"/>
  <c r="L2764" i="3"/>
  <c r="M2764" i="3"/>
  <c r="N2764" i="3"/>
  <c r="O2764" i="3"/>
  <c r="P2764" i="3"/>
  <c r="Q2764" i="3"/>
  <c r="R2764" i="3"/>
  <c r="K2765" i="3"/>
  <c r="L2765" i="3"/>
  <c r="M2765" i="3"/>
  <c r="N2765" i="3"/>
  <c r="O2765" i="3"/>
  <c r="P2765" i="3"/>
  <c r="Q2765" i="3"/>
  <c r="R2765" i="3"/>
  <c r="K2766" i="3"/>
  <c r="L2766" i="3"/>
  <c r="M2766" i="3"/>
  <c r="N2766" i="3"/>
  <c r="O2766" i="3"/>
  <c r="P2766" i="3"/>
  <c r="Q2766" i="3"/>
  <c r="R2766" i="3"/>
  <c r="K2767" i="3"/>
  <c r="L2767" i="3"/>
  <c r="M2767" i="3"/>
  <c r="N2767" i="3"/>
  <c r="O2767" i="3"/>
  <c r="P2767" i="3"/>
  <c r="Q2767" i="3"/>
  <c r="R2767" i="3"/>
  <c r="K2768" i="3"/>
  <c r="L2768" i="3"/>
  <c r="M2768" i="3"/>
  <c r="N2768" i="3"/>
  <c r="O2768" i="3"/>
  <c r="P2768" i="3"/>
  <c r="Q2768" i="3"/>
  <c r="R2768" i="3"/>
  <c r="K2769" i="3"/>
  <c r="L2769" i="3"/>
  <c r="M2769" i="3"/>
  <c r="N2769" i="3"/>
  <c r="O2769" i="3"/>
  <c r="P2769" i="3"/>
  <c r="Q2769" i="3"/>
  <c r="R2769" i="3"/>
  <c r="K2770" i="3"/>
  <c r="L2770" i="3"/>
  <c r="M2770" i="3"/>
  <c r="N2770" i="3"/>
  <c r="O2770" i="3"/>
  <c r="P2770" i="3"/>
  <c r="Q2770" i="3"/>
  <c r="R2770" i="3"/>
  <c r="K2771" i="3"/>
  <c r="L2771" i="3"/>
  <c r="M2771" i="3"/>
  <c r="N2771" i="3"/>
  <c r="O2771" i="3"/>
  <c r="P2771" i="3"/>
  <c r="Q2771" i="3"/>
  <c r="R2771" i="3"/>
  <c r="K2772" i="3"/>
  <c r="L2772" i="3"/>
  <c r="M2772" i="3"/>
  <c r="N2772" i="3"/>
  <c r="O2772" i="3"/>
  <c r="P2772" i="3"/>
  <c r="Q2772" i="3"/>
  <c r="R2772" i="3"/>
  <c r="K2773" i="3"/>
  <c r="L2773" i="3"/>
  <c r="M2773" i="3"/>
  <c r="N2773" i="3"/>
  <c r="O2773" i="3"/>
  <c r="P2773" i="3"/>
  <c r="Q2773" i="3"/>
  <c r="R2773" i="3"/>
  <c r="K2774" i="3"/>
  <c r="L2774" i="3"/>
  <c r="M2774" i="3"/>
  <c r="N2774" i="3"/>
  <c r="O2774" i="3"/>
  <c r="P2774" i="3"/>
  <c r="Q2774" i="3"/>
  <c r="R2774" i="3"/>
  <c r="K2775" i="3"/>
  <c r="L2775" i="3"/>
  <c r="M2775" i="3"/>
  <c r="N2775" i="3"/>
  <c r="O2775" i="3"/>
  <c r="P2775" i="3"/>
  <c r="Q2775" i="3"/>
  <c r="R2775" i="3"/>
  <c r="K2776" i="3"/>
  <c r="L2776" i="3"/>
  <c r="M2776" i="3"/>
  <c r="N2776" i="3"/>
  <c r="O2776" i="3"/>
  <c r="P2776" i="3"/>
  <c r="Q2776" i="3"/>
  <c r="R2776" i="3"/>
  <c r="K2777" i="3"/>
  <c r="L2777" i="3"/>
  <c r="M2777" i="3"/>
  <c r="N2777" i="3"/>
  <c r="O2777" i="3"/>
  <c r="P2777" i="3"/>
  <c r="Q2777" i="3"/>
  <c r="R2777" i="3"/>
  <c r="K2778" i="3"/>
  <c r="L2778" i="3"/>
  <c r="M2778" i="3"/>
  <c r="N2778" i="3"/>
  <c r="O2778" i="3"/>
  <c r="P2778" i="3"/>
  <c r="Q2778" i="3"/>
  <c r="R2778" i="3"/>
  <c r="K2779" i="3"/>
  <c r="L2779" i="3"/>
  <c r="M2779" i="3"/>
  <c r="N2779" i="3"/>
  <c r="O2779" i="3"/>
  <c r="P2779" i="3"/>
  <c r="Q2779" i="3"/>
  <c r="R2779" i="3"/>
  <c r="K2780" i="3"/>
  <c r="L2780" i="3"/>
  <c r="M2780" i="3"/>
  <c r="N2780" i="3"/>
  <c r="O2780" i="3"/>
  <c r="P2780" i="3"/>
  <c r="Q2780" i="3"/>
  <c r="R2780" i="3"/>
  <c r="K2781" i="3"/>
  <c r="L2781" i="3"/>
  <c r="M2781" i="3"/>
  <c r="N2781" i="3"/>
  <c r="O2781" i="3"/>
  <c r="P2781" i="3"/>
  <c r="Q2781" i="3"/>
  <c r="R2781" i="3"/>
  <c r="K2782" i="3"/>
  <c r="L2782" i="3"/>
  <c r="M2782" i="3"/>
  <c r="N2782" i="3"/>
  <c r="O2782" i="3"/>
  <c r="P2782" i="3"/>
  <c r="Q2782" i="3"/>
  <c r="R2782" i="3"/>
  <c r="L4" i="3"/>
  <c r="M4" i="3"/>
  <c r="N4" i="3"/>
  <c r="O4" i="3"/>
  <c r="P4" i="3"/>
  <c r="Q4" i="3"/>
  <c r="R4" i="3"/>
  <c r="K4" i="3"/>
  <c r="P36" i="4" a="1"/>
  <c r="Q37" i="4"/>
  <c r="A36" i="4"/>
  <c r="B37" i="4"/>
  <c r="C38" i="4"/>
  <c r="D39" i="4"/>
  <c r="E40" i="4"/>
  <c r="F41" i="4"/>
  <c r="Q36" i="4"/>
  <c r="S36" i="4"/>
  <c r="Q40" i="4"/>
  <c r="S40" i="4"/>
  <c r="S41" i="4"/>
  <c r="M7" i="4"/>
  <c r="L6" i="4"/>
  <c r="K5" i="4"/>
  <c r="J4" i="4"/>
  <c r="I3" i="4"/>
  <c r="H2" i="4"/>
  <c r="H10" i="4" a="1"/>
  <c r="H11" i="4" s="1"/>
  <c r="U40" i="4"/>
  <c r="U36" i="4"/>
  <c r="R41" i="4"/>
  <c r="T40" i="4"/>
  <c r="T38" i="4"/>
  <c r="R37" i="4"/>
  <c r="T36" i="4"/>
  <c r="T41" i="4"/>
  <c r="R40" i="4"/>
  <c r="T39" i="4"/>
  <c r="T37" i="4"/>
  <c r="P37" i="4"/>
  <c r="R36" i="4"/>
  <c r="P39" i="4"/>
  <c r="P38" i="4"/>
  <c r="S39" i="4"/>
  <c r="U41" i="4"/>
  <c r="S38" i="4"/>
  <c r="U37" i="4"/>
  <c r="P40" i="4"/>
  <c r="Q41" i="4"/>
  <c r="S37" i="4"/>
  <c r="A18" i="1" a="1"/>
  <c r="B13" i="6" a="1"/>
  <c r="B22" i="6" a="1"/>
  <c r="A10" i="1" a="1"/>
  <c r="C11" i="1" l="1"/>
  <c r="B10" i="1"/>
  <c r="D13" i="1"/>
  <c r="F11" i="1"/>
  <c r="B12" i="1"/>
  <c r="A14" i="1"/>
  <c r="A13" i="1"/>
  <c r="F12" i="1"/>
  <c r="B15" i="1"/>
  <c r="A11" i="1"/>
  <c r="A10" i="1"/>
  <c r="F10" i="1"/>
  <c r="A12" i="1"/>
  <c r="E11" i="1"/>
  <c r="E13" i="1"/>
  <c r="B13" i="1"/>
  <c r="E10" i="1"/>
  <c r="E12" i="1"/>
  <c r="D10" i="1"/>
  <c r="F13" i="1"/>
  <c r="C10" i="1"/>
  <c r="D11" i="1"/>
  <c r="A15" i="1"/>
  <c r="D15" i="1"/>
  <c r="C15" i="1"/>
  <c r="F14" i="1"/>
  <c r="B23" i="6"/>
  <c r="B25" i="6"/>
  <c r="F25" i="6"/>
  <c r="E22" i="6"/>
  <c r="C28" i="6"/>
  <c r="E24" i="6"/>
  <c r="E26" i="6"/>
  <c r="D24" i="6"/>
  <c r="G27" i="6"/>
  <c r="G26" i="6"/>
  <c r="E29" i="6"/>
  <c r="G22" i="6"/>
  <c r="F23" i="6"/>
  <c r="F26" i="6"/>
  <c r="F27" i="6"/>
  <c r="F28" i="6"/>
  <c r="F29" i="6"/>
  <c r="D27" i="6"/>
  <c r="C23" i="6"/>
  <c r="C26" i="6"/>
  <c r="I27" i="6"/>
  <c r="B27" i="6"/>
  <c r="G25" i="6"/>
  <c r="D25" i="6"/>
  <c r="B29" i="6"/>
  <c r="C25" i="6"/>
  <c r="H29" i="6"/>
  <c r="I25" i="6"/>
  <c r="H24" i="6"/>
  <c r="H28" i="6"/>
  <c r="G29" i="6"/>
  <c r="G28" i="6"/>
  <c r="G23" i="6"/>
  <c r="H25" i="6"/>
  <c r="F22" i="6"/>
  <c r="C27" i="6"/>
  <c r="C29" i="6"/>
  <c r="I23" i="6"/>
  <c r="I22" i="6"/>
  <c r="D23" i="6"/>
  <c r="C22" i="6"/>
  <c r="H27" i="6"/>
  <c r="D28" i="6"/>
  <c r="C24" i="6"/>
  <c r="H22" i="6"/>
  <c r="H26" i="6"/>
  <c r="B16" i="6"/>
  <c r="C20" i="6"/>
  <c r="F17" i="6"/>
  <c r="E15" i="6"/>
  <c r="H18" i="6"/>
  <c r="B13" i="6"/>
  <c r="E20" i="6"/>
  <c r="C16" i="6"/>
  <c r="H17" i="6"/>
  <c r="C19" i="6"/>
  <c r="G15" i="6"/>
  <c r="D19" i="6"/>
  <c r="G19" i="6"/>
  <c r="C13" i="6"/>
  <c r="E16" i="6"/>
  <c r="I14" i="6"/>
  <c r="G13" i="6"/>
  <c r="B20" i="6"/>
  <c r="H13" i="6"/>
  <c r="F16" i="6"/>
  <c r="H20" i="6"/>
  <c r="B19" i="6"/>
  <c r="D20" i="6"/>
  <c r="I17" i="6"/>
  <c r="G17" i="6"/>
  <c r="I16" i="6"/>
  <c r="E19" i="6"/>
  <c r="D19" i="1"/>
  <c r="K27" i="1" s="1"/>
  <c r="C21" i="1"/>
  <c r="A18" i="1"/>
  <c r="B21" i="1"/>
  <c r="E22" i="1"/>
  <c r="F23" i="1"/>
  <c r="A23" i="1"/>
  <c r="F19" i="1"/>
  <c r="F18" i="1"/>
  <c r="D20" i="1"/>
  <c r="K28" i="1" s="1"/>
  <c r="B22" i="1"/>
  <c r="C20" i="1"/>
  <c r="E18" i="1"/>
  <c r="C22" i="1"/>
  <c r="D22" i="1"/>
  <c r="F20" i="1"/>
  <c r="D21" i="1"/>
  <c r="K29" i="1" s="1"/>
  <c r="E21" i="1"/>
  <c r="F21" i="1"/>
  <c r="A19" i="1"/>
  <c r="H27" i="1" s="1"/>
  <c r="B23" i="1"/>
  <c r="I31" i="1" s="1"/>
  <c r="C18" i="1"/>
  <c r="H18" i="1" s="1" a="1"/>
  <c r="B20" i="1"/>
  <c r="C23" i="1"/>
  <c r="D18" i="1"/>
  <c r="K26" i="1" s="1"/>
  <c r="A20" i="1"/>
  <c r="H28" i="1" s="1"/>
  <c r="E20" i="1"/>
  <c r="E19" i="1"/>
  <c r="C19" i="1"/>
  <c r="B19" i="1"/>
  <c r="B18" i="1"/>
  <c r="D23" i="1"/>
  <c r="K31" i="1" s="1"/>
  <c r="F22" i="1"/>
  <c r="E23" i="1"/>
  <c r="A21" i="1"/>
  <c r="A22" i="1"/>
  <c r="H30" i="1" s="1"/>
  <c r="K15" i="4"/>
  <c r="H13" i="4"/>
  <c r="I15" i="4"/>
  <c r="L13" i="4"/>
  <c r="E2" i="6"/>
  <c r="I2" i="6"/>
  <c r="K2" i="3"/>
  <c r="K1" i="3"/>
  <c r="B2" i="6"/>
  <c r="F2" i="6"/>
  <c r="C2" i="6"/>
  <c r="G2" i="6"/>
  <c r="D2" i="6"/>
  <c r="H2" i="6"/>
  <c r="E9" i="6"/>
  <c r="M15" i="4"/>
  <c r="I13" i="4"/>
  <c r="H26" i="1"/>
  <c r="D16" i="6"/>
  <c r="F20" i="6"/>
  <c r="F15" i="6"/>
  <c r="B15" i="6"/>
  <c r="I15" i="6"/>
  <c r="E14" i="6"/>
  <c r="B18" i="6"/>
  <c r="I19" i="6"/>
  <c r="E17" i="6"/>
  <c r="B14" i="6"/>
  <c r="D17" i="6"/>
  <c r="D18" i="6"/>
  <c r="E18" i="6"/>
  <c r="F18" i="6"/>
  <c r="D15" i="6"/>
  <c r="F13" i="6"/>
  <c r="F19" i="6"/>
  <c r="E13" i="6"/>
  <c r="C18" i="6"/>
  <c r="B17" i="6"/>
  <c r="H14" i="6"/>
  <c r="H16" i="6"/>
  <c r="F14" i="6"/>
  <c r="I20" i="6"/>
  <c r="H15" i="6"/>
  <c r="C14" i="6"/>
  <c r="G16" i="6"/>
  <c r="G18" i="6"/>
  <c r="H19" i="6"/>
  <c r="G14" i="6"/>
  <c r="G20" i="6"/>
  <c r="D13" i="6"/>
  <c r="D14" i="6"/>
  <c r="I13" i="6"/>
  <c r="I18" i="6"/>
  <c r="C15" i="6"/>
  <c r="C17" i="6"/>
  <c r="R1" i="3"/>
  <c r="N1" i="3"/>
  <c r="J12" i="4"/>
  <c r="I10" i="4"/>
  <c r="L15" i="4"/>
  <c r="K10" i="4"/>
  <c r="K14" i="4"/>
  <c r="L12" i="4"/>
  <c r="L10" i="4"/>
  <c r="L14" i="4"/>
  <c r="J15" i="4"/>
  <c r="H15" i="4"/>
  <c r="J11" i="4"/>
  <c r="I12" i="4"/>
  <c r="M13" i="4"/>
  <c r="K12" i="4"/>
  <c r="H10" i="4"/>
  <c r="J13" i="4"/>
  <c r="I11" i="4"/>
  <c r="J14" i="4"/>
  <c r="M12" i="4"/>
  <c r="H12" i="4"/>
  <c r="K11" i="4"/>
  <c r="I6" i="6"/>
  <c r="E6" i="6"/>
  <c r="O1" i="3"/>
  <c r="O2" i="3"/>
  <c r="B6" i="6"/>
  <c r="F6" i="6"/>
  <c r="C6" i="6"/>
  <c r="G6" i="6"/>
  <c r="D6" i="6"/>
  <c r="H6" i="6"/>
  <c r="L11" i="4"/>
  <c r="E4" i="6"/>
  <c r="I4" i="6"/>
  <c r="B4" i="6"/>
  <c r="F4" i="6"/>
  <c r="C4" i="6"/>
  <c r="G4" i="6"/>
  <c r="M1" i="3"/>
  <c r="M2" i="3"/>
  <c r="D4" i="6"/>
  <c r="H4" i="6"/>
  <c r="H14" i="4"/>
  <c r="J10" i="4"/>
  <c r="M10" i="4"/>
  <c r="C8" i="6"/>
  <c r="G8" i="6"/>
  <c r="I8" i="6"/>
  <c r="E8" i="6"/>
  <c r="Q1" i="3"/>
  <c r="Q2" i="3"/>
  <c r="B8" i="6"/>
  <c r="F8" i="6"/>
  <c r="D8" i="6"/>
  <c r="H8" i="6"/>
  <c r="M14" i="4"/>
  <c r="M11" i="4"/>
  <c r="K13" i="4"/>
  <c r="I14" i="4"/>
  <c r="J31" i="1"/>
  <c r="I28" i="1"/>
  <c r="C12" i="1"/>
  <c r="D14" i="1"/>
  <c r="B11" i="1"/>
  <c r="I30" i="1" s="1"/>
  <c r="E15" i="1"/>
  <c r="F15" i="1"/>
  <c r="M27" i="1" s="1"/>
  <c r="B14" i="1"/>
  <c r="E14" i="1"/>
  <c r="D12" i="1"/>
  <c r="C14" i="1"/>
  <c r="C13" i="1"/>
  <c r="U39" i="4"/>
  <c r="Q38" i="4"/>
  <c r="R39" i="4"/>
  <c r="P36" i="4"/>
  <c r="R38" i="4"/>
  <c r="Q39" i="4"/>
  <c r="U38" i="4"/>
  <c r="P41" i="4"/>
  <c r="P2" i="3"/>
  <c r="B7" i="6"/>
  <c r="F7" i="6"/>
  <c r="P1" i="3"/>
  <c r="D7" i="6"/>
  <c r="H7" i="6"/>
  <c r="I7" i="6"/>
  <c r="E7" i="6"/>
  <c r="L2" i="3"/>
  <c r="E3" i="6"/>
  <c r="I3" i="6"/>
  <c r="B3" i="6"/>
  <c r="F3" i="6"/>
  <c r="L1" i="3"/>
  <c r="C3" i="6"/>
  <c r="G3" i="6"/>
  <c r="D3" i="6"/>
  <c r="H3" i="6"/>
  <c r="B24" i="6"/>
  <c r="B28" i="6"/>
  <c r="E25" i="6"/>
  <c r="H23" i="6"/>
  <c r="G24" i="6"/>
  <c r="E23" i="6"/>
  <c r="D22" i="6"/>
  <c r="I26" i="6"/>
  <c r="I24" i="6"/>
  <c r="E27" i="6"/>
  <c r="D29" i="6"/>
  <c r="I29" i="6"/>
  <c r="E28" i="6"/>
  <c r="I28" i="6"/>
  <c r="D26" i="6"/>
  <c r="F24" i="6"/>
  <c r="B22" i="6"/>
  <c r="B26" i="6"/>
  <c r="G9" i="6"/>
  <c r="G7" i="6"/>
  <c r="C9" i="6"/>
  <c r="H5" i="6"/>
  <c r="D5" i="6"/>
  <c r="I46" i="6"/>
  <c r="E46" i="6"/>
  <c r="F9" i="6"/>
  <c r="B9" i="6"/>
  <c r="G5" i="6"/>
  <c r="C5" i="6"/>
  <c r="N2" i="3"/>
  <c r="R2" i="3"/>
  <c r="H46" i="6"/>
  <c r="D46" i="6"/>
  <c r="F5" i="6"/>
  <c r="B5" i="6"/>
  <c r="I9" i="6"/>
  <c r="G46" i="6"/>
  <c r="H9" i="6"/>
  <c r="D9" i="6"/>
  <c r="I5" i="6"/>
  <c r="E5" i="6"/>
  <c r="H32" i="6" l="1"/>
  <c r="C32" i="6"/>
  <c r="H29" i="1"/>
  <c r="K30" i="1"/>
  <c r="H31" i="1"/>
  <c r="G32" i="6"/>
  <c r="E32" i="6"/>
  <c r="B32" i="6"/>
  <c r="B36" i="6" s="1" a="1"/>
  <c r="B43" i="6" s="1"/>
  <c r="D32" i="6"/>
  <c r="D36" i="6" s="1" a="1"/>
  <c r="G36" i="6" a="1"/>
  <c r="G39" i="6" s="1"/>
  <c r="E36" i="6" a="1"/>
  <c r="E38" i="6" s="1"/>
  <c r="A26" i="1" a="1"/>
  <c r="I32" i="6"/>
  <c r="F32" i="6"/>
  <c r="F36" i="6" s="1" a="1"/>
  <c r="H18" i="4" a="1"/>
  <c r="P18" i="4" a="1"/>
  <c r="H36" i="4" a="1"/>
  <c r="B36" i="6"/>
  <c r="B38" i="6"/>
  <c r="B39" i="6"/>
  <c r="B41" i="6"/>
  <c r="B37" i="6"/>
  <c r="B40" i="6"/>
  <c r="M29" i="1"/>
  <c r="M28" i="1"/>
  <c r="M31" i="1"/>
  <c r="M30" i="1"/>
  <c r="J30" i="1"/>
  <c r="J26" i="1"/>
  <c r="J28" i="1"/>
  <c r="I36" i="6" a="1"/>
  <c r="C36" i="6" a="1"/>
  <c r="L21" i="1"/>
  <c r="I21" i="1"/>
  <c r="L23" i="1"/>
  <c r="J22" i="1"/>
  <c r="J38" i="1" s="1"/>
  <c r="H18" i="1"/>
  <c r="H34" i="1" s="1"/>
  <c r="K19" i="1"/>
  <c r="K35" i="1" s="1"/>
  <c r="I18" i="1"/>
  <c r="M22" i="1"/>
  <c r="M38" i="1" s="1"/>
  <c r="H22" i="1"/>
  <c r="H38" i="1" s="1"/>
  <c r="J18" i="1"/>
  <c r="L20" i="1"/>
  <c r="I23" i="1"/>
  <c r="I39" i="1" s="1"/>
  <c r="M18" i="1"/>
  <c r="H21" i="1"/>
  <c r="H37" i="1" s="1"/>
  <c r="J23" i="1"/>
  <c r="J39" i="1" s="1"/>
  <c r="J20" i="1"/>
  <c r="J36" i="1" s="1"/>
  <c r="M19" i="1"/>
  <c r="M35" i="1" s="1"/>
  <c r="J21" i="1"/>
  <c r="H23" i="1"/>
  <c r="H39" i="1" s="1"/>
  <c r="I20" i="1"/>
  <c r="I36" i="1" s="1"/>
  <c r="L22" i="1"/>
  <c r="M21" i="1"/>
  <c r="M23" i="1"/>
  <c r="M39" i="1" s="1"/>
  <c r="I22" i="1"/>
  <c r="I38" i="1" s="1"/>
  <c r="M20" i="1"/>
  <c r="M36" i="1" s="1"/>
  <c r="L18" i="1"/>
  <c r="K20" i="1"/>
  <c r="K36" i="1" s="1"/>
  <c r="J19" i="1"/>
  <c r="J35" i="1" s="1"/>
  <c r="K21" i="1"/>
  <c r="K37" i="1" s="1"/>
  <c r="H19" i="1"/>
  <c r="H35" i="1" s="1"/>
  <c r="H20" i="1"/>
  <c r="H36" i="1" s="1"/>
  <c r="L19" i="1"/>
  <c r="L35" i="1" s="1"/>
  <c r="I19" i="1"/>
  <c r="K23" i="1"/>
  <c r="K39" i="1" s="1"/>
  <c r="K18" i="1"/>
  <c r="K34" i="1" s="1"/>
  <c r="K22" i="1"/>
  <c r="K38" i="1" s="1"/>
  <c r="M26" i="1"/>
  <c r="H36" i="6" a="1"/>
  <c r="D36" i="6"/>
  <c r="D40" i="6"/>
  <c r="D41" i="6"/>
  <c r="D37" i="6"/>
  <c r="D43" i="6"/>
  <c r="D39" i="6"/>
  <c r="D42" i="6"/>
  <c r="D38" i="6"/>
  <c r="L29" i="1"/>
  <c r="L31" i="1"/>
  <c r="L28" i="1"/>
  <c r="L26" i="1"/>
  <c r="I27" i="1"/>
  <c r="I29" i="1"/>
  <c r="I26" i="1"/>
  <c r="J27" i="1"/>
  <c r="L27" i="1"/>
  <c r="J29" i="1"/>
  <c r="L30" i="1"/>
  <c r="E40" i="6" l="1"/>
  <c r="E37" i="6"/>
  <c r="B42" i="6"/>
  <c r="B47" i="6" s="1" a="1"/>
  <c r="E39" i="6"/>
  <c r="E41" i="6"/>
  <c r="E36" i="6"/>
  <c r="E42" i="6"/>
  <c r="E43" i="6"/>
  <c r="F38" i="6"/>
  <c r="F43" i="6"/>
  <c r="F39" i="6"/>
  <c r="F40" i="6"/>
  <c r="F42" i="6"/>
  <c r="F37" i="6"/>
  <c r="F41" i="6"/>
  <c r="F36" i="6"/>
  <c r="G41" i="6"/>
  <c r="G38" i="6"/>
  <c r="G37" i="6"/>
  <c r="G43" i="6"/>
  <c r="F30" i="1"/>
  <c r="D26" i="1"/>
  <c r="F28" i="1"/>
  <c r="A26" i="1"/>
  <c r="H2" i="1" s="1" a="1"/>
  <c r="E29" i="1"/>
  <c r="F27" i="1"/>
  <c r="D28" i="1"/>
  <c r="F26" i="1"/>
  <c r="D29" i="1"/>
  <c r="C31" i="1"/>
  <c r="C29" i="1"/>
  <c r="A27" i="1"/>
  <c r="F29" i="1"/>
  <c r="B26" i="1"/>
  <c r="B29" i="1"/>
  <c r="A31" i="1"/>
  <c r="A29" i="1"/>
  <c r="E28" i="1"/>
  <c r="D31" i="1"/>
  <c r="D27" i="1"/>
  <c r="C27" i="1"/>
  <c r="B31" i="1"/>
  <c r="C28" i="1"/>
  <c r="A30" i="1"/>
  <c r="E26" i="1"/>
  <c r="D30" i="1"/>
  <c r="C26" i="1"/>
  <c r="E31" i="1"/>
  <c r="E27" i="1"/>
  <c r="A28" i="1"/>
  <c r="F31" i="1"/>
  <c r="B28" i="1"/>
  <c r="B27" i="1"/>
  <c r="E30" i="1"/>
  <c r="B30" i="1"/>
  <c r="C30" i="1"/>
  <c r="G42" i="6"/>
  <c r="G36" i="6"/>
  <c r="I35" i="1"/>
  <c r="L37" i="1"/>
  <c r="G40" i="6"/>
  <c r="S20" i="4"/>
  <c r="R20" i="4"/>
  <c r="R21" i="4"/>
  <c r="Q23" i="4"/>
  <c r="P19" i="4"/>
  <c r="T23" i="4"/>
  <c r="S23" i="4"/>
  <c r="T21" i="4"/>
  <c r="Q19" i="4"/>
  <c r="U22" i="4"/>
  <c r="T20" i="4"/>
  <c r="Q21" i="4"/>
  <c r="R19" i="4"/>
  <c r="R23" i="4"/>
  <c r="R22" i="4"/>
  <c r="P23" i="4"/>
  <c r="R18" i="4"/>
  <c r="T22" i="4"/>
  <c r="U23" i="4"/>
  <c r="U21" i="4"/>
  <c r="S21" i="4"/>
  <c r="P20" i="4"/>
  <c r="S22" i="4"/>
  <c r="U20" i="4"/>
  <c r="T18" i="4"/>
  <c r="U18" i="4"/>
  <c r="P21" i="4"/>
  <c r="U19" i="4"/>
  <c r="T19" i="4"/>
  <c r="S18" i="4"/>
  <c r="P22" i="4"/>
  <c r="P18" i="4"/>
  <c r="S19" i="4"/>
  <c r="Q18" i="4"/>
  <c r="Q22" i="4"/>
  <c r="Q20" i="4"/>
  <c r="L36" i="1"/>
  <c r="I34" i="1"/>
  <c r="L39" i="1"/>
  <c r="K19" i="4"/>
  <c r="I18" i="4"/>
  <c r="L18" i="4"/>
  <c r="J21" i="4"/>
  <c r="L19" i="4"/>
  <c r="J23" i="4"/>
  <c r="J18" i="4"/>
  <c r="I23" i="4"/>
  <c r="H20" i="4"/>
  <c r="H19" i="4"/>
  <c r="K22" i="4"/>
  <c r="L20" i="4"/>
  <c r="J20" i="4"/>
  <c r="K23" i="4"/>
  <c r="M18" i="4"/>
  <c r="L22" i="4"/>
  <c r="H22" i="4"/>
  <c r="I21" i="4"/>
  <c r="I19" i="4"/>
  <c r="K21" i="4"/>
  <c r="I22" i="4"/>
  <c r="H21" i="4"/>
  <c r="L23" i="4"/>
  <c r="J22" i="4"/>
  <c r="H18" i="4"/>
  <c r="M22" i="4"/>
  <c r="I20" i="4"/>
  <c r="K20" i="4"/>
  <c r="K18" i="4"/>
  <c r="M20" i="4"/>
  <c r="M21" i="4"/>
  <c r="L21" i="4"/>
  <c r="H23" i="4"/>
  <c r="H31" i="4" s="1"/>
  <c r="M23" i="4"/>
  <c r="M19" i="4"/>
  <c r="J19" i="4"/>
  <c r="H36" i="6"/>
  <c r="H40" i="6"/>
  <c r="H37" i="6"/>
  <c r="H41" i="6"/>
  <c r="H39" i="6"/>
  <c r="H38" i="6"/>
  <c r="H42" i="6"/>
  <c r="H43" i="6"/>
  <c r="C41" i="6"/>
  <c r="C37" i="6"/>
  <c r="C42" i="6"/>
  <c r="C38" i="6"/>
  <c r="C40" i="6"/>
  <c r="C36" i="6"/>
  <c r="C43" i="6"/>
  <c r="C39" i="6"/>
  <c r="I37" i="6"/>
  <c r="I41" i="6"/>
  <c r="I38" i="6"/>
  <c r="I42" i="6"/>
  <c r="I39" i="6"/>
  <c r="I43" i="6"/>
  <c r="I36" i="6"/>
  <c r="I40" i="6"/>
  <c r="L34" i="1"/>
  <c r="M37" i="1"/>
  <c r="J37" i="1"/>
  <c r="J34" i="1"/>
  <c r="I37" i="1"/>
  <c r="B49" i="6" a="1"/>
  <c r="L38" i="1"/>
  <c r="M34" i="1"/>
  <c r="J41" i="4"/>
  <c r="R48" i="4" s="1"/>
  <c r="R55" i="4" s="1"/>
  <c r="J39" i="4"/>
  <c r="R46" i="4" s="1"/>
  <c r="R53" i="4" s="1"/>
  <c r="K39" i="4"/>
  <c r="S46" i="4" s="1"/>
  <c r="S53" i="4" s="1"/>
  <c r="M39" i="4"/>
  <c r="U46" i="4" s="1"/>
  <c r="U53" i="4" s="1"/>
  <c r="J36" i="4"/>
  <c r="R43" i="4" s="1"/>
  <c r="R50" i="4" s="1"/>
  <c r="K40" i="4"/>
  <c r="S47" i="4" s="1"/>
  <c r="S54" i="4" s="1"/>
  <c r="J40" i="4"/>
  <c r="R47" i="4" s="1"/>
  <c r="R54" i="4" s="1"/>
  <c r="H36" i="4"/>
  <c r="P43" i="4" s="1"/>
  <c r="P50" i="4" s="1"/>
  <c r="I36" i="4"/>
  <c r="Q43" i="4" s="1"/>
  <c r="Q50" i="4" s="1"/>
  <c r="J38" i="4"/>
  <c r="R45" i="4" s="1"/>
  <c r="R52" i="4" s="1"/>
  <c r="M36" i="4"/>
  <c r="U43" i="4" s="1"/>
  <c r="U50" i="4" s="1"/>
  <c r="H37" i="4"/>
  <c r="P44" i="4" s="1"/>
  <c r="P51" i="4" s="1"/>
  <c r="K36" i="4"/>
  <c r="S43" i="4" s="1"/>
  <c r="S50" i="4" s="1"/>
  <c r="L36" i="4"/>
  <c r="T43" i="4" s="1"/>
  <c r="T50" i="4" s="1"/>
  <c r="I38" i="4"/>
  <c r="Q45" i="4" s="1"/>
  <c r="Q52" i="4" s="1"/>
  <c r="L37" i="4"/>
  <c r="T44" i="4" s="1"/>
  <c r="T51" i="4" s="1"/>
  <c r="L39" i="4"/>
  <c r="T46" i="4" s="1"/>
  <c r="T53" i="4" s="1"/>
  <c r="K38" i="4"/>
  <c r="S45" i="4" s="1"/>
  <c r="S52" i="4" s="1"/>
  <c r="H38" i="4"/>
  <c r="P45" i="4" s="1"/>
  <c r="P52" i="4" s="1"/>
  <c r="H41" i="4"/>
  <c r="P48" i="4" s="1"/>
  <c r="P55" i="4" s="1"/>
  <c r="K37" i="4"/>
  <c r="S44" i="4" s="1"/>
  <c r="S51" i="4" s="1"/>
  <c r="J37" i="4"/>
  <c r="R44" i="4" s="1"/>
  <c r="R51" i="4" s="1"/>
  <c r="K41" i="4"/>
  <c r="S48" i="4" s="1"/>
  <c r="S55" i="4" s="1"/>
  <c r="L38" i="4"/>
  <c r="T45" i="4" s="1"/>
  <c r="T52" i="4" s="1"/>
  <c r="L40" i="4"/>
  <c r="T47" i="4" s="1"/>
  <c r="T54" i="4" s="1"/>
  <c r="I40" i="4"/>
  <c r="Q47" i="4" s="1"/>
  <c r="Q54" i="4" s="1"/>
  <c r="H39" i="4"/>
  <c r="P46" i="4" s="1"/>
  <c r="P53" i="4" s="1"/>
  <c r="M38" i="4"/>
  <c r="U45" i="4" s="1"/>
  <c r="U52" i="4" s="1"/>
  <c r="H40" i="4"/>
  <c r="P47" i="4" s="1"/>
  <c r="P54" i="4" s="1"/>
  <c r="I41" i="4"/>
  <c r="Q48" i="4" s="1"/>
  <c r="Q55" i="4" s="1"/>
  <c r="L41" i="4"/>
  <c r="T48" i="4" s="1"/>
  <c r="T55" i="4" s="1"/>
  <c r="M41" i="4"/>
  <c r="U48" i="4" s="1"/>
  <c r="U55" i="4" s="1"/>
  <c r="M37" i="4"/>
  <c r="U44" i="4" s="1"/>
  <c r="U51" i="4" s="1"/>
  <c r="I37" i="4"/>
  <c r="Q44" i="4" s="1"/>
  <c r="Q51" i="4" s="1"/>
  <c r="M40" i="4"/>
  <c r="U47" i="4" s="1"/>
  <c r="U54" i="4" s="1"/>
  <c r="I39" i="4"/>
  <c r="Q46" i="4" s="1"/>
  <c r="Q53" i="4" s="1"/>
  <c r="K6" i="1" l="1"/>
  <c r="K14" i="1" s="1"/>
  <c r="J7" i="1"/>
  <c r="J15" i="1" s="1"/>
  <c r="J2" i="1"/>
  <c r="J10" i="1" s="1"/>
  <c r="H6" i="1"/>
  <c r="H14" i="1" s="1"/>
  <c r="H5" i="1"/>
  <c r="H13" i="1" s="1"/>
  <c r="M6" i="1"/>
  <c r="M14" i="1" s="1"/>
  <c r="M4" i="1"/>
  <c r="M12" i="1" s="1"/>
  <c r="L3" i="1"/>
  <c r="L11" i="1" s="1"/>
  <c r="L7" i="1"/>
  <c r="L15" i="1" s="1"/>
  <c r="K3" i="1"/>
  <c r="K11" i="1" s="1"/>
  <c r="K7" i="1"/>
  <c r="K15" i="1" s="1"/>
  <c r="I7" i="1"/>
  <c r="I15" i="1" s="1"/>
  <c r="M3" i="1"/>
  <c r="M11" i="1" s="1"/>
  <c r="M5" i="1"/>
  <c r="M13" i="1" s="1"/>
  <c r="L5" i="1"/>
  <c r="L13" i="1" s="1"/>
  <c r="I5" i="1"/>
  <c r="I13" i="1" s="1"/>
  <c r="H7" i="1"/>
  <c r="H15" i="1" s="1"/>
  <c r="J3" i="1"/>
  <c r="J11" i="1" s="1"/>
  <c r="L6" i="1"/>
  <c r="L14" i="1" s="1"/>
  <c r="K5" i="1"/>
  <c r="K13" i="1" s="1"/>
  <c r="J4" i="1"/>
  <c r="J12" i="1" s="1"/>
  <c r="M2" i="1"/>
  <c r="M10" i="1" s="1"/>
  <c r="I6" i="1"/>
  <c r="I14" i="1" s="1"/>
  <c r="M7" i="1"/>
  <c r="M15" i="1" s="1"/>
  <c r="K4" i="1"/>
  <c r="K12" i="1" s="1"/>
  <c r="J5" i="1"/>
  <c r="J13" i="1" s="1"/>
  <c r="I4" i="1"/>
  <c r="I12" i="1" s="1"/>
  <c r="L4" i="1"/>
  <c r="L12" i="1" s="1"/>
  <c r="L2" i="1"/>
  <c r="L10" i="1" s="1"/>
  <c r="H3" i="1"/>
  <c r="H11" i="1" s="1"/>
  <c r="I3" i="1"/>
  <c r="I11" i="1" s="1"/>
  <c r="K2" i="1"/>
  <c r="K10" i="1" s="1"/>
  <c r="H2" i="1"/>
  <c r="H10" i="1" s="1"/>
  <c r="J6" i="1"/>
  <c r="J14" i="1" s="1"/>
  <c r="H4" i="1"/>
  <c r="H12" i="1" s="1"/>
  <c r="I2" i="1"/>
  <c r="I10" i="1" s="1"/>
  <c r="H26" i="4"/>
  <c r="H30" i="4"/>
  <c r="H28" i="4"/>
  <c r="C49" i="6"/>
  <c r="G49" i="6"/>
  <c r="F49" i="6"/>
  <c r="D49" i="6"/>
  <c r="H49" i="6"/>
  <c r="E49" i="6"/>
  <c r="I49" i="6"/>
  <c r="B49" i="6"/>
  <c r="F47" i="6"/>
  <c r="B47" i="6"/>
  <c r="E47" i="6"/>
  <c r="C47" i="6"/>
  <c r="G47" i="6"/>
  <c r="D47" i="6"/>
  <c r="H47" i="6"/>
  <c r="I47" i="6"/>
  <c r="B48" i="6" a="1"/>
  <c r="H29" i="4"/>
  <c r="H27" i="4"/>
  <c r="D48" i="6" l="1"/>
  <c r="H48" i="6"/>
  <c r="E48" i="6"/>
  <c r="I48" i="6"/>
  <c r="C48" i="6"/>
  <c r="G48" i="6"/>
  <c r="F48" i="6"/>
  <c r="B48" i="6"/>
  <c r="H33" i="4"/>
  <c r="I31" i="4" s="1"/>
  <c r="I26" i="4" l="1"/>
  <c r="I28" i="4"/>
  <c r="I29" i="4"/>
  <c r="I30" i="4"/>
  <c r="I27" i="4"/>
</calcChain>
</file>

<file path=xl/sharedStrings.xml><?xml version="1.0" encoding="utf-8"?>
<sst xmlns="http://schemas.openxmlformats.org/spreadsheetml/2006/main" count="78" uniqueCount="41">
  <si>
    <t>Covariance Matrix</t>
  </si>
  <si>
    <t>Eigenvalues</t>
  </si>
  <si>
    <t>Sqr Root Eigenvalues</t>
  </si>
  <si>
    <t>Factor weights</t>
  </si>
  <si>
    <t>Eigenvectors</t>
  </si>
  <si>
    <t>Eigenvectors transpose</t>
  </si>
  <si>
    <t>Factor contributions to variance</t>
  </si>
  <si>
    <t>EigenValues</t>
  </si>
  <si>
    <t>EigenVectors</t>
  </si>
  <si>
    <t>Reconstructed Covariance Matrix</t>
  </si>
  <si>
    <t>Errors</t>
  </si>
  <si>
    <t>M times V</t>
  </si>
  <si>
    <t>Lambda times V</t>
  </si>
  <si>
    <t>EigenVectors Transpose</t>
  </si>
  <si>
    <t>1yr</t>
  </si>
  <si>
    <t>2yr</t>
  </si>
  <si>
    <t>3yr</t>
  </si>
  <si>
    <t>4yr</t>
  </si>
  <si>
    <t>5yr</t>
  </si>
  <si>
    <t>7yr</t>
  </si>
  <si>
    <t>10yr</t>
  </si>
  <si>
    <t>30yr</t>
  </si>
  <si>
    <t>Factor Loadings</t>
  </si>
  <si>
    <t>PC1</t>
  </si>
  <si>
    <t>PC2</t>
  </si>
  <si>
    <t>PC3</t>
  </si>
  <si>
    <t>PC4</t>
  </si>
  <si>
    <t>PC5</t>
  </si>
  <si>
    <t>PC6</t>
  </si>
  <si>
    <t>PC7</t>
  </si>
  <si>
    <t>PC8</t>
  </si>
  <si>
    <t>SD: Factor Score</t>
  </si>
  <si>
    <t>Current</t>
  </si>
  <si>
    <t>ub</t>
  </si>
  <si>
    <t>lb</t>
  </si>
  <si>
    <t>norm.s.inv</t>
  </si>
  <si>
    <t>Risk Management and Financial Institutions</t>
  </si>
  <si>
    <t>John Hull</t>
  </si>
  <si>
    <t>Pages:</t>
  </si>
  <si>
    <t>Website:</t>
  </si>
  <si>
    <t>http://www-2.rotman.utoronto.ca/~hull/riskman/index.html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</si>
</sst>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E+00"/>
    <numFmt numFmtId="166" formatCode="0.000"/>
  </numFmts>
  <fonts count="7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164" fontId="0" fillId="0" borderId="0" xfId="0" applyNumberFormat="1"/>
    <xf numFmtId="0" fontId="0" fillId="0" borderId="0" xfId="0" quotePrefix="1" applyAlignment="1">
      <alignment horizontal="left"/>
    </xf>
    <xf numFmtId="10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0" fillId="2" borderId="0" xfId="0" applyFill="1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" fillId="0" borderId="0" xfId="0" applyFont="1" applyFill="1" applyBorder="1" applyAlignment="1"/>
    <xf numFmtId="2" fontId="0" fillId="0" borderId="0" xfId="0" applyNumberFormat="1"/>
    <xf numFmtId="0" fontId="6" fillId="3" borderId="0" xfId="0" applyFont="1" applyFill="1"/>
    <xf numFmtId="0" fontId="4" fillId="3" borderId="0" xfId="4" applyFill="1"/>
    <xf numFmtId="0" fontId="3" fillId="0" borderId="0" xfId="0" applyFont="1" applyAlignment="1">
      <alignment horizontal="center"/>
    </xf>
  </cellXfs>
  <cellStyles count="5">
    <cellStyle name="Followed Hyperlink" xfId="3" builtinId="9" hidden="1"/>
    <cellStyle name="Hyperlink" xfId="2" builtinId="8" hidden="1"/>
    <cellStyle name="Hyperlink" xfId="4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PCA!$B$47:$I$47</c:f>
              <c:numCache>
                <c:formatCode>General</c:formatCode>
                <c:ptCount val="8"/>
                <c:pt idx="0">
                  <c:v>-5.8601277414097094E-3</c:v>
                </c:pt>
                <c:pt idx="1">
                  <c:v>-8.9932383306436936E-3</c:v>
                </c:pt>
                <c:pt idx="2">
                  <c:v>-1.011688299127079E-2</c:v>
                </c:pt>
                <c:pt idx="3">
                  <c:v>-1.0644744454964543E-2</c:v>
                </c:pt>
                <c:pt idx="4">
                  <c:v>-1.0985319804246576E-2</c:v>
                </c:pt>
                <c:pt idx="5">
                  <c:v>-1.0707746892892453E-2</c:v>
                </c:pt>
                <c:pt idx="6">
                  <c:v>-1.0211267290881315E-2</c:v>
                </c:pt>
                <c:pt idx="7">
                  <c:v>-8.2892616463426522E-3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D9-F642-94E6-65997B4FA96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PCA!$B$48:$I$48</c:f>
              <c:numCache>
                <c:formatCode>General</c:formatCode>
                <c:ptCount val="8"/>
                <c:pt idx="0">
                  <c:v>3.972248926836059E-2</c:v>
                </c:pt>
                <c:pt idx="1">
                  <c:v>3.4009369745523113E-2</c:v>
                </c:pt>
                <c:pt idx="2">
                  <c:v>2.1189907070528018E-2</c:v>
                </c:pt>
                <c:pt idx="3">
                  <c:v>8.6890779015983046E-3</c:v>
                </c:pt>
                <c:pt idx="4">
                  <c:v>-1.471544015479554E-3</c:v>
                </c:pt>
                <c:pt idx="5">
                  <c:v>-1.5356054544138931E-2</c:v>
                </c:pt>
                <c:pt idx="6">
                  <c:v>-2.9405535727023997E-2</c:v>
                </c:pt>
                <c:pt idx="7">
                  <c:v>-4.3989459691936822E-2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D9-F642-94E6-65997B4FA96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PCA!$B$49:$I$49</c:f>
              <c:numCache>
                <c:formatCode>General</c:formatCode>
                <c:ptCount val="8"/>
                <c:pt idx="0">
                  <c:v>6.3382566031231699E-3</c:v>
                </c:pt>
                <c:pt idx="1">
                  <c:v>1.3073027424359614E-3</c:v>
                </c:pt>
                <c:pt idx="2">
                  <c:v>-1.5854216191910581E-3</c:v>
                </c:pt>
                <c:pt idx="3">
                  <c:v>-2.5852434467994894E-3</c:v>
                </c:pt>
                <c:pt idx="4">
                  <c:v>-3.5896821615409992E-3</c:v>
                </c:pt>
                <c:pt idx="5">
                  <c:v>-1.9655594334699812E-3</c:v>
                </c:pt>
                <c:pt idx="6">
                  <c:v>6.8491823655116089E-4</c:v>
                </c:pt>
                <c:pt idx="7">
                  <c:v>5.8081818017113058E-3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D9-F642-94E6-65997B4FA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84509904"/>
        <c:axId val="-1716800944"/>
      </c:lineChart>
      <c:catAx>
        <c:axId val="-1784509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6800944"/>
        <c:crosses val="autoZero"/>
        <c:auto val="1"/>
        <c:lblAlgn val="ctr"/>
        <c:lblOffset val="100"/>
        <c:noMultiLvlLbl val="0"/>
      </c:catAx>
      <c:valAx>
        <c:axId val="-171680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8450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660400</xdr:colOff>
      <xdr:row>2</xdr:row>
      <xdr:rowOff>9525</xdr:rowOff>
    </xdr:from>
    <xdr:to>
      <xdr:col>14</xdr:col>
      <xdr:colOff>644554</xdr:colOff>
      <xdr:row>6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581900" y="342900"/>
          <a:ext cx="1838325" cy="80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variance-covariance matrix was calculated using  the covariance data analysis tool in excel</a:t>
          </a:r>
        </a:p>
      </xdr:txBody>
    </xdr:sp>
    <xdr:clientData/>
  </xdr:twoCellAnchor>
  <xdr:twoCellAnchor>
    <xdr:from>
      <xdr:col>10</xdr:col>
      <xdr:colOff>666750</xdr:colOff>
      <xdr:row>10</xdr:row>
      <xdr:rowOff>0</xdr:rowOff>
    </xdr:from>
    <xdr:to>
      <xdr:col>17</xdr:col>
      <xdr:colOff>955651</xdr:colOff>
      <xdr:row>36</xdr:row>
      <xdr:rowOff>57150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239250" y="1663700"/>
          <a:ext cx="5724501" cy="4349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calculation of eigenvectors</a:t>
          </a:r>
          <a:r>
            <a:rPr lang="en-US" sz="1100" baseline="0"/>
            <a:t> and eigenvalues involves the use of array functions</a:t>
          </a:r>
        </a:p>
        <a:p>
          <a:endParaRPr lang="en-US" sz="1100" baseline="0"/>
        </a:p>
        <a:p>
          <a:r>
            <a:rPr lang="en-US" sz="1100" b="1" baseline="0"/>
            <a:t>Eigenvalues</a:t>
          </a:r>
        </a:p>
        <a:p>
          <a:r>
            <a:rPr lang="en-US" sz="1100" baseline="0"/>
            <a:t>1. Select a range of cells that corresponds to the size of the matrix. (In the example the matrix is 8 by 8 and  cells B22:I29 are selected.) </a:t>
          </a:r>
        </a:p>
        <a:p>
          <a:r>
            <a:rPr lang="en-US" sz="1100" baseline="0"/>
            <a:t>2. While selected cells are displayed enter  =eigenvalue(...) .  The argument of eigenvalue  should be the range of cells corresponding to the original matrix. (In the example this is B2:I9 so that the formula entered is =eigenvalue(B2:I9)</a:t>
          </a:r>
        </a:p>
        <a:p>
          <a:r>
            <a:rPr lang="en-US" sz="1100" baseline="0"/>
            <a:t>3. Press Control+Shift+Enter</a:t>
          </a:r>
        </a:p>
        <a:p>
          <a:r>
            <a:rPr lang="en-US" sz="1100"/>
            <a:t>4. The eigenvalues are displayed on the diagonal of the</a:t>
          </a:r>
          <a:r>
            <a:rPr lang="en-US" sz="1100" baseline="0"/>
            <a:t> matrix that is produced</a:t>
          </a:r>
        </a:p>
        <a:p>
          <a:endParaRPr lang="en-US" sz="1100" baseline="0"/>
        </a:p>
        <a:p>
          <a:r>
            <a:rPr lang="en-US" sz="1100" b="1" baseline="0"/>
            <a:t>Eigenvectors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Select a range of cells that corresponds to the size of the matrix. (In the example the matrix is 8 by 8 and  cells B13:I20 are selected.)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While selected cells are displayed enter  =eigenvector(...) .  The argument of eigenvalue  should be the range of cells corresponding to the original matrix. (In the example this is B2:I9 so that the formula entered is =eigenvector(B2:I9)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Press Control+Shift+Enter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The eigenvectors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are the columns of the  matrix that is produced</a:t>
          </a:r>
          <a:endParaRPr lang="en-US">
            <a:effectLst/>
          </a:endParaRPr>
        </a:p>
        <a:p>
          <a:endParaRPr lang="en-US" sz="1100" b="1"/>
        </a:p>
      </xdr:txBody>
    </xdr:sp>
    <xdr:clientData/>
  </xdr:twoCellAnchor>
  <xdr:twoCellAnchor>
    <xdr:from>
      <xdr:col>11</xdr:col>
      <xdr:colOff>57150</xdr:colOff>
      <xdr:row>43</xdr:row>
      <xdr:rowOff>44450</xdr:rowOff>
    </xdr:from>
    <xdr:to>
      <xdr:col>16</xdr:col>
      <xdr:colOff>539750</xdr:colOff>
      <xdr:row>59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-2.rotman.utoronto.ca/~hull/riskman/index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U55"/>
  <sheetViews>
    <sheetView zoomScale="75" workbookViewId="0">
      <selection activeCell="K29" sqref="K29"/>
    </sheetView>
  </sheetViews>
  <sheetFormatPr baseColWidth="10" defaultColWidth="8.83203125" defaultRowHeight="13"/>
  <cols>
    <col min="8" max="13" width="13" bestFit="1" customWidth="1"/>
    <col min="15" max="15" width="12.5" bestFit="1" customWidth="1"/>
    <col min="16" max="21" width="13" bestFit="1" customWidth="1"/>
  </cols>
  <sheetData>
    <row r="1" spans="1:21">
      <c r="A1" s="2" t="s">
        <v>1</v>
      </c>
      <c r="H1" s="2" t="s">
        <v>2</v>
      </c>
      <c r="P1" t="s">
        <v>3</v>
      </c>
    </row>
    <row r="2" spans="1:21">
      <c r="A2">
        <v>2.2427134056056799</v>
      </c>
      <c r="H2">
        <f>SQRT(A2)</f>
        <v>1.497569165549852</v>
      </c>
      <c r="I2">
        <v>0</v>
      </c>
      <c r="J2">
        <v>0</v>
      </c>
      <c r="K2">
        <v>0</v>
      </c>
      <c r="L2">
        <v>0</v>
      </c>
      <c r="M2">
        <v>0</v>
      </c>
      <c r="P2">
        <v>-0.74484597586952983</v>
      </c>
      <c r="Q2">
        <v>-0.67481964168841879</v>
      </c>
      <c r="R2">
        <v>-0.65222132298027158</v>
      </c>
      <c r="S2" s="8">
        <v>-0.58604374155462358</v>
      </c>
      <c r="T2">
        <v>-0.48055496953329202</v>
      </c>
      <c r="U2">
        <v>-0.48247185806519582</v>
      </c>
    </row>
    <row r="3" spans="1:21">
      <c r="A3">
        <v>0.24656220655281499</v>
      </c>
      <c r="H3">
        <v>0</v>
      </c>
      <c r="I3">
        <f>SQRT(A3)</f>
        <v>0.49655030616526158</v>
      </c>
      <c r="J3">
        <v>0</v>
      </c>
      <c r="K3">
        <v>0</v>
      </c>
      <c r="L3">
        <v>0</v>
      </c>
      <c r="M3">
        <v>0</v>
      </c>
      <c r="P3">
        <v>0.18253189254635016</v>
      </c>
      <c r="Q3">
        <v>0.13573699169333589</v>
      </c>
      <c r="R3">
        <v>0.10219998401493414</v>
      </c>
      <c r="S3" s="8">
        <v>-3.3319022093995219E-3</v>
      </c>
      <c r="T3">
        <v>-0.29392302272840326</v>
      </c>
      <c r="U3">
        <v>-0.31301041649739592</v>
      </c>
    </row>
    <row r="4" spans="1:21">
      <c r="A4">
        <v>0.10439835017169299</v>
      </c>
      <c r="H4">
        <v>0</v>
      </c>
      <c r="I4">
        <v>0</v>
      </c>
      <c r="J4">
        <f>SQRT(A4)</f>
        <v>0.32310733537277203</v>
      </c>
      <c r="K4">
        <v>0</v>
      </c>
      <c r="L4">
        <v>0</v>
      </c>
      <c r="M4">
        <v>0</v>
      </c>
    </row>
    <row r="5" spans="1:21">
      <c r="A5">
        <v>3.37192014853386E-2</v>
      </c>
      <c r="H5">
        <v>0</v>
      </c>
      <c r="I5">
        <v>0</v>
      </c>
      <c r="J5">
        <v>0</v>
      </c>
      <c r="K5">
        <f>SQRT(A5)</f>
        <v>0.18362788863715282</v>
      </c>
      <c r="L5">
        <v>0</v>
      </c>
      <c r="M5">
        <v>0</v>
      </c>
      <c r="P5">
        <v>-0.74484597586952983</v>
      </c>
      <c r="Q5">
        <v>0.18253189254635016</v>
      </c>
    </row>
    <row r="6" spans="1:21">
      <c r="A6">
        <v>2.3814247494855799E-2</v>
      </c>
      <c r="H6">
        <v>0</v>
      </c>
      <c r="I6">
        <v>0</v>
      </c>
      <c r="J6">
        <v>0</v>
      </c>
      <c r="K6">
        <v>0</v>
      </c>
      <c r="L6">
        <f>SQRT(A6)</f>
        <v>0.15431865569287401</v>
      </c>
      <c r="M6">
        <v>0</v>
      </c>
      <c r="P6">
        <v>-0.67481964168841879</v>
      </c>
      <c r="Q6">
        <v>0.13573699169333589</v>
      </c>
    </row>
    <row r="7" spans="1:21">
      <c r="A7">
        <v>6.5691988689608599E-2</v>
      </c>
      <c r="H7">
        <v>0</v>
      </c>
      <c r="I7">
        <v>0</v>
      </c>
      <c r="J7">
        <v>0</v>
      </c>
      <c r="K7">
        <v>0</v>
      </c>
      <c r="L7">
        <v>0</v>
      </c>
      <c r="M7">
        <f>SQRT(A7)</f>
        <v>0.25630448433378727</v>
      </c>
      <c r="P7">
        <v>-0.65222132298027158</v>
      </c>
      <c r="Q7">
        <v>0.10219998401493414</v>
      </c>
    </row>
    <row r="8" spans="1:21">
      <c r="P8" s="8">
        <v>-0.58604374155462358</v>
      </c>
      <c r="Q8" s="8">
        <v>-3.3319022093995219E-3</v>
      </c>
    </row>
    <row r="9" spans="1:21">
      <c r="A9" t="s">
        <v>4</v>
      </c>
      <c r="H9" s="2" t="s">
        <v>5</v>
      </c>
      <c r="P9">
        <v>-0.48055496953329202</v>
      </c>
      <c r="Q9">
        <v>-0.29392302272840326</v>
      </c>
    </row>
    <row r="10" spans="1:21">
      <c r="A10">
        <v>-0.49736999999999998</v>
      </c>
      <c r="B10">
        <v>0.36759999999999998</v>
      </c>
      <c r="C10">
        <v>0.59138000000000002</v>
      </c>
      <c r="D10">
        <v>-0.19449</v>
      </c>
      <c r="E10">
        <v>-4.2391000000000005E-2</v>
      </c>
      <c r="F10">
        <v>-0.47763</v>
      </c>
      <c r="H10">
        <f t="array" ref="H10:M15">TRANSPOSE(A10:F15)</f>
        <v>-0.49736999999999998</v>
      </c>
      <c r="I10">
        <v>-0.45061000000000001</v>
      </c>
      <c r="J10">
        <v>-0.43552000000000002</v>
      </c>
      <c r="K10">
        <v>-0.39133000000000001</v>
      </c>
      <c r="L10">
        <v>-0.32089000000000001</v>
      </c>
      <c r="M10">
        <v>-0.32217000000000001</v>
      </c>
      <c r="P10">
        <v>-0.48247185806519582</v>
      </c>
      <c r="Q10">
        <v>-0.31301041649739592</v>
      </c>
    </row>
    <row r="11" spans="1:21">
      <c r="A11">
        <v>-0.45061000000000001</v>
      </c>
      <c r="B11">
        <v>0.27335999999999999</v>
      </c>
      <c r="C11">
        <v>8.2378000000000007E-2</v>
      </c>
      <c r="D11">
        <v>0.55071000000000003</v>
      </c>
      <c r="E11">
        <v>0.37020999999999998</v>
      </c>
      <c r="F11">
        <v>0.52451000000000003</v>
      </c>
      <c r="H11">
        <v>0.36759999999999998</v>
      </c>
      <c r="I11">
        <v>0.27335999999999999</v>
      </c>
      <c r="J11">
        <v>0.20582</v>
      </c>
      <c r="K11">
        <v>-6.7101000000000001E-3</v>
      </c>
      <c r="L11">
        <v>-0.59192999999999996</v>
      </c>
      <c r="M11">
        <v>-0.63036999999999999</v>
      </c>
    </row>
    <row r="12" spans="1:21">
      <c r="A12">
        <v>-0.43552000000000002</v>
      </c>
      <c r="B12">
        <v>0.20582</v>
      </c>
      <c r="C12">
        <v>-0.34619</v>
      </c>
      <c r="D12">
        <v>-0.48127999999999999</v>
      </c>
      <c r="E12">
        <v>-0.48777999999999999</v>
      </c>
      <c r="F12">
        <v>0.42255999999999999</v>
      </c>
      <c r="H12">
        <v>0.59138000000000002</v>
      </c>
      <c r="I12">
        <v>8.2378000000000007E-2</v>
      </c>
      <c r="J12">
        <v>-0.34619</v>
      </c>
      <c r="K12">
        <v>-0.69486999999999999</v>
      </c>
      <c r="L12">
        <v>0.15537000000000001</v>
      </c>
      <c r="M12">
        <v>0.12906000000000001</v>
      </c>
    </row>
    <row r="13" spans="1:21">
      <c r="A13">
        <v>-0.39133000000000001</v>
      </c>
      <c r="B13">
        <v>-6.7101000000000001E-3</v>
      </c>
      <c r="C13">
        <v>-0.69486999999999999</v>
      </c>
      <c r="D13">
        <v>0.15526999999999999</v>
      </c>
      <c r="E13">
        <v>0.21820999999999999</v>
      </c>
      <c r="F13">
        <v>-0.54059999999999997</v>
      </c>
      <c r="H13">
        <v>-0.19449</v>
      </c>
      <c r="I13">
        <v>0.55071000000000003</v>
      </c>
      <c r="J13">
        <v>-0.48127999999999999</v>
      </c>
      <c r="K13">
        <v>0.15526999999999999</v>
      </c>
      <c r="L13">
        <v>0.44585999999999998</v>
      </c>
      <c r="M13">
        <v>-0.45207000000000003</v>
      </c>
    </row>
    <row r="14" spans="1:21">
      <c r="A14">
        <v>-0.32089000000000001</v>
      </c>
      <c r="B14">
        <v>-0.59192999999999996</v>
      </c>
      <c r="C14">
        <v>0.15537000000000001</v>
      </c>
      <c r="D14">
        <v>0.44585999999999998</v>
      </c>
      <c r="E14">
        <v>-0.56574999999999998</v>
      </c>
      <c r="F14">
        <v>-6.0387000000000003E-2</v>
      </c>
      <c r="H14">
        <v>-4.2391000000000005E-2</v>
      </c>
      <c r="I14">
        <v>0.37020999999999998</v>
      </c>
      <c r="J14">
        <v>-0.48777999999999999</v>
      </c>
      <c r="K14">
        <v>0.21820999999999999</v>
      </c>
      <c r="L14">
        <v>-0.56574999999999998</v>
      </c>
      <c r="M14">
        <v>0.50548999999999999</v>
      </c>
    </row>
    <row r="15" spans="1:21">
      <c r="A15">
        <v>-0.32217000000000001</v>
      </c>
      <c r="B15">
        <v>-0.63036999999999999</v>
      </c>
      <c r="C15">
        <v>0.12906000000000001</v>
      </c>
      <c r="D15">
        <v>-0.45207000000000003</v>
      </c>
      <c r="E15">
        <v>0.50548999999999999</v>
      </c>
      <c r="F15">
        <v>0.14934</v>
      </c>
      <c r="H15">
        <v>-0.47763</v>
      </c>
      <c r="I15">
        <v>0.52451000000000003</v>
      </c>
      <c r="J15">
        <v>0.42255999999999999</v>
      </c>
      <c r="K15">
        <v>-0.54059999999999997</v>
      </c>
      <c r="L15">
        <v>-6.0387000000000003E-2</v>
      </c>
      <c r="M15">
        <v>0.14934</v>
      </c>
    </row>
    <row r="17" spans="1:21">
      <c r="A17" t="s">
        <v>3</v>
      </c>
      <c r="H17" t="s">
        <v>3</v>
      </c>
    </row>
    <row r="18" spans="1:21">
      <c r="A18">
        <v>-0.74485000000000001</v>
      </c>
      <c r="B18">
        <v>-0.67481999999999998</v>
      </c>
      <c r="C18">
        <v>-0.65222000000000002</v>
      </c>
      <c r="D18">
        <v>-0.58604000000000001</v>
      </c>
      <c r="E18">
        <v>-0.48054999999999998</v>
      </c>
      <c r="F18">
        <v>-0.48247000000000001</v>
      </c>
      <c r="H18">
        <f t="array" ref="H18:M23">MMULT(H2:M7,H10:M15)</f>
        <v>-0.74484597586952983</v>
      </c>
      <c r="I18">
        <v>-0.67481964168841879</v>
      </c>
      <c r="J18">
        <v>-0.65222132298027158</v>
      </c>
      <c r="K18">
        <v>-0.58604374155462358</v>
      </c>
      <c r="L18">
        <v>-0.48055496953329202</v>
      </c>
      <c r="M18">
        <v>-0.48247185806519582</v>
      </c>
      <c r="P18">
        <f t="array" ref="P18:U23">MMULT(A10:F15,H10:M15)</f>
        <v>0.999990755181</v>
      </c>
      <c r="Q18">
        <v>8.6202999999285268E-7</v>
      </c>
      <c r="R18">
        <v>-1.5314200000338118E-6</v>
      </c>
      <c r="S18">
        <v>-4.8756700000707198E-6</v>
      </c>
      <c r="T18">
        <v>3.4156000001256404E-7</v>
      </c>
      <c r="U18">
        <v>2.787210000035345E-6</v>
      </c>
    </row>
    <row r="19" spans="1:21">
      <c r="A19">
        <v>0.18253</v>
      </c>
      <c r="B19">
        <v>0.13572999999999999</v>
      </c>
      <c r="C19">
        <v>0.1022</v>
      </c>
      <c r="D19">
        <v>-3.3319000000000001E-3</v>
      </c>
      <c r="E19">
        <v>-0.29392000000000001</v>
      </c>
      <c r="F19">
        <v>-0.31301000000000001</v>
      </c>
      <c r="H19">
        <v>0.18253189254635016</v>
      </c>
      <c r="I19">
        <v>0.13573699169333589</v>
      </c>
      <c r="J19">
        <v>0.10219998401493414</v>
      </c>
      <c r="K19">
        <v>-3.3319022093995219E-3</v>
      </c>
      <c r="L19">
        <v>-0.29392302272840326</v>
      </c>
      <c r="M19">
        <v>-0.31301041649739592</v>
      </c>
      <c r="P19">
        <v>8.6202999999285268E-7</v>
      </c>
      <c r="Q19">
        <v>1.0000088848840001</v>
      </c>
      <c r="R19">
        <v>4.3855800000158762E-6</v>
      </c>
      <c r="S19">
        <v>3.0973039999993013E-6</v>
      </c>
      <c r="T19">
        <v>4.9956900000647231E-6</v>
      </c>
      <c r="U19">
        <v>-4.9082200000022391E-6</v>
      </c>
    </row>
    <row r="20" spans="1:21">
      <c r="A20">
        <v>0.19108</v>
      </c>
      <c r="B20">
        <v>2.6617000000000002E-2</v>
      </c>
      <c r="C20">
        <v>-0.11186</v>
      </c>
      <c r="D20">
        <v>-0.22452</v>
      </c>
      <c r="E20">
        <v>5.0202000000000004E-2</v>
      </c>
      <c r="F20">
        <v>4.1699000000000007E-2</v>
      </c>
      <c r="H20">
        <v>0.19107921599274993</v>
      </c>
      <c r="I20">
        <v>2.6616936073338218E-2</v>
      </c>
      <c r="J20">
        <v>-0.11185652843269994</v>
      </c>
      <c r="K20">
        <v>-0.22451759413047809</v>
      </c>
      <c r="L20">
        <v>5.0201186696867593E-2</v>
      </c>
      <c r="M20">
        <v>4.1700232703209959E-2</v>
      </c>
      <c r="P20">
        <v>-1.5314200000338118E-6</v>
      </c>
      <c r="Q20">
        <v>4.3855800000158762E-6</v>
      </c>
      <c r="R20">
        <v>1.0000037793000001</v>
      </c>
      <c r="S20">
        <v>5.2587180000285283E-6</v>
      </c>
      <c r="T20">
        <v>-3.6566199999553406E-6</v>
      </c>
      <c r="U20">
        <v>-1.1085999999382867E-6</v>
      </c>
    </row>
    <row r="21" spans="1:21">
      <c r="A21">
        <v>-3.5714000000000003E-2</v>
      </c>
      <c r="B21">
        <v>0.10113</v>
      </c>
      <c r="C21">
        <v>-8.837600000000001E-2</v>
      </c>
      <c r="D21">
        <v>2.8511999999999999E-2</v>
      </c>
      <c r="E21">
        <v>8.1872E-2</v>
      </c>
      <c r="F21">
        <v>-8.3013000000000003E-2</v>
      </c>
      <c r="H21">
        <v>-3.571378806103985E-2</v>
      </c>
      <c r="I21">
        <v>0.10112571455136643</v>
      </c>
      <c r="J21">
        <v>-8.8376430243288909E-2</v>
      </c>
      <c r="K21">
        <v>2.8511902268690718E-2</v>
      </c>
      <c r="L21">
        <v>8.1872330427760959E-2</v>
      </c>
      <c r="M21">
        <v>-8.3012659616197679E-2</v>
      </c>
      <c r="P21">
        <v>-4.8756700000707198E-6</v>
      </c>
      <c r="Q21">
        <v>3.0973039999993013E-6</v>
      </c>
      <c r="R21">
        <v>5.2587180000285283E-6</v>
      </c>
      <c r="S21">
        <v>1.00000124824201</v>
      </c>
      <c r="T21">
        <v>5.4281929999996925E-6</v>
      </c>
      <c r="U21">
        <v>1.5696370000012339E-6</v>
      </c>
    </row>
    <row r="22" spans="1:21">
      <c r="A22">
        <v>-6.5417000000000001E-3</v>
      </c>
      <c r="B22">
        <v>5.7131000000000001E-2</v>
      </c>
      <c r="C22">
        <v>-7.5274000000000008E-2</v>
      </c>
      <c r="D22">
        <v>3.3674000000000003E-2</v>
      </c>
      <c r="E22">
        <v>-8.730700000000001E-2</v>
      </c>
      <c r="F22">
        <v>7.8007000000000007E-2</v>
      </c>
      <c r="H22">
        <v>-6.5417221334766228E-3</v>
      </c>
      <c r="I22">
        <v>5.7130309524058884E-2</v>
      </c>
      <c r="J22">
        <v>-7.527355387387008E-2</v>
      </c>
      <c r="K22">
        <v>3.3673873858742036E-2</v>
      </c>
      <c r="L22">
        <v>-8.7305779458243471E-2</v>
      </c>
      <c r="M22">
        <v>7.8006537266190876E-2</v>
      </c>
      <c r="P22">
        <v>3.4156000001256404E-7</v>
      </c>
      <c r="Q22">
        <v>4.9956900000647231E-6</v>
      </c>
      <c r="R22">
        <v>-3.6566199999553406E-6</v>
      </c>
      <c r="S22">
        <v>5.4281929999996925E-6</v>
      </c>
      <c r="T22">
        <v>1.0000021457689998</v>
      </c>
      <c r="U22">
        <v>9.0053199999478445E-6</v>
      </c>
    </row>
    <row r="23" spans="1:21">
      <c r="A23">
        <v>-0.12242</v>
      </c>
      <c r="B23">
        <v>0.13442999999999999</v>
      </c>
      <c r="C23">
        <v>0.10829999999999999</v>
      </c>
      <c r="D23">
        <v>-0.13855999999999999</v>
      </c>
      <c r="E23">
        <v>-1.5478E-2</v>
      </c>
      <c r="F23">
        <v>3.8277000000000005E-2</v>
      </c>
      <c r="H23">
        <v>-0.12241871085234682</v>
      </c>
      <c r="I23">
        <v>0.13443426507791478</v>
      </c>
      <c r="J23">
        <v>0.10830402290008515</v>
      </c>
      <c r="K23">
        <v>-0.13855820423084539</v>
      </c>
      <c r="L23">
        <v>-1.5477458895464412E-2</v>
      </c>
      <c r="M23">
        <v>3.8276511690407793E-2</v>
      </c>
      <c r="P23">
        <v>2.787210000035345E-6</v>
      </c>
      <c r="Q23">
        <v>-4.9082200000022391E-6</v>
      </c>
      <c r="R23">
        <v>-1.1085999999382867E-6</v>
      </c>
      <c r="S23">
        <v>1.5696370000012339E-6</v>
      </c>
      <c r="T23">
        <v>9.0053199999478445E-6</v>
      </c>
      <c r="U23">
        <v>1.0000061900000001</v>
      </c>
    </row>
    <row r="25" spans="1:21">
      <c r="A25" t="s">
        <v>6</v>
      </c>
    </row>
    <row r="26" spans="1:21">
      <c r="A26">
        <v>2.2427130000000002</v>
      </c>
      <c r="B26">
        <v>82.55</v>
      </c>
      <c r="H26">
        <f t="shared" ref="H26:H31" si="0">H18^2+I18^2+J18^2+K18^2+L18^2+M18^2</f>
        <v>2.2427291703110224</v>
      </c>
      <c r="I26" s="3">
        <f t="shared" ref="I26:I31" si="1">H26/$H$33</f>
        <v>0.82546819407114735</v>
      </c>
      <c r="J26" s="1"/>
      <c r="K26" s="1"/>
      <c r="L26" s="1"/>
      <c r="M26" s="1"/>
    </row>
    <row r="27" spans="1:21">
      <c r="A27">
        <v>0.246562</v>
      </c>
      <c r="B27">
        <v>9.08</v>
      </c>
      <c r="H27">
        <f t="shared" si="0"/>
        <v>0.24656462514116956</v>
      </c>
      <c r="I27" s="3">
        <f t="shared" si="1"/>
        <v>9.0751597888605012E-2</v>
      </c>
      <c r="J27" s="1"/>
      <c r="K27" s="1"/>
      <c r="L27" s="1"/>
      <c r="M27" s="1"/>
    </row>
    <row r="28" spans="1:21">
      <c r="A28">
        <v>0.104398</v>
      </c>
      <c r="B28">
        <v>3.84</v>
      </c>
      <c r="H28">
        <f t="shared" si="0"/>
        <v>0.10439882965076527</v>
      </c>
      <c r="I28" s="3">
        <f t="shared" si="1"/>
        <v>3.8425465952720179E-2</v>
      </c>
      <c r="J28" s="1"/>
      <c r="K28" s="1"/>
      <c r="L28" s="1"/>
      <c r="M28" s="1"/>
    </row>
    <row r="29" spans="1:21">
      <c r="A29">
        <v>3.3718999999999999E-2</v>
      </c>
      <c r="B29">
        <v>1.24</v>
      </c>
      <c r="H29">
        <f t="shared" si="0"/>
        <v>3.3719386940946769E-2</v>
      </c>
      <c r="I29" s="3">
        <f t="shared" si="1"/>
        <v>1.2410897317338363E-2</v>
      </c>
      <c r="J29" s="1"/>
      <c r="K29" s="1"/>
      <c r="L29" s="1"/>
      <c r="M29" s="1"/>
    </row>
    <row r="30" spans="1:21">
      <c r="A30">
        <v>2.3813999999999998E-2</v>
      </c>
      <c r="B30">
        <v>0.88</v>
      </c>
      <c r="H30">
        <f t="shared" si="0"/>
        <v>2.3814023071316356E-2</v>
      </c>
      <c r="I30" s="3">
        <f t="shared" si="1"/>
        <v>8.7650880358068426E-3</v>
      </c>
      <c r="J30" s="1"/>
      <c r="K30" s="1"/>
      <c r="L30" s="1"/>
      <c r="M30" s="1"/>
    </row>
    <row r="31" spans="1:21">
      <c r="A31">
        <v>6.5692E-2</v>
      </c>
      <c r="B31">
        <v>2.42</v>
      </c>
      <c r="H31">
        <f t="shared" si="0"/>
        <v>6.5691692810855101E-2</v>
      </c>
      <c r="I31" s="3">
        <f t="shared" si="1"/>
        <v>2.4178756734382245E-2</v>
      </c>
      <c r="J31" s="1"/>
      <c r="K31" s="1"/>
      <c r="L31" s="1"/>
      <c r="M31" s="1"/>
    </row>
    <row r="32" spans="1:21">
      <c r="J32" s="1"/>
      <c r="K32" s="1"/>
      <c r="L32" s="1"/>
      <c r="M32" s="1"/>
    </row>
    <row r="33" spans="1:21">
      <c r="H33">
        <f>SUM(H26:H31)</f>
        <v>2.7169177279260754</v>
      </c>
      <c r="J33" s="1"/>
      <c r="K33" s="1"/>
      <c r="L33" s="1"/>
      <c r="M33" s="1"/>
    </row>
    <row r="34" spans="1:21">
      <c r="H34" s="1"/>
      <c r="I34" s="1"/>
      <c r="J34" s="1"/>
      <c r="K34" s="1"/>
      <c r="L34" s="1"/>
      <c r="M34" s="1"/>
    </row>
    <row r="35" spans="1:21">
      <c r="A35" s="2" t="s">
        <v>1</v>
      </c>
      <c r="H35" s="1" t="s">
        <v>0</v>
      </c>
      <c r="I35" s="1"/>
      <c r="J35" s="1"/>
      <c r="K35" s="1"/>
      <c r="L35" s="1"/>
      <c r="M35" s="1"/>
    </row>
    <row r="36" spans="1:21">
      <c r="A36">
        <f>A2</f>
        <v>2.2427134056056799</v>
      </c>
      <c r="B36">
        <v>0</v>
      </c>
      <c r="C36">
        <v>0</v>
      </c>
      <c r="D36">
        <v>0</v>
      </c>
      <c r="E36">
        <v>0</v>
      </c>
      <c r="F36">
        <v>0</v>
      </c>
      <c r="H36" s="6">
        <f t="array" ref="H36:M41">MMULT(MMULT(A10:F15,A36:F41),H10:M15)</f>
        <v>0.6409292959028795</v>
      </c>
      <c r="I36" s="6">
        <v>0.5120563854361565</v>
      </c>
      <c r="J36" s="6">
        <v>0.47347596345120851</v>
      </c>
      <c r="K36" s="6">
        <v>0.40872706188056646</v>
      </c>
      <c r="L36" s="6">
        <v>0.31342340269351576</v>
      </c>
      <c r="M36" s="6">
        <v>0.30796952423527119</v>
      </c>
      <c r="P36" s="6">
        <f t="array" ref="P36:U41">MMULT(P5:Q10,P2:U3)</f>
        <v>0.58811341956558449</v>
      </c>
      <c r="Q36" s="6">
        <v>0.52741302453166961</v>
      </c>
      <c r="R36" s="6">
        <v>0.50445918429860881</v>
      </c>
      <c r="S36" s="6">
        <v>0.43590414416442308</v>
      </c>
      <c r="T36" s="6">
        <v>0.30428910963941769</v>
      </c>
      <c r="U36" s="6">
        <v>0.30223283824016511</v>
      </c>
    </row>
    <row r="37" spans="1:21">
      <c r="A37">
        <v>0</v>
      </c>
      <c r="B37">
        <f>A3</f>
        <v>0.24656220655281499</v>
      </c>
      <c r="C37">
        <v>0</v>
      </c>
      <c r="D37">
        <v>0</v>
      </c>
      <c r="E37">
        <v>0</v>
      </c>
      <c r="F37">
        <v>0</v>
      </c>
      <c r="H37" s="6">
        <v>0.51205638543615661</v>
      </c>
      <c r="I37" s="6">
        <v>0.50607739504525306</v>
      </c>
      <c r="J37" s="6">
        <v>0.45234904042362167</v>
      </c>
      <c r="K37" s="6">
        <v>0.37522570982707537</v>
      </c>
      <c r="L37" s="6">
        <v>0.28693879813551476</v>
      </c>
      <c r="M37" s="6">
        <v>0.2854118243256375</v>
      </c>
      <c r="P37" s="6">
        <v>0.52741302453166961</v>
      </c>
      <c r="Q37" s="6">
        <v>0.47380607972244265</v>
      </c>
      <c r="R37" s="6">
        <v>0.45400407785638747</v>
      </c>
      <c r="S37" s="6">
        <v>0.39502156530711113</v>
      </c>
      <c r="T37" s="6">
        <v>0.28439170545747966</v>
      </c>
      <c r="U37" s="6">
        <v>0.28309439408026649</v>
      </c>
    </row>
    <row r="38" spans="1:21">
      <c r="A38">
        <v>0</v>
      </c>
      <c r="B38">
        <v>0</v>
      </c>
      <c r="C38">
        <f>A4</f>
        <v>0.10439835017169299</v>
      </c>
      <c r="D38">
        <v>0</v>
      </c>
      <c r="E38">
        <v>0</v>
      </c>
      <c r="F38">
        <v>0</v>
      </c>
      <c r="H38" s="6">
        <v>0.47347596345120851</v>
      </c>
      <c r="I38" s="6">
        <v>0.45234904042362167</v>
      </c>
      <c r="J38" s="6">
        <v>0.47355563654749544</v>
      </c>
      <c r="K38" s="6">
        <v>0.38694251951600966</v>
      </c>
      <c r="L38" s="6">
        <v>0.27543390023416675</v>
      </c>
      <c r="M38" s="6">
        <v>0.28363436417558668</v>
      </c>
      <c r="P38" s="6">
        <v>0.50445918429860881</v>
      </c>
      <c r="Q38" s="6">
        <v>0.45400407785638747</v>
      </c>
      <c r="R38" s="6">
        <v>0.4358374908827885</v>
      </c>
      <c r="S38" s="6">
        <v>0.38188970408852502</v>
      </c>
      <c r="T38" s="6">
        <v>0.28338926976928391</v>
      </c>
      <c r="U38" s="6">
        <v>0.28268877400549008</v>
      </c>
    </row>
    <row r="39" spans="1:21">
      <c r="A39">
        <v>0</v>
      </c>
      <c r="B39">
        <v>0</v>
      </c>
      <c r="C39">
        <v>0</v>
      </c>
      <c r="D39">
        <f>A5</f>
        <v>3.37192014853386E-2</v>
      </c>
      <c r="E39">
        <v>0</v>
      </c>
      <c r="F39">
        <v>0</v>
      </c>
      <c r="H39" s="6">
        <v>0.40872706188056646</v>
      </c>
      <c r="I39" s="6">
        <v>0.37522570982707537</v>
      </c>
      <c r="J39" s="6">
        <v>0.38694251951600972</v>
      </c>
      <c r="K39" s="7">
        <v>0.41501175297312409</v>
      </c>
      <c r="L39" s="6">
        <v>0.27287344646676759</v>
      </c>
      <c r="M39" s="6">
        <v>0.26938650580639961</v>
      </c>
      <c r="P39" s="6">
        <v>0.43590414416442308</v>
      </c>
      <c r="Q39" s="6">
        <v>0.39502156530711113</v>
      </c>
      <c r="R39" s="6">
        <v>0.38188970408852502</v>
      </c>
      <c r="S39" s="6">
        <v>0.34345836858767548</v>
      </c>
      <c r="T39" s="6">
        <v>0.28260555513678076</v>
      </c>
      <c r="U39" s="6">
        <v>0.28379253299363144</v>
      </c>
    </row>
    <row r="40" spans="1:21">
      <c r="A40">
        <v>0</v>
      </c>
      <c r="B40">
        <v>0</v>
      </c>
      <c r="C40">
        <v>0</v>
      </c>
      <c r="D40">
        <v>0</v>
      </c>
      <c r="E40">
        <f>A6</f>
        <v>2.3814247494855799E-2</v>
      </c>
      <c r="F40">
        <v>0</v>
      </c>
      <c r="H40" s="6">
        <v>0.31342340269351587</v>
      </c>
      <c r="I40" s="6">
        <v>0.28693879813551482</v>
      </c>
      <c r="J40" s="6">
        <v>0.27543390023416675</v>
      </c>
      <c r="K40" s="6">
        <v>0.27287344646676759</v>
      </c>
      <c r="L40" s="6">
        <v>0.33440891052906319</v>
      </c>
      <c r="M40" s="6">
        <v>0.31174933340982081</v>
      </c>
      <c r="P40" s="6">
        <v>0.30428910963941769</v>
      </c>
      <c r="Q40" s="6">
        <v>0.28439170545747966</v>
      </c>
      <c r="R40" s="6">
        <v>0.28338926976928391</v>
      </c>
      <c r="S40" s="6">
        <v>0.28260555513678076</v>
      </c>
      <c r="T40" s="6">
        <v>0.31732382203294468</v>
      </c>
      <c r="U40" s="6">
        <v>0.32385521681558205</v>
      </c>
    </row>
    <row r="41" spans="1:21">
      <c r="A41">
        <v>0</v>
      </c>
      <c r="B41">
        <v>0</v>
      </c>
      <c r="C41">
        <v>0</v>
      </c>
      <c r="D41">
        <v>0</v>
      </c>
      <c r="E41">
        <v>0</v>
      </c>
      <c r="F41">
        <f>A7</f>
        <v>6.5691988689608599E-2</v>
      </c>
      <c r="H41" s="6">
        <v>0.30796952423527124</v>
      </c>
      <c r="I41" s="6">
        <v>0.2854118243256375</v>
      </c>
      <c r="J41" s="6">
        <v>0.28363436417558668</v>
      </c>
      <c r="K41" s="6">
        <v>0.26938650580639961</v>
      </c>
      <c r="L41" s="6">
        <v>0.31174933340982075</v>
      </c>
      <c r="M41" s="6">
        <v>0.34693473692825988</v>
      </c>
      <c r="P41" s="6">
        <v>0.30223283824016511</v>
      </c>
      <c r="Q41" s="6">
        <v>0.28309439408026649</v>
      </c>
      <c r="R41" s="6">
        <v>0.28268877400549008</v>
      </c>
      <c r="S41" s="6">
        <v>0.28379253299363144</v>
      </c>
      <c r="T41" s="6">
        <v>0.32385521681558205</v>
      </c>
      <c r="U41" s="6">
        <v>0.33075461466075573</v>
      </c>
    </row>
    <row r="43" spans="1:21">
      <c r="P43" s="6">
        <f t="shared" ref="P43:P48" si="2">P36-H36</f>
        <v>-5.2815876337295009E-2</v>
      </c>
      <c r="Q43" s="6">
        <f t="shared" ref="Q43:U48" si="3">Q36-I36</f>
        <v>1.5356639095513103E-2</v>
      </c>
      <c r="R43" s="6">
        <f t="shared" si="3"/>
        <v>3.0983220847400295E-2</v>
      </c>
      <c r="S43" s="6">
        <f t="shared" si="3"/>
        <v>2.7177082283856624E-2</v>
      </c>
      <c r="T43" s="6">
        <f t="shared" si="3"/>
        <v>-9.1342930540980749E-3</v>
      </c>
      <c r="U43" s="6">
        <f t="shared" si="3"/>
        <v>-5.7366859951060722E-3</v>
      </c>
    </row>
    <row r="44" spans="1:21">
      <c r="P44" s="6">
        <f t="shared" si="2"/>
        <v>1.5356639095512992E-2</v>
      </c>
      <c r="Q44" s="6">
        <f t="shared" si="3"/>
        <v>-3.2271315322810412E-2</v>
      </c>
      <c r="R44" s="6">
        <f t="shared" si="3"/>
        <v>1.6550374327657935E-3</v>
      </c>
      <c r="S44" s="6">
        <f t="shared" si="3"/>
        <v>1.9795855480035762E-2</v>
      </c>
      <c r="T44" s="6">
        <f t="shared" si="3"/>
        <v>-2.5470926780351011E-3</v>
      </c>
      <c r="U44" s="6">
        <f t="shared" si="3"/>
        <v>-2.3174302453710105E-3</v>
      </c>
    </row>
    <row r="45" spans="1:21">
      <c r="P45" s="6">
        <f t="shared" si="2"/>
        <v>3.0983220847400295E-2</v>
      </c>
      <c r="Q45" s="6">
        <f t="shared" si="3"/>
        <v>1.6550374327657935E-3</v>
      </c>
      <c r="R45" s="6">
        <f t="shared" si="3"/>
        <v>-3.7718145664706937E-2</v>
      </c>
      <c r="S45" s="6">
        <f t="shared" si="3"/>
        <v>-5.0528154274846471E-3</v>
      </c>
      <c r="T45" s="6">
        <f t="shared" si="3"/>
        <v>7.9553695351171627E-3</v>
      </c>
      <c r="U45" s="6">
        <f t="shared" si="3"/>
        <v>-9.4559017009659962E-4</v>
      </c>
    </row>
    <row r="46" spans="1:21">
      <c r="P46" s="6">
        <f t="shared" si="2"/>
        <v>2.7177082283856624E-2</v>
      </c>
      <c r="Q46" s="6">
        <f t="shared" si="3"/>
        <v>1.9795855480035762E-2</v>
      </c>
      <c r="R46" s="6">
        <f t="shared" si="3"/>
        <v>-5.0528154274847026E-3</v>
      </c>
      <c r="S46" s="7">
        <f t="shared" si="3"/>
        <v>-7.1553384385448615E-2</v>
      </c>
      <c r="T46" s="6">
        <f t="shared" si="3"/>
        <v>9.7321086700131731E-3</v>
      </c>
      <c r="U46" s="6">
        <f t="shared" si="3"/>
        <v>1.4406027187231829E-2</v>
      </c>
    </row>
    <row r="47" spans="1:21">
      <c r="P47" s="6">
        <f t="shared" si="2"/>
        <v>-9.1342930540981859E-3</v>
      </c>
      <c r="Q47" s="6">
        <f t="shared" si="3"/>
        <v>-2.5470926780351566E-3</v>
      </c>
      <c r="R47" s="6">
        <f t="shared" si="3"/>
        <v>7.9553695351171627E-3</v>
      </c>
      <c r="S47" s="6">
        <f t="shared" si="3"/>
        <v>9.7321086700131731E-3</v>
      </c>
      <c r="T47" s="6">
        <f t="shared" si="3"/>
        <v>-1.7085088496118506E-2</v>
      </c>
      <c r="U47" s="6">
        <f t="shared" si="3"/>
        <v>1.2105883405761242E-2</v>
      </c>
    </row>
    <row r="48" spans="1:21">
      <c r="P48" s="6">
        <f t="shared" si="2"/>
        <v>-5.7366859951061278E-3</v>
      </c>
      <c r="Q48" s="6">
        <f t="shared" si="3"/>
        <v>-2.3174302453710105E-3</v>
      </c>
      <c r="R48" s="6">
        <f t="shared" si="3"/>
        <v>-9.4559017009659962E-4</v>
      </c>
      <c r="S48" s="6">
        <f t="shared" si="3"/>
        <v>1.4406027187231829E-2</v>
      </c>
      <c r="T48" s="6">
        <f t="shared" si="3"/>
        <v>1.2105883405761297E-2</v>
      </c>
      <c r="U48" s="6">
        <f t="shared" si="3"/>
        <v>-1.6180122267504149E-2</v>
      </c>
    </row>
    <row r="49" spans="8:21">
      <c r="P49" s="5"/>
      <c r="Q49" s="5"/>
      <c r="R49" s="5"/>
      <c r="S49" s="5"/>
      <c r="T49" s="5"/>
      <c r="U49" s="5"/>
    </row>
    <row r="50" spans="8:21">
      <c r="H50" s="4"/>
      <c r="I50" s="4"/>
      <c r="J50" s="4"/>
      <c r="K50" s="4"/>
      <c r="L50" s="4"/>
      <c r="M50" s="4"/>
      <c r="P50" s="6">
        <f t="shared" ref="P50:P55" si="4">P43/H36</f>
        <v>-8.2405152448045124E-2</v>
      </c>
      <c r="Q50" s="6">
        <f t="shared" ref="Q50:U55" si="5">Q43/I36</f>
        <v>2.9990132985906838E-2</v>
      </c>
      <c r="R50" s="6">
        <f t="shared" si="5"/>
        <v>6.5437790382347677E-2</v>
      </c>
      <c r="S50" s="6">
        <f t="shared" si="5"/>
        <v>6.6492006080571195E-2</v>
      </c>
      <c r="T50" s="6">
        <f t="shared" si="5"/>
        <v>-2.9143621617273217E-2</v>
      </c>
      <c r="U50" s="6">
        <f t="shared" si="5"/>
        <v>-1.8627447015580577E-2</v>
      </c>
    </row>
    <row r="51" spans="8:21">
      <c r="H51" s="4"/>
      <c r="I51" s="4"/>
      <c r="J51" s="4"/>
      <c r="K51" s="4"/>
      <c r="L51" s="4"/>
      <c r="M51" s="4"/>
      <c r="P51" s="6">
        <f t="shared" si="4"/>
        <v>2.9990132985906613E-2</v>
      </c>
      <c r="Q51" s="6">
        <f t="shared" si="5"/>
        <v>-6.3767549467260307E-2</v>
      </c>
      <c r="R51" s="6">
        <f t="shared" si="5"/>
        <v>3.6587618959373997E-3</v>
      </c>
      <c r="S51" s="6">
        <f t="shared" si="5"/>
        <v>5.2757193767875819E-2</v>
      </c>
      <c r="T51" s="6">
        <f t="shared" si="5"/>
        <v>-8.8767803259291768E-3</v>
      </c>
      <c r="U51" s="6">
        <f t="shared" si="5"/>
        <v>-8.1196013894889087E-3</v>
      </c>
    </row>
    <row r="52" spans="8:21">
      <c r="H52" s="4"/>
      <c r="I52" s="4"/>
      <c r="J52" s="4"/>
      <c r="K52" s="4"/>
      <c r="L52" s="4"/>
      <c r="M52" s="4"/>
      <c r="P52" s="6">
        <f t="shared" si="4"/>
        <v>6.5437790382347677E-2</v>
      </c>
      <c r="Q52" s="6">
        <f t="shared" si="5"/>
        <v>3.6587618959373997E-3</v>
      </c>
      <c r="R52" s="6">
        <f t="shared" si="5"/>
        <v>-7.9648815796375769E-2</v>
      </c>
      <c r="S52" s="6">
        <f t="shared" si="5"/>
        <v>-1.3058310143337939E-2</v>
      </c>
      <c r="T52" s="6">
        <f t="shared" si="5"/>
        <v>2.8883044274338469E-2</v>
      </c>
      <c r="U52" s="6">
        <f t="shared" si="5"/>
        <v>-3.3338349986083583E-3</v>
      </c>
    </row>
    <row r="53" spans="8:21">
      <c r="H53" s="4"/>
      <c r="I53" s="4"/>
      <c r="J53" s="4"/>
      <c r="K53" s="4"/>
      <c r="L53" s="4"/>
      <c r="M53" s="4"/>
      <c r="P53" s="6">
        <f t="shared" si="4"/>
        <v>6.6492006080571195E-2</v>
      </c>
      <c r="Q53" s="6">
        <f t="shared" si="5"/>
        <v>5.2757193767875819E-2</v>
      </c>
      <c r="R53" s="6">
        <f t="shared" si="5"/>
        <v>-1.3058310143338079E-2</v>
      </c>
      <c r="S53" s="7">
        <f t="shared" si="5"/>
        <v>-0.17241291089431476</v>
      </c>
      <c r="T53" s="6">
        <f t="shared" si="5"/>
        <v>3.566528292154076E-2</v>
      </c>
      <c r="U53" s="6">
        <f t="shared" si="5"/>
        <v>5.3477167106451236E-2</v>
      </c>
    </row>
    <row r="54" spans="8:21">
      <c r="H54" s="4"/>
      <c r="I54" s="4"/>
      <c r="J54" s="4"/>
      <c r="K54" s="4"/>
      <c r="L54" s="4"/>
      <c r="M54" s="4"/>
      <c r="P54" s="6">
        <f t="shared" si="4"/>
        <v>-2.914362161727356E-2</v>
      </c>
      <c r="Q54" s="6">
        <f t="shared" si="5"/>
        <v>-8.8767803259293693E-3</v>
      </c>
      <c r="R54" s="6">
        <f t="shared" si="5"/>
        <v>2.8883044274338469E-2</v>
      </c>
      <c r="S54" s="6">
        <f t="shared" si="5"/>
        <v>3.566528292154076E-2</v>
      </c>
      <c r="T54" s="6">
        <f t="shared" si="5"/>
        <v>-5.1090410447163177E-2</v>
      </c>
      <c r="U54" s="6">
        <f t="shared" si="5"/>
        <v>3.8832106787048161E-2</v>
      </c>
    </row>
    <row r="55" spans="8:21">
      <c r="H55" s="4"/>
      <c r="I55" s="4"/>
      <c r="J55" s="4"/>
      <c r="K55" s="4"/>
      <c r="L55" s="4"/>
      <c r="M55" s="4"/>
      <c r="P55" s="6">
        <f t="shared" si="4"/>
        <v>-1.8627447015580754E-2</v>
      </c>
      <c r="Q55" s="6">
        <f t="shared" si="5"/>
        <v>-8.1196013894889087E-3</v>
      </c>
      <c r="R55" s="6">
        <f t="shared" si="5"/>
        <v>-3.3338349986083583E-3</v>
      </c>
      <c r="S55" s="6">
        <f t="shared" si="5"/>
        <v>5.3477167106451236E-2</v>
      </c>
      <c r="T55" s="6">
        <f t="shared" si="5"/>
        <v>3.8832106787048341E-2</v>
      </c>
      <c r="U55" s="6">
        <f t="shared" si="5"/>
        <v>-4.6637365894121804E-2</v>
      </c>
    </row>
  </sheetData>
  <phoneticPr fontId="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9"/>
  <sheetViews>
    <sheetView zoomScale="75" workbookViewId="0">
      <selection activeCell="W35" sqref="W35"/>
    </sheetView>
  </sheetViews>
  <sheetFormatPr baseColWidth="10" defaultColWidth="8.83203125" defaultRowHeight="13"/>
  <cols>
    <col min="9" max="9" width="12.5" bestFit="1" customWidth="1"/>
  </cols>
  <sheetData>
    <row r="1" spans="1:13">
      <c r="A1" t="s">
        <v>0</v>
      </c>
      <c r="H1" s="2" t="s">
        <v>9</v>
      </c>
    </row>
    <row r="2" spans="1:13">
      <c r="A2">
        <v>0.6409292959028795</v>
      </c>
      <c r="B2">
        <v>0.5120563854361565</v>
      </c>
      <c r="C2">
        <v>0.47347596345120851</v>
      </c>
      <c r="D2">
        <v>0.40872706188056646</v>
      </c>
      <c r="E2">
        <v>0.31342340269351576</v>
      </c>
      <c r="F2">
        <v>0.30796952423527119</v>
      </c>
      <c r="H2">
        <f t="array" ref="H2:M7">MMULT(MMULT(Vec,Lambda),VecTrans)</f>
        <v>0.64092929590287906</v>
      </c>
      <c r="I2">
        <v>0.51205638543615639</v>
      </c>
      <c r="J2">
        <v>0.47347596345120829</v>
      </c>
      <c r="K2">
        <v>0.40872706188056634</v>
      </c>
      <c r="L2">
        <v>0.31342340269351565</v>
      </c>
      <c r="M2">
        <v>0.30796952423527107</v>
      </c>
    </row>
    <row r="3" spans="1:13">
      <c r="A3">
        <v>0.51205638543615661</v>
      </c>
      <c r="B3">
        <v>0.50607739504525306</v>
      </c>
      <c r="C3">
        <v>0.45234904042362167</v>
      </c>
      <c r="D3">
        <v>0.37522570982707537</v>
      </c>
      <c r="E3">
        <v>0.28693879813551476</v>
      </c>
      <c r="F3">
        <v>0.2854118243256375</v>
      </c>
      <c r="H3">
        <v>0.51205638543615639</v>
      </c>
      <c r="I3">
        <v>0.50607739504525306</v>
      </c>
      <c r="J3">
        <v>0.45234904042362162</v>
      </c>
      <c r="K3">
        <v>0.37522570982707532</v>
      </c>
      <c r="L3">
        <v>0.28693879813551471</v>
      </c>
      <c r="M3">
        <v>0.2854118243256375</v>
      </c>
    </row>
    <row r="4" spans="1:13">
      <c r="A4">
        <v>0.47347596345120851</v>
      </c>
      <c r="B4">
        <v>0.45234904042362167</v>
      </c>
      <c r="C4">
        <v>0.47355563654749544</v>
      </c>
      <c r="D4">
        <v>0.38694251951600966</v>
      </c>
      <c r="E4">
        <v>0.27543390023416675</v>
      </c>
      <c r="F4">
        <v>0.28363436417558668</v>
      </c>
      <c r="H4">
        <v>0.47347596345120829</v>
      </c>
      <c r="I4">
        <v>0.45234904042362167</v>
      </c>
      <c r="J4">
        <v>0.47355563654749527</v>
      </c>
      <c r="K4">
        <v>0.38694251951600972</v>
      </c>
      <c r="L4">
        <v>0.2754339002341667</v>
      </c>
      <c r="M4">
        <v>0.28363436417558663</v>
      </c>
    </row>
    <row r="5" spans="1:13">
      <c r="A5">
        <v>0.40872706188056646</v>
      </c>
      <c r="B5">
        <v>0.37522570982707537</v>
      </c>
      <c r="C5">
        <v>0.38694251951600972</v>
      </c>
      <c r="D5">
        <v>0.41501175297312409</v>
      </c>
      <c r="E5">
        <v>0.27287344646676759</v>
      </c>
      <c r="F5">
        <v>0.26938650580639961</v>
      </c>
      <c r="H5">
        <v>0.40872706188056634</v>
      </c>
      <c r="I5">
        <v>0.37522570982707537</v>
      </c>
      <c r="J5">
        <v>0.38694251951600978</v>
      </c>
      <c r="K5">
        <v>0.41501175297312454</v>
      </c>
      <c r="L5">
        <v>0.27287344646676759</v>
      </c>
      <c r="M5">
        <v>0.26938650580639967</v>
      </c>
    </row>
    <row r="6" spans="1:13">
      <c r="A6">
        <v>0.31342340269351587</v>
      </c>
      <c r="B6">
        <v>0.28693879813551482</v>
      </c>
      <c r="C6">
        <v>0.27543390023416675</v>
      </c>
      <c r="D6">
        <v>0.27287344646676759</v>
      </c>
      <c r="E6">
        <v>0.33440891052906319</v>
      </c>
      <c r="F6">
        <v>0.31174933340982081</v>
      </c>
      <c r="H6">
        <v>0.31342340269351565</v>
      </c>
      <c r="I6">
        <v>0.28693879813551471</v>
      </c>
      <c r="J6">
        <v>0.2754339002341667</v>
      </c>
      <c r="K6">
        <v>0.27287344646676759</v>
      </c>
      <c r="L6">
        <v>0.33440891052906335</v>
      </c>
      <c r="M6">
        <v>0.31174933340982092</v>
      </c>
    </row>
    <row r="7" spans="1:13">
      <c r="A7">
        <v>0.30796952423527124</v>
      </c>
      <c r="B7">
        <v>0.2854118243256375</v>
      </c>
      <c r="C7">
        <v>0.28363436417558668</v>
      </c>
      <c r="D7">
        <v>0.26938650580639961</v>
      </c>
      <c r="E7">
        <v>0.31174933340982075</v>
      </c>
      <c r="F7">
        <v>0.34693473692825988</v>
      </c>
      <c r="H7">
        <v>0.30796952423527113</v>
      </c>
      <c r="I7">
        <v>0.2854118243256375</v>
      </c>
      <c r="J7">
        <v>0.28363436417558668</v>
      </c>
      <c r="K7">
        <v>0.26938650580639967</v>
      </c>
      <c r="L7">
        <v>0.31174933340982097</v>
      </c>
      <c r="M7">
        <v>0.34693473692825999</v>
      </c>
    </row>
    <row r="9" spans="1:13">
      <c r="A9" t="s">
        <v>7</v>
      </c>
      <c r="H9" t="s">
        <v>10</v>
      </c>
    </row>
    <row r="10" spans="1:13">
      <c r="A10">
        <f t="array" ref="A10:F15">eigenvalue(M)</f>
        <v>2.2427291703272023</v>
      </c>
      <c r="B10">
        <v>0</v>
      </c>
      <c r="C10">
        <v>0</v>
      </c>
      <c r="D10">
        <v>0</v>
      </c>
      <c r="E10">
        <v>0</v>
      </c>
      <c r="F10">
        <v>0</v>
      </c>
      <c r="H10">
        <f t="shared" ref="H10:M15" si="0">H2-A2</f>
        <v>0</v>
      </c>
      <c r="I10">
        <f t="shared" si="0"/>
        <v>0</v>
      </c>
      <c r="J10">
        <f t="shared" si="0"/>
        <v>0</v>
      </c>
      <c r="K10">
        <f t="shared" si="0"/>
        <v>0</v>
      </c>
      <c r="L10">
        <f t="shared" si="0"/>
        <v>0</v>
      </c>
      <c r="M10">
        <f t="shared" si="0"/>
        <v>0</v>
      </c>
    </row>
    <row r="11" spans="1:13">
      <c r="A11">
        <v>0</v>
      </c>
      <c r="B11">
        <v>0.24656462513945718</v>
      </c>
      <c r="C11">
        <v>0</v>
      </c>
      <c r="D11">
        <v>0</v>
      </c>
      <c r="E11">
        <v>0</v>
      </c>
      <c r="F11"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0</v>
      </c>
      <c r="L11">
        <f t="shared" si="0"/>
        <v>0</v>
      </c>
      <c r="M11">
        <f t="shared" si="0"/>
        <v>0</v>
      </c>
    </row>
    <row r="12" spans="1:13">
      <c r="A12">
        <v>0</v>
      </c>
      <c r="B12">
        <v>0</v>
      </c>
      <c r="C12">
        <v>0.10439882964558671</v>
      </c>
      <c r="D12">
        <v>0</v>
      </c>
      <c r="E12">
        <v>0</v>
      </c>
      <c r="F12"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0</v>
      </c>
      <c r="M12">
        <f t="shared" si="0"/>
        <v>0</v>
      </c>
    </row>
    <row r="13" spans="1:13">
      <c r="A13">
        <v>0</v>
      </c>
      <c r="B13">
        <v>0</v>
      </c>
      <c r="C13">
        <v>0</v>
      </c>
      <c r="D13">
        <v>3.3719386939550233E-2</v>
      </c>
      <c r="E13">
        <v>0</v>
      </c>
      <c r="F13"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4.4408920985006262E-16</v>
      </c>
      <c r="L13">
        <f t="shared" si="0"/>
        <v>0</v>
      </c>
      <c r="M13">
        <f t="shared" si="0"/>
        <v>0</v>
      </c>
    </row>
    <row r="14" spans="1:13">
      <c r="A14">
        <v>0</v>
      </c>
      <c r="B14">
        <v>0</v>
      </c>
      <c r="C14">
        <v>0</v>
      </c>
      <c r="D14">
        <v>0</v>
      </c>
      <c r="E14">
        <v>2.3814023070735553E-2</v>
      </c>
      <c r="F14"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L14">
        <f t="shared" si="0"/>
        <v>0</v>
      </c>
      <c r="M14">
        <f t="shared" si="0"/>
        <v>0</v>
      </c>
    </row>
    <row r="15" spans="1:13">
      <c r="A15">
        <v>0</v>
      </c>
      <c r="B15">
        <v>0</v>
      </c>
      <c r="C15">
        <v>0</v>
      </c>
      <c r="D15">
        <v>0</v>
      </c>
      <c r="E15">
        <v>0</v>
      </c>
      <c r="F15">
        <v>6.5691692803543394E-2</v>
      </c>
      <c r="H15">
        <f t="shared" si="0"/>
        <v>0</v>
      </c>
      <c r="I15">
        <f t="shared" si="0"/>
        <v>0</v>
      </c>
      <c r="J15">
        <f t="shared" si="0"/>
        <v>0</v>
      </c>
      <c r="K15">
        <f t="shared" si="0"/>
        <v>0</v>
      </c>
      <c r="L15">
        <f t="shared" si="0"/>
        <v>0</v>
      </c>
      <c r="M15">
        <f t="shared" si="0"/>
        <v>0</v>
      </c>
    </row>
    <row r="17" spans="1:13">
      <c r="A17" t="s">
        <v>8</v>
      </c>
      <c r="H17" t="s">
        <v>11</v>
      </c>
    </row>
    <row r="18" spans="1:13">
      <c r="A18">
        <f t="array" ref="A18:F23">eigenvector(M)</f>
        <v>0.49736772857668471</v>
      </c>
      <c r="B18">
        <v>-0.36759851313179537</v>
      </c>
      <c r="C18">
        <v>0.59138418565734563</v>
      </c>
      <c r="D18">
        <v>0.19449082535646531</v>
      </c>
      <c r="E18">
        <v>-4.2392533714408896E-2</v>
      </c>
      <c r="F18">
        <v>-0.47763753266006298</v>
      </c>
      <c r="H18">
        <f t="array" ref="H18:M23">MMULT(A2:F7,A18:F23)</f>
        <v>1.1154611132583134</v>
      </c>
      <c r="I18">
        <v>-9.0636789592162842E-2</v>
      </c>
      <c r="J18">
        <v>6.1739816853535072E-2</v>
      </c>
      <c r="K18">
        <v>6.5581113963871507E-3</v>
      </c>
      <c r="L18">
        <v>-1.0095367759018481E-3</v>
      </c>
      <c r="M18">
        <v>-3.1376818066947219E-2</v>
      </c>
    </row>
    <row r="19" spans="1:13">
      <c r="A19">
        <v>0.45060834236300884</v>
      </c>
      <c r="B19">
        <v>-0.27336291276233582</v>
      </c>
      <c r="C19">
        <v>8.2381811604129843E-2</v>
      </c>
      <c r="D19">
        <v>-0.55070392299268944</v>
      </c>
      <c r="E19">
        <v>0.37021062907850699</v>
      </c>
      <c r="F19">
        <v>0.52450677417315772</v>
      </c>
      <c r="H19">
        <v>1.0105924738103067</v>
      </c>
      <c r="I19">
        <v>-6.7401624112275349E-2</v>
      </c>
      <c r="J19">
        <v>8.6005647155543152E-3</v>
      </c>
      <c r="K19">
        <v>-1.8569398668518783E-2</v>
      </c>
      <c r="L19">
        <v>8.8162044619071178E-3</v>
      </c>
      <c r="M19">
        <v>3.4455737882360657E-2</v>
      </c>
    </row>
    <row r="20" spans="1:13">
      <c r="A20">
        <v>0.43551844395596423</v>
      </c>
      <c r="B20">
        <v>-0.20582396039229631</v>
      </c>
      <c r="C20">
        <v>-0.34618629700658704</v>
      </c>
      <c r="D20">
        <v>0.48128475690174799</v>
      </c>
      <c r="E20">
        <v>-0.48777846111041584</v>
      </c>
      <c r="F20">
        <v>0.42255459495578901</v>
      </c>
      <c r="H20">
        <v>0.97674991847555392</v>
      </c>
      <c r="I20">
        <v>-5.0748907638844987E-2</v>
      </c>
      <c r="J20">
        <v>-3.6141444246827095E-2</v>
      </c>
      <c r="K20">
        <v>1.6228626946077379E-2</v>
      </c>
      <c r="L20">
        <v>-1.1615967526291349E-2</v>
      </c>
      <c r="M20">
        <v>2.7758326644561428E-2</v>
      </c>
    </row>
    <row r="21" spans="1:13">
      <c r="A21">
        <v>0.39132871789923418</v>
      </c>
      <c r="B21">
        <v>6.7070364474633862E-3</v>
      </c>
      <c r="C21">
        <v>-0.69486561327293217</v>
      </c>
      <c r="D21">
        <v>-0.15527037532404159</v>
      </c>
      <c r="E21">
        <v>0.21821215867745888</v>
      </c>
      <c r="F21">
        <v>-0.54060447098809938</v>
      </c>
      <c r="H21">
        <v>0.87764433081935711</v>
      </c>
      <c r="I21">
        <v>1.6537179274654645E-3</v>
      </c>
      <c r="J21">
        <v>-7.2543156786656848E-2</v>
      </c>
      <c r="K21">
        <v>-5.235621865800566E-3</v>
      </c>
      <c r="L21">
        <v>5.1965093810600604E-3</v>
      </c>
      <c r="M21">
        <v>-3.5513222836372267E-2</v>
      </c>
    </row>
    <row r="22" spans="1:13">
      <c r="A22">
        <v>0.32088928454096827</v>
      </c>
      <c r="B22">
        <v>0.59192524952267578</v>
      </c>
      <c r="C22">
        <v>0.15536707576877856</v>
      </c>
      <c r="D22">
        <v>-0.44585737188240271</v>
      </c>
      <c r="E22">
        <v>-0.56575692675378275</v>
      </c>
      <c r="F22">
        <v>-6.0381632800011603E-2</v>
      </c>
      <c r="H22">
        <v>0.71966775888545542</v>
      </c>
      <c r="I22">
        <v>0.14594782725913807</v>
      </c>
      <c r="J22">
        <v>1.6220140875717638E-2</v>
      </c>
      <c r="K22">
        <v>-1.5034037242353721E-2</v>
      </c>
      <c r="L22">
        <v>-1.3472948506143001E-2</v>
      </c>
      <c r="M22">
        <v>-3.9665716728747094E-3</v>
      </c>
    </row>
    <row r="23" spans="1:13">
      <c r="A23">
        <v>0.32216928927449529</v>
      </c>
      <c r="B23">
        <v>0.63036502364695468</v>
      </c>
      <c r="C23">
        <v>0.12905766576990835</v>
      </c>
      <c r="D23">
        <v>0.45206836353752566</v>
      </c>
      <c r="E23">
        <v>0.50549153278246073</v>
      </c>
      <c r="F23">
        <v>0.14934359675160666</v>
      </c>
      <c r="H23">
        <v>0.7225384628394933</v>
      </c>
      <c r="I23">
        <v>0.1554257157565363</v>
      </c>
      <c r="J23">
        <v>1.3473469263169682E-2</v>
      </c>
      <c r="K23">
        <v>1.5243468073251082E-2</v>
      </c>
      <c r="L23">
        <v>1.2037787023743002E-2</v>
      </c>
      <c r="M23">
        <v>9.81063367998284E-3</v>
      </c>
    </row>
    <row r="25" spans="1:13">
      <c r="A25" s="2" t="s">
        <v>13</v>
      </c>
      <c r="H25" t="s">
        <v>12</v>
      </c>
    </row>
    <row r="26" spans="1:13">
      <c r="A26">
        <f t="array" ref="A26:F31">TRANSPOSE(Vec)</f>
        <v>0.49736772857668471</v>
      </c>
      <c r="B26">
        <v>0.45060834236300884</v>
      </c>
      <c r="C26">
        <v>0.43551844395596423</v>
      </c>
      <c r="D26">
        <v>0.39132871789923418</v>
      </c>
      <c r="E26">
        <v>0.32088928454096827</v>
      </c>
      <c r="F26">
        <v>0.32216928927449529</v>
      </c>
      <c r="H26">
        <f t="shared" ref="H26:H31" si="1">A18*$A$10</f>
        <v>1.1154611132583132</v>
      </c>
      <c r="I26">
        <f t="shared" ref="I26:I31" si="2">B18*$B$11</f>
        <v>-9.0636789592162953E-2</v>
      </c>
      <c r="J26">
        <f t="shared" ref="J26:J31" si="3">C18*$C$12</f>
        <v>6.1739816853535245E-2</v>
      </c>
      <c r="K26">
        <f t="shared" ref="K26:K31" si="4">D18*$D$13</f>
        <v>6.558111396387142E-3</v>
      </c>
      <c r="L26">
        <f t="shared" ref="L26:L31" si="5">E18*$E$14</f>
        <v>-1.0095367759018683E-3</v>
      </c>
      <c r="M26">
        <f t="shared" ref="M26:M31" si="6">F18*$F$15</f>
        <v>-3.1376818066947282E-2</v>
      </c>
    </row>
    <row r="27" spans="1:13">
      <c r="A27">
        <v>-0.36759851313179537</v>
      </c>
      <c r="B27">
        <v>-0.27336291276233582</v>
      </c>
      <c r="C27">
        <v>-0.20582396039229631</v>
      </c>
      <c r="D27">
        <v>6.7070364474633862E-3</v>
      </c>
      <c r="E27">
        <v>0.59192524952267578</v>
      </c>
      <c r="F27">
        <v>0.63036502364695468</v>
      </c>
      <c r="H27">
        <f t="shared" si="1"/>
        <v>1.0105924738103067</v>
      </c>
      <c r="I27">
        <f t="shared" si="2"/>
        <v>-6.740162411227546E-2</v>
      </c>
      <c r="J27">
        <f t="shared" si="3"/>
        <v>8.600564715554369E-3</v>
      </c>
      <c r="K27">
        <f t="shared" si="4"/>
        <v>-1.8569398668518769E-2</v>
      </c>
      <c r="L27">
        <f t="shared" si="5"/>
        <v>8.8162044619070883E-3</v>
      </c>
      <c r="M27">
        <f t="shared" si="6"/>
        <v>3.4455737882360588E-2</v>
      </c>
    </row>
    <row r="28" spans="1:13">
      <c r="A28">
        <v>0.59138418565734563</v>
      </c>
      <c r="B28">
        <v>8.2381811604129843E-2</v>
      </c>
      <c r="C28">
        <v>-0.34618629700658704</v>
      </c>
      <c r="D28">
        <v>-0.69486561327293217</v>
      </c>
      <c r="E28">
        <v>0.15536707576877856</v>
      </c>
      <c r="F28">
        <v>0.12905766576990835</v>
      </c>
      <c r="H28">
        <f t="shared" si="1"/>
        <v>0.97674991847555381</v>
      </c>
      <c r="I28">
        <f t="shared" si="2"/>
        <v>-5.0748907638845021E-2</v>
      </c>
      <c r="J28">
        <f t="shared" si="3"/>
        <v>-3.6141444246827165E-2</v>
      </c>
      <c r="K28">
        <f t="shared" si="4"/>
        <v>1.622862694607741E-2</v>
      </c>
      <c r="L28">
        <f t="shared" si="5"/>
        <v>-1.1615967526291328E-2</v>
      </c>
      <c r="M28">
        <f t="shared" si="6"/>
        <v>2.7758326644561397E-2</v>
      </c>
    </row>
    <row r="29" spans="1:13">
      <c r="A29">
        <v>0.19449082535646531</v>
      </c>
      <c r="B29">
        <v>-0.55070392299268944</v>
      </c>
      <c r="C29">
        <v>0.48128475690174799</v>
      </c>
      <c r="D29">
        <v>-0.15527037532404159</v>
      </c>
      <c r="E29">
        <v>-0.44585737188240271</v>
      </c>
      <c r="F29">
        <v>0.45206836353752566</v>
      </c>
      <c r="H29">
        <f t="shared" si="1"/>
        <v>0.87764433081935733</v>
      </c>
      <c r="I29">
        <f t="shared" si="2"/>
        <v>1.6537179274654864E-3</v>
      </c>
      <c r="J29">
        <f t="shared" si="3"/>
        <v>-7.2543156786656973E-2</v>
      </c>
      <c r="K29">
        <f t="shared" si="4"/>
        <v>-5.2356218658005504E-3</v>
      </c>
      <c r="L29">
        <f t="shared" si="5"/>
        <v>5.1965093810600127E-3</v>
      </c>
      <c r="M29">
        <f t="shared" si="6"/>
        <v>-3.5513222836372309E-2</v>
      </c>
    </row>
    <row r="30" spans="1:13">
      <c r="A30">
        <v>-4.2392533714408896E-2</v>
      </c>
      <c r="B30">
        <v>0.37021062907850699</v>
      </c>
      <c r="C30">
        <v>-0.48777846111041584</v>
      </c>
      <c r="D30">
        <v>0.21821215867745888</v>
      </c>
      <c r="E30">
        <v>-0.56575692675378275</v>
      </c>
      <c r="F30">
        <v>0.50549153278246073</v>
      </c>
      <c r="H30">
        <f t="shared" si="1"/>
        <v>0.71966775888545531</v>
      </c>
      <c r="I30">
        <f t="shared" si="2"/>
        <v>0.14594782725913821</v>
      </c>
      <c r="J30">
        <f t="shared" si="3"/>
        <v>1.6220140875717676E-2</v>
      </c>
      <c r="K30">
        <f t="shared" si="4"/>
        <v>-1.5034037242353681E-2</v>
      </c>
      <c r="L30">
        <f t="shared" si="5"/>
        <v>-1.3472948506143027E-2</v>
      </c>
      <c r="M30">
        <f t="shared" si="6"/>
        <v>-3.9665716728747224E-3</v>
      </c>
    </row>
    <row r="31" spans="1:13">
      <c r="A31">
        <v>-0.47763753266006298</v>
      </c>
      <c r="B31">
        <v>0.52450677417315772</v>
      </c>
      <c r="C31">
        <v>0.42255459495578901</v>
      </c>
      <c r="D31">
        <v>-0.54060447098809938</v>
      </c>
      <c r="E31">
        <v>-6.0381632800011603E-2</v>
      </c>
      <c r="F31">
        <v>0.14934359675160666</v>
      </c>
      <c r="H31">
        <f t="shared" si="1"/>
        <v>0.7225384628394933</v>
      </c>
      <c r="I31">
        <f t="shared" si="2"/>
        <v>0.15542571575653644</v>
      </c>
      <c r="J31">
        <f t="shared" si="3"/>
        <v>1.3473469263169729E-2</v>
      </c>
      <c r="K31">
        <f t="shared" si="4"/>
        <v>1.5243468073251091E-2</v>
      </c>
      <c r="L31">
        <f t="shared" si="5"/>
        <v>1.2037787023742997E-2</v>
      </c>
      <c r="M31">
        <f t="shared" si="6"/>
        <v>9.8106336799828053E-3</v>
      </c>
    </row>
    <row r="33" spans="8:13">
      <c r="H33" t="s">
        <v>10</v>
      </c>
    </row>
    <row r="34" spans="8:13">
      <c r="H34">
        <f t="shared" ref="H34:M39" si="7">H18-H26</f>
        <v>0</v>
      </c>
      <c r="I34">
        <f t="shared" si="7"/>
        <v>1.1102230246251565E-16</v>
      </c>
      <c r="J34">
        <f t="shared" si="7"/>
        <v>-1.7347234759768071E-16</v>
      </c>
      <c r="K34">
        <f t="shared" si="7"/>
        <v>8.6736173798840355E-18</v>
      </c>
      <c r="L34">
        <f t="shared" si="7"/>
        <v>2.0166160408230382E-17</v>
      </c>
      <c r="M34">
        <f t="shared" si="7"/>
        <v>6.2450045135165055E-17</v>
      </c>
    </row>
    <row r="35" spans="8:13">
      <c r="H35">
        <f t="shared" si="7"/>
        <v>0</v>
      </c>
      <c r="I35">
        <f t="shared" si="7"/>
        <v>1.1102230246251565E-16</v>
      </c>
      <c r="J35">
        <f t="shared" si="7"/>
        <v>-5.377642775528102E-17</v>
      </c>
      <c r="K35">
        <f t="shared" si="7"/>
        <v>0</v>
      </c>
      <c r="L35">
        <f t="shared" si="7"/>
        <v>2.9490299091605721E-17</v>
      </c>
      <c r="M35">
        <f t="shared" si="7"/>
        <v>6.9388939039072284E-17</v>
      </c>
    </row>
    <row r="36" spans="8:13">
      <c r="H36">
        <f t="shared" si="7"/>
        <v>0</v>
      </c>
      <c r="I36">
        <f t="shared" si="7"/>
        <v>0</v>
      </c>
      <c r="J36">
        <f t="shared" si="7"/>
        <v>6.9388939039072284E-17</v>
      </c>
      <c r="K36">
        <f t="shared" si="7"/>
        <v>-3.1225022567582528E-17</v>
      </c>
      <c r="L36">
        <f t="shared" si="7"/>
        <v>-2.0816681711721685E-17</v>
      </c>
      <c r="M36">
        <f t="shared" si="7"/>
        <v>3.1225022567582528E-17</v>
      </c>
    </row>
    <row r="37" spans="8:13">
      <c r="H37">
        <f t="shared" si="7"/>
        <v>0</v>
      </c>
      <c r="I37">
        <f t="shared" si="7"/>
        <v>-2.190088388420719E-17</v>
      </c>
      <c r="J37">
        <f t="shared" si="7"/>
        <v>1.2490009027033011E-16</v>
      </c>
      <c r="K37">
        <f t="shared" si="7"/>
        <v>-1.5612511283791264E-17</v>
      </c>
      <c r="L37">
        <f t="shared" si="7"/>
        <v>4.7704895589362195E-17</v>
      </c>
      <c r="M37">
        <f t="shared" si="7"/>
        <v>0</v>
      </c>
    </row>
    <row r="38" spans="8:13">
      <c r="H38">
        <f t="shared" si="7"/>
        <v>0</v>
      </c>
      <c r="I38">
        <f t="shared" si="7"/>
        <v>0</v>
      </c>
      <c r="J38">
        <f t="shared" si="7"/>
        <v>-3.8163916471489756E-17</v>
      </c>
      <c r="K38">
        <f t="shared" si="7"/>
        <v>-3.9898639947466563E-17</v>
      </c>
      <c r="L38">
        <f t="shared" si="7"/>
        <v>2.6020852139652106E-17</v>
      </c>
      <c r="M38">
        <f t="shared" si="7"/>
        <v>1.3010426069826053E-17</v>
      </c>
    </row>
    <row r="39" spans="8:13">
      <c r="H39">
        <f t="shared" si="7"/>
        <v>0</v>
      </c>
      <c r="I39">
        <f t="shared" si="7"/>
        <v>0</v>
      </c>
      <c r="J39">
        <f t="shared" si="7"/>
        <v>-4.6837533851373792E-17</v>
      </c>
      <c r="K39">
        <f t="shared" si="7"/>
        <v>0</v>
      </c>
      <c r="L39">
        <f t="shared" si="7"/>
        <v>0</v>
      </c>
      <c r="M39">
        <f t="shared" si="7"/>
        <v>3.4694469519536142E-17</v>
      </c>
    </row>
  </sheetData>
  <phoneticPr fontId="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C10"/>
  <sheetViews>
    <sheetView tabSelected="1" workbookViewId="0"/>
  </sheetViews>
  <sheetFormatPr baseColWidth="10" defaultRowHeight="28"/>
  <cols>
    <col min="1" max="16384" width="10.83203125" style="19"/>
  </cols>
  <sheetData>
    <row r="2" spans="2:3">
      <c r="B2" s="19" t="s">
        <v>36</v>
      </c>
    </row>
    <row r="3" spans="2:3">
      <c r="B3" s="19" t="s">
        <v>37</v>
      </c>
    </row>
    <row r="5" spans="2:3">
      <c r="B5" s="19" t="s">
        <v>38</v>
      </c>
    </row>
    <row r="6" spans="2:3">
      <c r="C6" s="19">
        <v>193</v>
      </c>
    </row>
    <row r="7" spans="2:3">
      <c r="C7" s="19">
        <v>309</v>
      </c>
    </row>
    <row r="9" spans="2:3">
      <c r="B9" s="19" t="s">
        <v>39</v>
      </c>
    </row>
    <row r="10" spans="2:3">
      <c r="C10" s="20" t="s">
        <v>40</v>
      </c>
    </row>
  </sheetData>
  <hyperlinks>
    <hyperlink ref="C10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54"/>
  <sheetViews>
    <sheetView workbookViewId="0"/>
  </sheetViews>
  <sheetFormatPr baseColWidth="10" defaultColWidth="8.83203125" defaultRowHeight="13"/>
  <cols>
    <col min="1" max="1" width="16.33203125" style="5" customWidth="1"/>
    <col min="2" max="5" width="9.33203125" bestFit="1" customWidth="1"/>
    <col min="6" max="9" width="12.5" bestFit="1" customWidth="1"/>
    <col min="12" max="12" width="18.33203125" customWidth="1"/>
    <col min="18" max="18" width="20.5" bestFit="1" customWidth="1"/>
  </cols>
  <sheetData>
    <row r="1" spans="1:9">
      <c r="A1" s="11"/>
      <c r="B1" s="11" t="s">
        <v>14</v>
      </c>
      <c r="C1" s="11" t="s">
        <v>15</v>
      </c>
      <c r="D1" s="11" t="s">
        <v>16</v>
      </c>
      <c r="E1" s="11" t="s">
        <v>17</v>
      </c>
      <c r="F1" s="11" t="s">
        <v>18</v>
      </c>
      <c r="G1" s="11" t="s">
        <v>19</v>
      </c>
      <c r="H1" s="11" t="s">
        <v>20</v>
      </c>
      <c r="I1" s="12" t="s">
        <v>21</v>
      </c>
    </row>
    <row r="2" spans="1:9">
      <c r="A2" s="15" t="s">
        <v>14</v>
      </c>
      <c r="B2" s="17">
        <f>_xlfn.COVARIANCE.P('Daily swap data'!$K$4:$K$2782,'Daily swap data'!K$4:K$2782)</f>
        <v>22.151461100908421</v>
      </c>
      <c r="C2" s="17">
        <f>_xlfn.COVARIANCE.P('Daily swap data'!$K4:$K2782,'Daily swap data'!L4:L2782)</f>
        <v>26.801263162092742</v>
      </c>
      <c r="D2" s="17">
        <f>_xlfn.COVARIANCE.P('Daily swap data'!$K4:$K2782,'Daily swap data'!M4:M2782)</f>
        <v>27.029172554504207</v>
      </c>
      <c r="E2" s="17">
        <f>_xlfn.COVARIANCE.P('Daily swap data'!$K4:$K2782,'Daily swap data'!N4:N2782)</f>
        <v>26.476801348104942</v>
      </c>
      <c r="F2" s="17">
        <f>_xlfn.COVARIANCE.P('Daily swap data'!$K4:$K2782,'Daily swap data'!O4:O2782)</f>
        <v>25.906869894123179</v>
      </c>
      <c r="G2" s="17">
        <f>_xlfn.COVARIANCE.P('Daily swap data'!$K4:$K2782,'Daily swap data'!P4:P2782)</f>
        <v>23.685812254842507</v>
      </c>
      <c r="H2" s="17">
        <f>_xlfn.COVARIANCE.P('Daily swap data'!$K4:$K2782,'Daily swap data'!Q4:Q2782)</f>
        <v>21.083236078536316</v>
      </c>
      <c r="I2" s="17">
        <f>_xlfn.COVARIANCE.P('Daily swap data'!$K4:$K2782,'Daily swap data'!R4:R2782)</f>
        <v>15.208216768932559</v>
      </c>
    </row>
    <row r="3" spans="1:9">
      <c r="A3" s="15" t="s">
        <v>15</v>
      </c>
      <c r="B3" s="17">
        <f>_xlfn.COVARIANCE.P('Daily swap data'!$L$4:$L$2782,'Daily swap data'!K$4:K$2782)</f>
        <v>26.801263162092742</v>
      </c>
      <c r="C3" s="17">
        <f>_xlfn.COVARIANCE.P('Daily swap data'!$L$4:$L$2782,'Daily swap data'!L$4:L$2782)</f>
        <v>38.472652486306067</v>
      </c>
      <c r="D3" s="17">
        <f>_xlfn.COVARIANCE.P('Daily swap data'!$L$4:$L$2782,'Daily swap data'!M$4:M$2782)</f>
        <v>40.540441399738803</v>
      </c>
      <c r="E3" s="17">
        <f>_xlfn.COVARIANCE.P('Daily swap data'!$L$4:$L$2782,'Daily swap data'!N$4:N$2782)</f>
        <v>40.782979217104128</v>
      </c>
      <c r="F3" s="17">
        <f>_xlfn.COVARIANCE.P('Daily swap data'!$L$4:$L$2782,'Daily swap data'!O$4:O$2782)</f>
        <v>40.627247537531865</v>
      </c>
      <c r="G3" s="17">
        <f>_xlfn.COVARIANCE.P('Daily swap data'!$L$4:$L$2782,'Daily swap data'!P$4:P$2782)</f>
        <v>37.989530148296737</v>
      </c>
      <c r="H3" s="17">
        <f>_xlfn.COVARIANCE.P('Daily swap data'!$L$4:$L$2782,'Daily swap data'!Q$4:Q$2782)</f>
        <v>34.651833696951648</v>
      </c>
      <c r="I3" s="17">
        <f>_xlfn.COVARIANCE.P('Daily swap data'!$L$4:$L$2782,'Daily swap data'!R$4:R$2782)</f>
        <v>26.16262486823171</v>
      </c>
    </row>
    <row r="4" spans="1:9">
      <c r="A4" s="15" t="s">
        <v>16</v>
      </c>
      <c r="B4" s="17">
        <f>_xlfn.COVARIANCE.P('Daily swap data'!$M$4:$M$2782,'Daily swap data'!K$4:K$2782)</f>
        <v>27.029172554504207</v>
      </c>
      <c r="C4" s="17">
        <f>_xlfn.COVARIANCE.P('Daily swap data'!$M$4:$M$2782,'Daily swap data'!L$4:L$2782)</f>
        <v>40.540441399738803</v>
      </c>
      <c r="D4" s="17">
        <f>_xlfn.COVARIANCE.P('Daily swap data'!$M$4:$M$2782,'Daily swap data'!M$4:M$2782)</f>
        <v>44.879525552837144</v>
      </c>
      <c r="E4" s="17">
        <f>_xlfn.COVARIANCE.P('Daily swap data'!$M$4:$M$2782,'Daily swap data'!N$4:N$2782)</f>
        <v>45.809668229606203</v>
      </c>
      <c r="F4" s="17">
        <f>_xlfn.COVARIANCE.P('Daily swap data'!$M$4:$M$2782,'Daily swap data'!O$4:O$2782)</f>
        <v>46.186800427459318</v>
      </c>
      <c r="G4" s="17">
        <f>_xlfn.COVARIANCE.P('Daily swap data'!$M$4:$M$2782,'Daily swap data'!P$4:P$2782)</f>
        <v>43.885431669510908</v>
      </c>
      <c r="H4" s="17">
        <f>_xlfn.COVARIANCE.P('Daily swap data'!$M$4:$M$2782,'Daily swap data'!Q$4:Q$2782)</f>
        <v>40.612765043330448</v>
      </c>
      <c r="I4" s="17">
        <f>_xlfn.COVARIANCE.P('Daily swap data'!$M$4:$M$2782,'Daily swap data'!R$4:R$2782)</f>
        <v>31.449044334850257</v>
      </c>
    </row>
    <row r="5" spans="1:9">
      <c r="A5" s="15" t="s">
        <v>17</v>
      </c>
      <c r="B5" s="17">
        <f>_xlfn.COVARIANCE.P('Daily swap data'!$N$4:$N$2782,'Daily swap data'!K$4:K$2782)</f>
        <v>26.476801348104942</v>
      </c>
      <c r="C5" s="17">
        <f>_xlfn.COVARIANCE.P('Daily swap data'!$N$4:$N$2782,'Daily swap data'!L$4:L$2782)</f>
        <v>40.782979217104128</v>
      </c>
      <c r="D5" s="17">
        <f>_xlfn.COVARIANCE.P('Daily swap data'!$N$4:$N$2782,'Daily swap data'!M$4:M$2782)</f>
        <v>45.809668229606203</v>
      </c>
      <c r="E5" s="17">
        <f>_xlfn.COVARIANCE.P('Daily swap data'!$N$4:$N$2782,'Daily swap data'!N$4:N$2782)</f>
        <v>48.129050695203944</v>
      </c>
      <c r="F5" s="17">
        <f>_xlfn.COVARIANCE.P('Daily swap data'!$N$4:$N$2782,'Daily swap data'!O$4:O$2782)</f>
        <v>48.915195198243751</v>
      </c>
      <c r="G5" s="17">
        <f>_xlfn.COVARIANCE.P('Daily swap data'!$N$4:$N$2782,'Daily swap data'!P$4:P$2782)</f>
        <v>47.090762453869331</v>
      </c>
      <c r="H5" s="17">
        <f>_xlfn.COVARIANCE.P('Daily swap data'!$N$4:$N$2782,'Daily swap data'!Q$4:Q$2782)</f>
        <v>44.218749162387169</v>
      </c>
      <c r="I5" s="17">
        <f>_xlfn.COVARIANCE.P('Daily swap data'!$N$4:$N$2782,'Daily swap data'!R$4:R$2782)</f>
        <v>34.886273328688333</v>
      </c>
    </row>
    <row r="6" spans="1:9">
      <c r="A6" s="15" t="s">
        <v>18</v>
      </c>
      <c r="B6" s="17">
        <f>_xlfn.COVARIANCE.P('Daily swap data'!$O$4:$O$2782,'Daily swap data'!K$4:K$2782)</f>
        <v>25.906869894123179</v>
      </c>
      <c r="C6" s="17">
        <f>_xlfn.COVARIANCE.P('Daily swap data'!$O$4:$O$2782,'Daily swap data'!L$4:L$2782)</f>
        <v>40.627247537531865</v>
      </c>
      <c r="D6" s="17">
        <f>_xlfn.COVARIANCE.P('Daily swap data'!$O$4:$O$2782,'Daily swap data'!M$4:M$2782)</f>
        <v>46.186800427459318</v>
      </c>
      <c r="E6" s="17">
        <f>_xlfn.COVARIANCE.P('Daily swap data'!$O$4:$O$2782,'Daily swap data'!N$4:N$2782)</f>
        <v>48.915195198243751</v>
      </c>
      <c r="F6" s="17">
        <f>_xlfn.COVARIANCE.P('Daily swap data'!$O$4:$O$2782,'Daily swap data'!O$4:O$2782)</f>
        <v>51.375173462719182</v>
      </c>
      <c r="G6" s="17">
        <f>_xlfn.COVARIANCE.P('Daily swap data'!$O$4:$O$2782,'Daily swap data'!P$4:P$2782)</f>
        <v>49.477082073811836</v>
      </c>
      <c r="H6" s="17">
        <f>_xlfn.COVARIANCE.P('Daily swap data'!$O$4:$O$2782,'Daily swap data'!Q$4:Q$2782)</f>
        <v>46.667794533125708</v>
      </c>
      <c r="I6" s="17">
        <f>_xlfn.COVARIANCE.P('Daily swap data'!$O$4:$O$2782,'Daily swap data'!R$4:R$2782)</f>
        <v>37.288849530891461</v>
      </c>
    </row>
    <row r="7" spans="1:9">
      <c r="A7" s="15" t="s">
        <v>19</v>
      </c>
      <c r="B7" s="17">
        <f>_xlfn.COVARIANCE.P('Daily swap data'!$P$4:$P$2782,'Daily swap data'!K$4:K$2782)</f>
        <v>23.685812254842507</v>
      </c>
      <c r="C7" s="17">
        <f>_xlfn.COVARIANCE.P('Daily swap data'!$P$4:$P$2782,'Daily swap data'!L$4:L$2782)</f>
        <v>37.989530148296737</v>
      </c>
      <c r="D7" s="17">
        <f>_xlfn.COVARIANCE.P('Daily swap data'!$P$4:$P$2782,'Daily swap data'!M$4:M$2782)</f>
        <v>43.885431669510908</v>
      </c>
      <c r="E7" s="17">
        <f>_xlfn.COVARIANCE.P('Daily swap data'!$P$4:$P$2782,'Daily swap data'!N$4:N$2782)</f>
        <v>47.090762453869331</v>
      </c>
      <c r="F7" s="17">
        <f>_xlfn.COVARIANCE.P('Daily swap data'!$P$4:$P$2782,'Daily swap data'!O$4:O$2782)</f>
        <v>49.477082073811836</v>
      </c>
      <c r="G7" s="17">
        <f>_xlfn.COVARIANCE.P('Daily swap data'!$P$4:$P$2782,'Daily swap data'!P$4:P$2782)</f>
        <v>49.19749765662398</v>
      </c>
      <c r="H7" s="17">
        <f>_xlfn.COVARIANCE.P('Daily swap data'!$P$4:$P$2782,'Daily swap data'!Q$4:Q$2782)</f>
        <v>47.229466461888634</v>
      </c>
      <c r="I7" s="17">
        <f>_xlfn.COVARIANCE.P('Daily swap data'!$P$4:$P$2782,'Daily swap data'!R$4:R$2782)</f>
        <v>38.739003819967301</v>
      </c>
    </row>
    <row r="8" spans="1:9">
      <c r="A8" s="15" t="s">
        <v>20</v>
      </c>
      <c r="B8" s="17">
        <f>_xlfn.COVARIANCE.P('Daily swap data'!$Q$4:$Q$2782,'Daily swap data'!K$4:K$2782)</f>
        <v>21.083236078536316</v>
      </c>
      <c r="C8" s="17">
        <f>_xlfn.COVARIANCE.P('Daily swap data'!$Q$4:$Q$2782,'Daily swap data'!L$4:L$2782)</f>
        <v>34.651833696951648</v>
      </c>
      <c r="D8" s="17">
        <f>_xlfn.COVARIANCE.P('Daily swap data'!$Q$4:$Q$2782,'Daily swap data'!M$4:M$2782)</f>
        <v>40.612765043330448</v>
      </c>
      <c r="E8" s="17">
        <f>_xlfn.COVARIANCE.P('Daily swap data'!$Q$4:$Q$2782,'Daily swap data'!N$4:N$2782)</f>
        <v>44.218749162387169</v>
      </c>
      <c r="F8" s="17">
        <f>_xlfn.COVARIANCE.P('Daily swap data'!$Q$4:$Q$2782,'Daily swap data'!O$4:O$2782)</f>
        <v>46.667794533125708</v>
      </c>
      <c r="G8" s="17">
        <f>_xlfn.COVARIANCE.P('Daily swap data'!$Q$4:$Q$2782,'Daily swap data'!P$4:P$2782)</f>
        <v>47.229466461888634</v>
      </c>
      <c r="H8" s="17">
        <f>_xlfn.COVARIANCE.P('Daily swap data'!$Q$4:$Q$2782,'Daily swap data'!Q$4:Q$2782)</f>
        <v>47.199136431787039</v>
      </c>
      <c r="I8" s="17">
        <f>_xlfn.COVARIANCE.P('Daily swap data'!$Q$4:$Q$2782,'Daily swap data'!R$4:R$2782)</f>
        <v>39.729589926815898</v>
      </c>
    </row>
    <row r="9" spans="1:9" ht="14" thickBot="1">
      <c r="A9" s="16" t="s">
        <v>21</v>
      </c>
      <c r="B9" s="17">
        <f>_xlfn.COVARIANCE.P('Daily swap data'!$R$4:$R$2782,'Daily swap data'!K$4:K$2782)</f>
        <v>15.208216768932559</v>
      </c>
      <c r="C9" s="17">
        <f>_xlfn.COVARIANCE.P('Daily swap data'!$R$4:$R$2782,'Daily swap data'!L$4:L$2782)</f>
        <v>26.16262486823171</v>
      </c>
      <c r="D9" s="17">
        <f>_xlfn.COVARIANCE.P('Daily swap data'!$R$4:$R$2782,'Daily swap data'!M$4:M$2782)</f>
        <v>31.449044334850257</v>
      </c>
      <c r="E9" s="17">
        <f>_xlfn.COVARIANCE.P('Daily swap data'!$R$4:$R$2782,'Daily swap data'!N$4:N$2782)</f>
        <v>34.886273328688333</v>
      </c>
      <c r="F9" s="17">
        <f>_xlfn.COVARIANCE.P('Daily swap data'!$R$4:$R$2782,'Daily swap data'!O$4:O$2782)</f>
        <v>37.288849530891461</v>
      </c>
      <c r="G9" s="17">
        <f>_xlfn.COVARIANCE.P('Daily swap data'!$R$4:$R$2782,'Daily swap data'!P$4:P$2782)</f>
        <v>38.739003819967301</v>
      </c>
      <c r="H9" s="17">
        <f>_xlfn.COVARIANCE.P('Daily swap data'!$R$4:$R$2782,'Daily swap data'!Q$4:Q$2782)</f>
        <v>39.729589926815898</v>
      </c>
      <c r="I9" s="17">
        <f>_xlfn.COVARIANCE.P('Daily swap data'!$R$4:$R$2782,'Daily swap data'!R$4:R$2782)</f>
        <v>37.414375098490204</v>
      </c>
    </row>
    <row r="11" spans="1:9">
      <c r="B11" s="21" t="s">
        <v>22</v>
      </c>
      <c r="C11" s="21"/>
      <c r="D11" s="21"/>
      <c r="E11" s="21"/>
      <c r="F11" s="21"/>
      <c r="G11" s="21"/>
      <c r="H11" s="21"/>
      <c r="I11" s="21"/>
    </row>
    <row r="12" spans="1:9">
      <c r="B12" s="10" t="s">
        <v>23</v>
      </c>
      <c r="C12" s="10" t="s">
        <v>24</v>
      </c>
      <c r="D12" s="10" t="s">
        <v>25</v>
      </c>
      <c r="E12" s="10" t="s">
        <v>26</v>
      </c>
      <c r="F12" s="10" t="s">
        <v>27</v>
      </c>
      <c r="G12" s="10" t="s">
        <v>28</v>
      </c>
      <c r="H12" s="10" t="s">
        <v>29</v>
      </c>
      <c r="I12" s="10" t="s">
        <v>30</v>
      </c>
    </row>
    <row r="13" spans="1:9">
      <c r="A13" s="15" t="s">
        <v>14</v>
      </c>
      <c r="B13" s="13">
        <f t="array" ref="B13:I20">eigenvector(B2:I9)</f>
        <v>-0.21553966281737957</v>
      </c>
      <c r="C13" s="13">
        <v>-0.50058515915859003</v>
      </c>
      <c r="D13" s="13">
        <v>0.62747969083488775</v>
      </c>
      <c r="E13" s="13">
        <v>-0.48666937611995148</v>
      </c>
      <c r="F13" s="13">
        <v>0.12197756001217748</v>
      </c>
      <c r="G13" s="13">
        <v>-0.23707804617414646</v>
      </c>
      <c r="H13" s="13">
        <v>1.1335977110715314E-2</v>
      </c>
      <c r="I13" s="13">
        <v>3.4150821632582748E-2</v>
      </c>
    </row>
    <row r="14" spans="1:9">
      <c r="A14" s="15" t="s">
        <v>15</v>
      </c>
      <c r="B14" s="13">
        <v>-0.33077769682832453</v>
      </c>
      <c r="C14" s="13">
        <v>-0.42858808902760032</v>
      </c>
      <c r="D14" s="13">
        <v>0.12942138067542311</v>
      </c>
      <c r="E14" s="13">
        <v>0.35378044656906493</v>
      </c>
      <c r="F14" s="13">
        <v>-0.21247746358967545</v>
      </c>
      <c r="G14" s="13">
        <v>0.67388799416162737</v>
      </c>
      <c r="H14" s="13">
        <v>-0.10014419188850521</v>
      </c>
      <c r="I14" s="13">
        <v>-0.23598158126513308</v>
      </c>
    </row>
    <row r="15" spans="1:9">
      <c r="A15" s="15" t="s">
        <v>16</v>
      </c>
      <c r="B15" s="13">
        <v>-0.37210614596207198</v>
      </c>
      <c r="C15" s="13">
        <v>-0.26703646218629296</v>
      </c>
      <c r="D15" s="13">
        <v>-0.15695481103790523</v>
      </c>
      <c r="E15" s="13">
        <v>0.41375210205285423</v>
      </c>
      <c r="F15" s="13">
        <v>-9.5821978180720385E-2</v>
      </c>
      <c r="G15" s="13">
        <v>-0.31095678308081032</v>
      </c>
      <c r="H15" s="13">
        <v>0.4132357625320075</v>
      </c>
      <c r="I15" s="13">
        <v>0.56370485314331975</v>
      </c>
    </row>
    <row r="16" spans="1:9">
      <c r="A16" s="15" t="s">
        <v>17</v>
      </c>
      <c r="B16" s="13">
        <v>-0.3915212657204461</v>
      </c>
      <c r="C16" s="13">
        <v>-0.10950027363409723</v>
      </c>
      <c r="D16" s="13">
        <v>-0.25593595531164381</v>
      </c>
      <c r="E16" s="13">
        <v>0.17414285055174683</v>
      </c>
      <c r="F16" s="13">
        <v>-1.8986045098073331E-2</v>
      </c>
      <c r="G16" s="13">
        <v>-0.55107834422517366</v>
      </c>
      <c r="H16" s="13">
        <v>-0.41590494985469922</v>
      </c>
      <c r="I16" s="13">
        <v>-0.51172952254787285</v>
      </c>
    </row>
    <row r="17" spans="1:9">
      <c r="A17" s="15" t="s">
        <v>18</v>
      </c>
      <c r="B17" s="13">
        <v>-0.40404786909624585</v>
      </c>
      <c r="C17" s="13">
        <v>1.8544484717991725E-2</v>
      </c>
      <c r="D17" s="13">
        <v>-0.35537416579337666</v>
      </c>
      <c r="E17" s="13">
        <v>-0.26910423649951315</v>
      </c>
      <c r="F17" s="13">
        <v>0.59475388415331909</v>
      </c>
      <c r="G17" s="13">
        <v>0.27798273607167784</v>
      </c>
      <c r="H17" s="13">
        <v>-0.31606806108111046</v>
      </c>
      <c r="I17" s="13">
        <v>0.32678422582045702</v>
      </c>
    </row>
    <row r="18" spans="1:9">
      <c r="A18" s="15" t="s">
        <v>19</v>
      </c>
      <c r="B18" s="13">
        <v>-0.39383854015999403</v>
      </c>
      <c r="C18" s="13">
        <v>0.19351790760375559</v>
      </c>
      <c r="D18" s="13">
        <v>-0.19458799207081795</v>
      </c>
      <c r="E18" s="13">
        <v>-0.33607856595320196</v>
      </c>
      <c r="F18" s="13">
        <v>6.8982849534775801E-3</v>
      </c>
      <c r="G18" s="13">
        <v>9.9898051942176228E-2</v>
      </c>
      <c r="H18" s="13">
        <v>0.68477979891430374</v>
      </c>
      <c r="I18" s="13">
        <v>-0.42151886606858807</v>
      </c>
    </row>
    <row r="19" spans="1:9">
      <c r="A19" s="15" t="s">
        <v>20</v>
      </c>
      <c r="B19" s="13">
        <v>-0.37557766757576516</v>
      </c>
      <c r="C19" s="13">
        <v>0.37057030043131106</v>
      </c>
      <c r="D19" s="13">
        <v>6.7806071957788691E-2</v>
      </c>
      <c r="E19" s="13">
        <v>-0.30474642914849137</v>
      </c>
      <c r="F19" s="13">
        <v>-0.68361647743916831</v>
      </c>
      <c r="G19" s="13">
        <v>3.9278391356912287E-2</v>
      </c>
      <c r="H19" s="13">
        <v>-0.27790344649635434</v>
      </c>
      <c r="I19" s="13">
        <v>0.27936788067890933</v>
      </c>
    </row>
    <row r="20" spans="1:9">
      <c r="A20" s="15" t="s">
        <v>21</v>
      </c>
      <c r="B20" s="13">
        <v>-0.30488493410007694</v>
      </c>
      <c r="C20" s="13">
        <v>0.55435777280776133</v>
      </c>
      <c r="D20" s="13">
        <v>0.57500293053058149</v>
      </c>
      <c r="E20" s="13">
        <v>0.39779328921823665</v>
      </c>
      <c r="F20" s="13">
        <v>0.33063760166070849</v>
      </c>
      <c r="G20" s="13">
        <v>-2.2151626708165468E-2</v>
      </c>
      <c r="H20" s="13">
        <v>7.013978447022973E-3</v>
      </c>
      <c r="I20" s="13">
        <v>-3.168045973738582E-2</v>
      </c>
    </row>
    <row r="22" spans="1:9">
      <c r="B22">
        <f t="array" ref="B22:I29">eigenvalue(B2:I9)</f>
        <v>308.13298948549522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B23">
        <v>0</v>
      </c>
      <c r="C23">
        <v>22.742811203316244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B24">
        <v>0</v>
      </c>
      <c r="C24">
        <v>0</v>
      </c>
      <c r="D24">
        <v>4.316088753628172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B25">
        <v>0</v>
      </c>
      <c r="C25">
        <v>0</v>
      </c>
      <c r="D25">
        <v>0</v>
      </c>
      <c r="E25">
        <v>1.6680911509888703</v>
      </c>
      <c r="F25">
        <v>0</v>
      </c>
      <c r="G25">
        <v>0</v>
      </c>
      <c r="H25">
        <v>0</v>
      </c>
      <c r="I25">
        <v>0</v>
      </c>
    </row>
    <row r="26" spans="1:9">
      <c r="B26">
        <v>0</v>
      </c>
      <c r="C26">
        <v>0</v>
      </c>
      <c r="D26">
        <v>0</v>
      </c>
      <c r="E26">
        <v>0</v>
      </c>
      <c r="F26">
        <v>0.83459569084289853</v>
      </c>
      <c r="G26">
        <v>0</v>
      </c>
      <c r="H26">
        <v>0</v>
      </c>
      <c r="I26">
        <v>0</v>
      </c>
    </row>
    <row r="27" spans="1:9">
      <c r="B27">
        <v>0</v>
      </c>
      <c r="C27">
        <v>0</v>
      </c>
      <c r="D27">
        <v>0</v>
      </c>
      <c r="E27">
        <v>0</v>
      </c>
      <c r="F27">
        <v>0</v>
      </c>
      <c r="G27">
        <v>0.53659166036957118</v>
      </c>
      <c r="H27">
        <v>0</v>
      </c>
      <c r="I27">
        <v>0</v>
      </c>
    </row>
    <row r="28" spans="1:9"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0.30904801406131027</v>
      </c>
      <c r="I28">
        <v>0</v>
      </c>
    </row>
    <row r="29" spans="1:9"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0.27865652617370978</v>
      </c>
    </row>
    <row r="32" spans="1:9">
      <c r="A32" s="14" t="s">
        <v>31</v>
      </c>
      <c r="B32" s="18">
        <f>SQRT(SUM(B22:B29))/100</f>
        <v>0.17553717255484524</v>
      </c>
      <c r="C32" s="18">
        <f t="shared" ref="C32:I32" si="0">SQRT(SUM(C22:C29))/100</f>
        <v>4.7689423568875566E-2</v>
      </c>
      <c r="D32" s="18">
        <f t="shared" si="0"/>
        <v>2.0775198563739824E-2</v>
      </c>
      <c r="E32" s="18">
        <f t="shared" si="0"/>
        <v>1.2915460313085516E-2</v>
      </c>
      <c r="F32" s="18">
        <f t="shared" si="0"/>
        <v>9.1356208921063407E-3</v>
      </c>
      <c r="G32" s="18">
        <f t="shared" si="0"/>
        <v>7.3252417050195086E-3</v>
      </c>
      <c r="H32" s="18">
        <f t="shared" si="0"/>
        <v>5.5592087032356532E-3</v>
      </c>
      <c r="I32" s="18">
        <f t="shared" si="0"/>
        <v>5.2787927234710574E-3</v>
      </c>
    </row>
    <row r="33" spans="1:9">
      <c r="A33" s="10"/>
      <c r="B33" s="3"/>
      <c r="C33" s="3"/>
      <c r="D33" s="3"/>
      <c r="E33" s="3"/>
      <c r="F33" s="3"/>
      <c r="G33" s="3"/>
      <c r="H33" s="3"/>
      <c r="I33" s="3"/>
    </row>
    <row r="34" spans="1:9">
      <c r="A34" s="5" t="s">
        <v>35</v>
      </c>
      <c r="B34">
        <f ca="1">_xlfn.NORM.S.INV(RAND())</f>
        <v>0.15488550824261976</v>
      </c>
      <c r="C34">
        <f t="shared" ref="C34:I34" ca="1" si="1">_xlfn.NORM.S.INV(RAND())</f>
        <v>-1.663935216007524</v>
      </c>
      <c r="D34">
        <f t="shared" ca="1" si="1"/>
        <v>0.48621120178120181</v>
      </c>
      <c r="E34">
        <f t="shared" ca="1" si="1"/>
        <v>0.48448276133390483</v>
      </c>
      <c r="F34">
        <f t="shared" ca="1" si="1"/>
        <v>-0.19283872435836061</v>
      </c>
      <c r="G34">
        <f t="shared" ca="1" si="1"/>
        <v>2.4843396124047454</v>
      </c>
      <c r="H34">
        <f t="shared" ca="1" si="1"/>
        <v>0.40328415899422049</v>
      </c>
      <c r="I34">
        <f t="shared" ca="1" si="1"/>
        <v>0.65031858671461884</v>
      </c>
    </row>
    <row r="36" spans="1:9">
      <c r="B36">
        <f t="array" aca="1" ref="B36:B43" ca="1">B13:B20*B32*B34</f>
        <v>-5.8601277414097094E-3</v>
      </c>
      <c r="C36">
        <f t="array" aca="1" ref="C36:C43" ca="1">C13:C20*C32*C34</f>
        <v>3.972248926836059E-2</v>
      </c>
      <c r="D36">
        <f t="array" aca="1" ref="D36:D43" ca="1">D13:D20*D32*D34</f>
        <v>6.3382566031231699E-3</v>
      </c>
      <c r="E36">
        <f t="array" aca="1" ref="E36:E43" ca="1">E13:E20*E32*E34</f>
        <v>-3.0452449870831109E-3</v>
      </c>
      <c r="F36">
        <f t="array" aca="1" ref="F36:F43" ca="1">F13:F20*F32*F34</f>
        <v>-2.1488804788501883E-4</v>
      </c>
      <c r="G36">
        <f t="array" aca="1" ref="G36:G43" ca="1">G13:G20*G32*G34</f>
        <v>-4.3144383033277807E-3</v>
      </c>
      <c r="H36">
        <f t="array" aca="1" ref="H36:H43" ca="1">H13:H20*H32*H34</f>
        <v>2.5414589666717185E-5</v>
      </c>
      <c r="I36">
        <f t="array" aca="1" ref="I36:I43" ca="1">I13:I20*I32*I34</f>
        <v>1.1723625393213258E-4</v>
      </c>
    </row>
    <row r="37" spans="1:9">
      <c r="B37">
        <f ca="1"/>
        <v>-8.9932383306436936E-3</v>
      </c>
      <c r="C37">
        <f ca="1"/>
        <v>3.4009369745523113E-2</v>
      </c>
      <c r="D37">
        <f ca="1"/>
        <v>1.3073027424359614E-3</v>
      </c>
      <c r="E37">
        <f ca="1"/>
        <v>2.2137167126310628E-3</v>
      </c>
      <c r="F37">
        <f ca="1"/>
        <v>3.7432186187186586E-4</v>
      </c>
      <c r="G37">
        <f ca="1"/>
        <v>1.2263675279439317E-2</v>
      </c>
      <c r="H37">
        <f ca="1"/>
        <v>-2.245173503345886E-4</v>
      </c>
      <c r="I37">
        <f ca="1"/>
        <v>-8.1010046792285727E-4</v>
      </c>
    </row>
    <row r="38" spans="1:9">
      <c r="B38">
        <f ca="1"/>
        <v>-1.011688299127079E-2</v>
      </c>
      <c r="C38">
        <f ca="1"/>
        <v>2.1189907070528018E-2</v>
      </c>
      <c r="D38">
        <f ca="1"/>
        <v>-1.5854216191910581E-3</v>
      </c>
      <c r="E38">
        <f ca="1"/>
        <v>2.5889784245660078E-3</v>
      </c>
      <c r="F38">
        <f ca="1"/>
        <v>1.6880972068698699E-4</v>
      </c>
      <c r="G38">
        <f ca="1"/>
        <v>-5.6589122327166327E-3</v>
      </c>
      <c r="H38">
        <f ca="1"/>
        <v>9.2645011874951217E-4</v>
      </c>
      <c r="I38">
        <f ca="1"/>
        <v>1.935140712480942E-3</v>
      </c>
    </row>
    <row r="39" spans="1:9">
      <c r="B39">
        <f ca="1"/>
        <v>-1.0644744454964543E-2</v>
      </c>
      <c r="C39">
        <f ca="1"/>
        <v>8.6890779015983046E-3</v>
      </c>
      <c r="D39">
        <f ca="1"/>
        <v>-2.5852434467994894E-3</v>
      </c>
      <c r="E39">
        <f ca="1"/>
        <v>1.089667171801587E-3</v>
      </c>
      <c r="F39">
        <f ca="1"/>
        <v>3.3447743730687842E-5</v>
      </c>
      <c r="G39">
        <f ca="1"/>
        <v>-1.0028737602776902E-2</v>
      </c>
      <c r="H39">
        <f ca="1"/>
        <v>-9.3243427872860139E-4</v>
      </c>
      <c r="I39">
        <f ca="1"/>
        <v>-1.7567147547850736E-3</v>
      </c>
    </row>
    <row r="40" spans="1:9">
      <c r="B40">
        <f ca="1"/>
        <v>-1.0985319804246576E-2</v>
      </c>
      <c r="C40">
        <f ca="1"/>
        <v>-1.471544015479554E-3</v>
      </c>
      <c r="D40">
        <f ca="1"/>
        <v>-3.5896821615409992E-3</v>
      </c>
      <c r="E40">
        <f ca="1"/>
        <v>-1.6838707496585679E-3</v>
      </c>
      <c r="F40">
        <f ca="1"/>
        <v>-1.0477787973868313E-3</v>
      </c>
      <c r="G40">
        <f ca="1"/>
        <v>5.0588377267565517E-3</v>
      </c>
      <c r="H40">
        <f ca="1"/>
        <v>-7.0860588378732626E-4</v>
      </c>
      <c r="I40">
        <f ca="1"/>
        <v>1.1218165961415871E-3</v>
      </c>
    </row>
    <row r="41" spans="1:9">
      <c r="B41">
        <f ca="1"/>
        <v>-1.0707746892892453E-2</v>
      </c>
      <c r="C41">
        <f ca="1"/>
        <v>-1.5356054544138931E-2</v>
      </c>
      <c r="D41">
        <f ca="1"/>
        <v>-1.9655594334699812E-3</v>
      </c>
      <c r="E41">
        <f ca="1"/>
        <v>-2.1029504186078412E-3</v>
      </c>
      <c r="F41">
        <f ca="1"/>
        <v>-1.2152718805486892E-5</v>
      </c>
      <c r="G41">
        <f ca="1"/>
        <v>1.8179835234957097E-3</v>
      </c>
      <c r="H41">
        <f ca="1"/>
        <v>1.5352357746923821E-3</v>
      </c>
      <c r="I41">
        <f ca="1"/>
        <v>-1.4470308606705186E-3</v>
      </c>
    </row>
    <row r="42" spans="1:9">
      <c r="B42">
        <f ca="1"/>
        <v>-1.0211267290881315E-2</v>
      </c>
      <c r="C42">
        <f ca="1"/>
        <v>-2.9405535727023997E-2</v>
      </c>
      <c r="D42">
        <f ca="1"/>
        <v>6.8491823655116089E-4</v>
      </c>
      <c r="E42">
        <f ca="1"/>
        <v>-1.906895278874475E-3</v>
      </c>
      <c r="F42">
        <f ca="1"/>
        <v>1.2043281594112084E-3</v>
      </c>
      <c r="G42">
        <f ca="1"/>
        <v>7.1480341135796578E-4</v>
      </c>
      <c r="H42">
        <f ca="1"/>
        <v>-6.2304307698321287E-4</v>
      </c>
      <c r="I42">
        <f ca="1"/>
        <v>9.590411660405305E-4</v>
      </c>
    </row>
    <row r="43" spans="1:9">
      <c r="B43">
        <f ca="1"/>
        <v>-8.2892616463426522E-3</v>
      </c>
      <c r="C43">
        <f ca="1"/>
        <v>-4.3989459691936822E-2</v>
      </c>
      <c r="D43">
        <f ca="1"/>
        <v>5.8081818017113058E-3</v>
      </c>
      <c r="E43">
        <f ca="1"/>
        <v>2.489119059730119E-3</v>
      </c>
      <c r="F43">
        <f ca="1"/>
        <v>-5.8248475187699207E-4</v>
      </c>
      <c r="G43">
        <f ca="1"/>
        <v>-4.0312390072813902E-4</v>
      </c>
      <c r="H43">
        <f ca="1"/>
        <v>1.5724924496697299E-5</v>
      </c>
      <c r="I43">
        <f ca="1"/>
        <v>-1.0875575593517506E-4</v>
      </c>
    </row>
    <row r="46" spans="1:9">
      <c r="A46" s="5" t="s">
        <v>32</v>
      </c>
      <c r="B46">
        <f t="array" ref="B46:I46">'Daily swap data'!B2782:I2782</f>
        <v>0.43</v>
      </c>
      <c r="C46">
        <v>0.44</v>
      </c>
      <c r="D46">
        <v>0.59</v>
      </c>
      <c r="E46">
        <v>0.88</v>
      </c>
      <c r="F46">
        <v>1.22</v>
      </c>
      <c r="G46">
        <v>1.82</v>
      </c>
      <c r="H46">
        <v>2.42</v>
      </c>
      <c r="I46">
        <v>3.35</v>
      </c>
    </row>
    <row r="47" spans="1:9">
      <c r="B47">
        <f t="array" aca="1" ref="B47:I47" ca="1">TRANSPOSE(B36:B43)</f>
        <v>-5.8601277414097094E-3</v>
      </c>
      <c r="C47">
        <f ca="1"/>
        <v>-8.9932383306436936E-3</v>
      </c>
      <c r="D47">
        <f ca="1"/>
        <v>-1.011688299127079E-2</v>
      </c>
      <c r="E47">
        <f ca="1"/>
        <v>-1.0644744454964543E-2</v>
      </c>
      <c r="F47">
        <f ca="1"/>
        <v>-1.0985319804246576E-2</v>
      </c>
      <c r="G47">
        <f ca="1"/>
        <v>-1.0707746892892453E-2</v>
      </c>
      <c r="H47">
        <f ca="1"/>
        <v>-1.0211267290881315E-2</v>
      </c>
      <c r="I47">
        <f ca="1"/>
        <v>-8.2892616463426522E-3</v>
      </c>
    </row>
    <row r="48" spans="1:9">
      <c r="B48">
        <f t="array" aca="1" ref="B48:I48" ca="1">TRANSPOSE(C36:C43)</f>
        <v>3.972248926836059E-2</v>
      </c>
      <c r="C48">
        <f ca="1"/>
        <v>3.4009369745523113E-2</v>
      </c>
      <c r="D48">
        <f ca="1"/>
        <v>2.1189907070528018E-2</v>
      </c>
      <c r="E48">
        <f ca="1"/>
        <v>8.6890779015983046E-3</v>
      </c>
      <c r="F48">
        <f ca="1"/>
        <v>-1.471544015479554E-3</v>
      </c>
      <c r="G48">
        <f ca="1"/>
        <v>-1.5356054544138931E-2</v>
      </c>
      <c r="H48">
        <f ca="1"/>
        <v>-2.9405535727023997E-2</v>
      </c>
      <c r="I48">
        <f ca="1"/>
        <v>-4.3989459691936822E-2</v>
      </c>
    </row>
    <row r="49" spans="1:9">
      <c r="B49">
        <f t="array" aca="1" ref="B49:I49" ca="1">TRANSPOSE(D36:D43)</f>
        <v>6.3382566031231699E-3</v>
      </c>
      <c r="C49">
        <f ca="1"/>
        <v>1.3073027424359614E-3</v>
      </c>
      <c r="D49">
        <f ca="1"/>
        <v>-1.5854216191910581E-3</v>
      </c>
      <c r="E49">
        <f ca="1"/>
        <v>-2.5852434467994894E-3</v>
      </c>
      <c r="F49">
        <f ca="1"/>
        <v>-3.5896821615409992E-3</v>
      </c>
      <c r="G49">
        <f ca="1"/>
        <v>-1.9655594334699812E-3</v>
      </c>
      <c r="H49">
        <f ca="1"/>
        <v>6.8491823655116089E-4</v>
      </c>
      <c r="I49">
        <f ca="1"/>
        <v>5.8081818017113058E-3</v>
      </c>
    </row>
    <row r="52" spans="1:9">
      <c r="A52" s="5">
        <v>0.05</v>
      </c>
    </row>
    <row r="53" spans="1:9">
      <c r="A53" s="5" t="s">
        <v>33</v>
      </c>
      <c r="B53">
        <v>0.42847589487191395</v>
      </c>
      <c r="C53">
        <v>0.38253554526321937</v>
      </c>
      <c r="D53">
        <v>0.4981441144625911</v>
      </c>
      <c r="E53">
        <v>0.7667984571795966</v>
      </c>
      <c r="F53">
        <v>1.0897394929927822</v>
      </c>
      <c r="G53">
        <v>1.6844563872060556</v>
      </c>
      <c r="H53">
        <v>2.2848071097530069</v>
      </c>
      <c r="I53">
        <v>3.2381337649381159</v>
      </c>
    </row>
    <row r="54" spans="1:9">
      <c r="A54" s="5" t="s">
        <v>34</v>
      </c>
      <c r="B54">
        <v>0.43152410512808603</v>
      </c>
      <c r="C54">
        <v>0.49746445473678064</v>
      </c>
      <c r="D54">
        <v>0.68185588553740895</v>
      </c>
      <c r="E54">
        <v>0.9932015428204034</v>
      </c>
      <c r="F54">
        <v>1.3502605070072178</v>
      </c>
      <c r="G54">
        <v>1.9555436127939445</v>
      </c>
      <c r="H54">
        <v>2.5551928902469929</v>
      </c>
      <c r="I54">
        <v>3.4618662350618843</v>
      </c>
    </row>
  </sheetData>
  <mergeCells count="1">
    <mergeCell ref="B11:I11"/>
  </mergeCells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R2782"/>
  <sheetViews>
    <sheetView workbookViewId="0"/>
  </sheetViews>
  <sheetFormatPr baseColWidth="10" defaultColWidth="8.83203125" defaultRowHeight="13"/>
  <cols>
    <col min="1" max="1" width="10.1640625" customWidth="1"/>
  </cols>
  <sheetData>
    <row r="1" spans="1:18">
      <c r="K1">
        <f>STDEV(K4:K2782)</f>
        <v>4.707380905449825</v>
      </c>
      <c r="L1">
        <f t="shared" ref="L1:R1" si="0">STDEV(L4:L2782)</f>
        <v>6.2037489901895482</v>
      </c>
      <c r="M1">
        <f t="shared" si="0"/>
        <v>6.7004239335738625</v>
      </c>
      <c r="N1">
        <f t="shared" si="0"/>
        <v>6.9387589500895981</v>
      </c>
      <c r="O1">
        <f t="shared" si="0"/>
        <v>7.1689376511223175</v>
      </c>
      <c r="P1">
        <f t="shared" si="0"/>
        <v>7.015355111397314</v>
      </c>
      <c r="Q1">
        <f t="shared" si="0"/>
        <v>6.8713991851497225</v>
      </c>
      <c r="R1">
        <f t="shared" si="0"/>
        <v>6.1178299417422481</v>
      </c>
    </row>
    <row r="2" spans="1:18">
      <c r="B2" s="10" t="s">
        <v>14</v>
      </c>
      <c r="C2" s="10" t="s">
        <v>15</v>
      </c>
      <c r="D2" s="10" t="s">
        <v>16</v>
      </c>
      <c r="E2" s="10" t="s">
        <v>17</v>
      </c>
      <c r="F2" s="10" t="s">
        <v>18</v>
      </c>
      <c r="G2" s="10" t="s">
        <v>19</v>
      </c>
      <c r="H2" s="10" t="s">
        <v>20</v>
      </c>
      <c r="I2" s="10" t="s">
        <v>21</v>
      </c>
      <c r="K2">
        <f t="shared" ref="K2:R2" si="1">AVERAGE(K4:K2782)</f>
        <v>-0.24001439366678654</v>
      </c>
      <c r="L2">
        <f t="shared" si="1"/>
        <v>-0.24181360201511357</v>
      </c>
      <c r="M2">
        <f t="shared" si="1"/>
        <v>-0.23677581863979821</v>
      </c>
      <c r="N2">
        <f t="shared" si="1"/>
        <v>-0.22634041021950371</v>
      </c>
      <c r="O2">
        <f t="shared" si="1"/>
        <v>-0.21410579345088146</v>
      </c>
      <c r="P2">
        <f t="shared" si="1"/>
        <v>-0.1935948182799565</v>
      </c>
      <c r="Q2">
        <f t="shared" si="1"/>
        <v>-0.1734436847786977</v>
      </c>
      <c r="R2">
        <f t="shared" si="1"/>
        <v>-0.13997840949981982</v>
      </c>
    </row>
    <row r="3" spans="1:18">
      <c r="A3" s="9">
        <v>36710</v>
      </c>
      <c r="B3">
        <v>7.1</v>
      </c>
      <c r="C3">
        <v>7.16</v>
      </c>
      <c r="D3">
        <v>7.17</v>
      </c>
      <c r="E3">
        <v>7.17</v>
      </c>
      <c r="F3">
        <v>7.17</v>
      </c>
      <c r="G3">
        <v>7.2</v>
      </c>
      <c r="H3">
        <v>7.24</v>
      </c>
      <c r="I3">
        <v>7.24</v>
      </c>
      <c r="K3" s="10" t="s">
        <v>14</v>
      </c>
      <c r="L3" s="10" t="s">
        <v>15</v>
      </c>
      <c r="M3" s="10" t="s">
        <v>16</v>
      </c>
      <c r="N3" s="10" t="s">
        <v>17</v>
      </c>
      <c r="O3" s="10" t="s">
        <v>18</v>
      </c>
      <c r="P3" s="10" t="s">
        <v>19</v>
      </c>
      <c r="Q3" s="10" t="s">
        <v>20</v>
      </c>
      <c r="R3" s="10" t="s">
        <v>21</v>
      </c>
    </row>
    <row r="4" spans="1:18">
      <c r="A4" s="9">
        <v>36712</v>
      </c>
      <c r="B4">
        <v>7.03</v>
      </c>
      <c r="C4">
        <v>7.06</v>
      </c>
      <c r="D4">
        <v>7.07</v>
      </c>
      <c r="E4">
        <v>7.07</v>
      </c>
      <c r="F4">
        <v>7.08</v>
      </c>
      <c r="G4">
        <v>7.11</v>
      </c>
      <c r="H4">
        <v>7.14</v>
      </c>
      <c r="I4">
        <v>7.16</v>
      </c>
      <c r="K4">
        <f>(B4-B3)*100</f>
        <v>-6.9999999999999396</v>
      </c>
      <c r="L4">
        <f t="shared" ref="L4:R4" si="2">(C4-C3)*100</f>
        <v>-10.000000000000053</v>
      </c>
      <c r="M4">
        <f t="shared" si="2"/>
        <v>-9.9999999999999645</v>
      </c>
      <c r="N4">
        <f t="shared" si="2"/>
        <v>-9.9999999999999645</v>
      </c>
      <c r="O4">
        <f t="shared" si="2"/>
        <v>-8.9999999999999858</v>
      </c>
      <c r="P4">
        <f t="shared" si="2"/>
        <v>-8.9999999999999858</v>
      </c>
      <c r="Q4">
        <f t="shared" si="2"/>
        <v>-10.000000000000053</v>
      </c>
      <c r="R4">
        <f t="shared" si="2"/>
        <v>-8.0000000000000071</v>
      </c>
    </row>
    <row r="5" spans="1:18">
      <c r="A5" s="9">
        <v>36713</v>
      </c>
      <c r="B5">
        <v>7.07</v>
      </c>
      <c r="C5">
        <v>7.13</v>
      </c>
      <c r="D5">
        <v>7.14</v>
      </c>
      <c r="E5">
        <v>7.15</v>
      </c>
      <c r="F5">
        <v>7.16</v>
      </c>
      <c r="G5">
        <v>7.19</v>
      </c>
      <c r="H5">
        <v>7.21</v>
      </c>
      <c r="I5">
        <v>7.21</v>
      </c>
      <c r="K5">
        <f t="shared" ref="K5:K68" si="3">(B5-B4)*100</f>
        <v>4.0000000000000036</v>
      </c>
      <c r="L5">
        <f t="shared" ref="L5:L68" si="4">(C5-C4)*100</f>
        <v>7.0000000000000284</v>
      </c>
      <c r="M5">
        <f t="shared" ref="M5:M68" si="5">(D5-D4)*100</f>
        <v>6.9999999999999396</v>
      </c>
      <c r="N5">
        <f t="shared" ref="N5:N68" si="6">(E5-E4)*100</f>
        <v>8.0000000000000071</v>
      </c>
      <c r="O5">
        <f t="shared" ref="O5:O68" si="7">(F5-F4)*100</f>
        <v>8.0000000000000071</v>
      </c>
      <c r="P5">
        <f t="shared" ref="P5:P68" si="8">(G5-G4)*100</f>
        <v>8.0000000000000071</v>
      </c>
      <c r="Q5">
        <f t="shared" ref="Q5:Q68" si="9">(H5-H4)*100</f>
        <v>7.0000000000000284</v>
      </c>
      <c r="R5">
        <f t="shared" ref="R5:R68" si="10">(I5-I4)*100</f>
        <v>4.9999999999999822</v>
      </c>
    </row>
    <row r="6" spans="1:18">
      <c r="A6" s="9">
        <v>36714</v>
      </c>
      <c r="B6">
        <v>7.01</v>
      </c>
      <c r="C6">
        <v>7.04</v>
      </c>
      <c r="D6">
        <v>7.06</v>
      </c>
      <c r="E6">
        <v>7.06</v>
      </c>
      <c r="F6">
        <v>7.07</v>
      </c>
      <c r="G6">
        <v>7.1</v>
      </c>
      <c r="H6">
        <v>7.14</v>
      </c>
      <c r="I6">
        <v>7.14</v>
      </c>
      <c r="K6">
        <f t="shared" si="3"/>
        <v>-6.0000000000000497</v>
      </c>
      <c r="L6">
        <f t="shared" si="4"/>
        <v>-8.9999999999999858</v>
      </c>
      <c r="M6">
        <f t="shared" si="5"/>
        <v>-8.0000000000000071</v>
      </c>
      <c r="N6">
        <f t="shared" si="6"/>
        <v>-9.0000000000000746</v>
      </c>
      <c r="O6">
        <f t="shared" si="7"/>
        <v>-8.9999999999999858</v>
      </c>
      <c r="P6">
        <f t="shared" si="8"/>
        <v>-9.0000000000000746</v>
      </c>
      <c r="Q6">
        <f t="shared" si="9"/>
        <v>-7.0000000000000284</v>
      </c>
      <c r="R6">
        <f t="shared" si="10"/>
        <v>-7.0000000000000284</v>
      </c>
    </row>
    <row r="7" spans="1:18">
      <c r="A7" s="9">
        <v>36717</v>
      </c>
      <c r="B7">
        <v>7.04</v>
      </c>
      <c r="C7">
        <v>7.09</v>
      </c>
      <c r="D7">
        <v>7.11</v>
      </c>
      <c r="E7">
        <v>7.13</v>
      </c>
      <c r="F7">
        <v>7.14</v>
      </c>
      <c r="G7">
        <v>7.17</v>
      </c>
      <c r="H7">
        <v>7.2</v>
      </c>
      <c r="I7">
        <v>7.19</v>
      </c>
      <c r="K7">
        <f t="shared" si="3"/>
        <v>3.0000000000000249</v>
      </c>
      <c r="L7">
        <f t="shared" si="4"/>
        <v>4.9999999999999822</v>
      </c>
      <c r="M7">
        <f t="shared" si="5"/>
        <v>5.0000000000000711</v>
      </c>
      <c r="N7">
        <f t="shared" si="6"/>
        <v>7.0000000000000284</v>
      </c>
      <c r="O7">
        <f t="shared" si="7"/>
        <v>6.9999999999999396</v>
      </c>
      <c r="P7">
        <f t="shared" si="8"/>
        <v>7.0000000000000284</v>
      </c>
      <c r="Q7">
        <f t="shared" si="9"/>
        <v>6.0000000000000497</v>
      </c>
      <c r="R7">
        <f t="shared" si="10"/>
        <v>5.0000000000000711</v>
      </c>
    </row>
    <row r="8" spans="1:18">
      <c r="A8" s="9">
        <v>36718</v>
      </c>
      <c r="B8">
        <v>7.04</v>
      </c>
      <c r="C8">
        <v>7.1</v>
      </c>
      <c r="D8">
        <v>7.11</v>
      </c>
      <c r="E8">
        <v>7.13</v>
      </c>
      <c r="F8">
        <v>7.14</v>
      </c>
      <c r="G8">
        <v>7.18</v>
      </c>
      <c r="H8">
        <v>7.22</v>
      </c>
      <c r="I8">
        <v>7.2</v>
      </c>
      <c r="K8">
        <f t="shared" si="3"/>
        <v>0</v>
      </c>
      <c r="L8">
        <f t="shared" si="4"/>
        <v>0.99999999999997868</v>
      </c>
      <c r="M8">
        <f t="shared" si="5"/>
        <v>0</v>
      </c>
      <c r="N8">
        <f t="shared" si="6"/>
        <v>0</v>
      </c>
      <c r="O8">
        <f t="shared" si="7"/>
        <v>0</v>
      </c>
      <c r="P8">
        <f t="shared" si="8"/>
        <v>0.99999999999997868</v>
      </c>
      <c r="Q8">
        <f t="shared" si="9"/>
        <v>1.9999999999999574</v>
      </c>
      <c r="R8">
        <f t="shared" si="10"/>
        <v>0.99999999999997868</v>
      </c>
    </row>
    <row r="9" spans="1:18">
      <c r="A9" s="9">
        <v>36719</v>
      </c>
      <c r="B9">
        <v>7.06</v>
      </c>
      <c r="C9">
        <v>7.12</v>
      </c>
      <c r="D9">
        <v>7.14</v>
      </c>
      <c r="E9">
        <v>7.15</v>
      </c>
      <c r="F9">
        <v>7.17</v>
      </c>
      <c r="G9">
        <v>7.2</v>
      </c>
      <c r="H9">
        <v>7.23</v>
      </c>
      <c r="I9">
        <v>7.19</v>
      </c>
      <c r="K9">
        <f t="shared" si="3"/>
        <v>1.9999999999999574</v>
      </c>
      <c r="L9">
        <f t="shared" si="4"/>
        <v>2.0000000000000462</v>
      </c>
      <c r="M9">
        <f t="shared" si="5"/>
        <v>2.9999999999999361</v>
      </c>
      <c r="N9">
        <f t="shared" si="6"/>
        <v>2.0000000000000462</v>
      </c>
      <c r="O9">
        <f t="shared" si="7"/>
        <v>3.0000000000000249</v>
      </c>
      <c r="P9">
        <f t="shared" si="8"/>
        <v>2.0000000000000462</v>
      </c>
      <c r="Q9">
        <f t="shared" si="9"/>
        <v>1.0000000000000675</v>
      </c>
      <c r="R9">
        <f t="shared" si="10"/>
        <v>-0.99999999999997868</v>
      </c>
    </row>
    <row r="10" spans="1:18">
      <c r="A10" s="9">
        <v>36720</v>
      </c>
      <c r="B10">
        <v>7.04</v>
      </c>
      <c r="C10">
        <v>7.09</v>
      </c>
      <c r="D10">
        <v>7.1</v>
      </c>
      <c r="E10">
        <v>7.12</v>
      </c>
      <c r="F10">
        <v>7.13</v>
      </c>
      <c r="G10">
        <v>7.16</v>
      </c>
      <c r="H10">
        <v>7.19</v>
      </c>
      <c r="I10">
        <v>7.13</v>
      </c>
      <c r="K10">
        <f t="shared" si="3"/>
        <v>-1.9999999999999574</v>
      </c>
      <c r="L10">
        <f t="shared" si="4"/>
        <v>-3.0000000000000249</v>
      </c>
      <c r="M10">
        <f t="shared" si="5"/>
        <v>-4.0000000000000036</v>
      </c>
      <c r="N10">
        <f t="shared" si="6"/>
        <v>-3.0000000000000249</v>
      </c>
      <c r="O10">
        <f t="shared" si="7"/>
        <v>-4.0000000000000036</v>
      </c>
      <c r="P10">
        <f t="shared" si="8"/>
        <v>-4.0000000000000036</v>
      </c>
      <c r="Q10">
        <f t="shared" si="9"/>
        <v>-4.0000000000000036</v>
      </c>
      <c r="R10">
        <f t="shared" si="10"/>
        <v>-6.0000000000000497</v>
      </c>
    </row>
    <row r="11" spans="1:18">
      <c r="A11" s="9">
        <v>36721</v>
      </c>
      <c r="B11">
        <v>7.08</v>
      </c>
      <c r="C11">
        <v>7.14</v>
      </c>
      <c r="D11">
        <v>7.16</v>
      </c>
      <c r="E11">
        <v>7.17</v>
      </c>
      <c r="F11">
        <v>7.19</v>
      </c>
      <c r="G11">
        <v>7.21</v>
      </c>
      <c r="H11">
        <v>7.23</v>
      </c>
      <c r="I11">
        <v>7.17</v>
      </c>
      <c r="K11">
        <f t="shared" si="3"/>
        <v>4.0000000000000036</v>
      </c>
      <c r="L11">
        <f t="shared" si="4"/>
        <v>4.9999999999999822</v>
      </c>
      <c r="M11">
        <f t="shared" si="5"/>
        <v>6.0000000000000497</v>
      </c>
      <c r="N11">
        <f t="shared" si="6"/>
        <v>4.9999999999999822</v>
      </c>
      <c r="O11">
        <f t="shared" si="7"/>
        <v>6.0000000000000497</v>
      </c>
      <c r="P11">
        <f t="shared" si="8"/>
        <v>4.9999999999999822</v>
      </c>
      <c r="Q11">
        <f t="shared" si="9"/>
        <v>4.0000000000000036</v>
      </c>
      <c r="R11">
        <f t="shared" si="10"/>
        <v>4.0000000000000036</v>
      </c>
    </row>
    <row r="12" spans="1:18">
      <c r="A12" s="9">
        <v>36724</v>
      </c>
      <c r="B12">
        <v>7.12</v>
      </c>
      <c r="C12">
        <v>7.21</v>
      </c>
      <c r="D12">
        <v>7.23</v>
      </c>
      <c r="E12">
        <v>7.25</v>
      </c>
      <c r="F12">
        <v>7.28</v>
      </c>
      <c r="G12">
        <v>7.31</v>
      </c>
      <c r="H12">
        <v>7.35</v>
      </c>
      <c r="I12">
        <v>7.28</v>
      </c>
      <c r="K12">
        <f t="shared" si="3"/>
        <v>4.0000000000000036</v>
      </c>
      <c r="L12">
        <f t="shared" si="4"/>
        <v>7.0000000000000284</v>
      </c>
      <c r="M12">
        <f t="shared" si="5"/>
        <v>7.0000000000000284</v>
      </c>
      <c r="N12">
        <f t="shared" si="6"/>
        <v>8.0000000000000071</v>
      </c>
      <c r="O12">
        <f t="shared" si="7"/>
        <v>8.9999999999999858</v>
      </c>
      <c r="P12">
        <f t="shared" si="8"/>
        <v>9.9999999999999645</v>
      </c>
      <c r="Q12">
        <f t="shared" si="9"/>
        <v>11.999999999999922</v>
      </c>
      <c r="R12">
        <f t="shared" si="10"/>
        <v>11.000000000000032</v>
      </c>
    </row>
    <row r="13" spans="1:18">
      <c r="A13" s="9">
        <v>36725</v>
      </c>
      <c r="B13">
        <v>7.12</v>
      </c>
      <c r="C13">
        <v>7.21</v>
      </c>
      <c r="D13">
        <v>7.23</v>
      </c>
      <c r="E13">
        <v>7.25</v>
      </c>
      <c r="F13">
        <v>7.28</v>
      </c>
      <c r="G13">
        <v>7.31</v>
      </c>
      <c r="H13">
        <v>7.35</v>
      </c>
      <c r="I13">
        <v>7.29</v>
      </c>
      <c r="K13">
        <f t="shared" si="3"/>
        <v>0</v>
      </c>
      <c r="L13">
        <f t="shared" si="4"/>
        <v>0</v>
      </c>
      <c r="M13">
        <f t="shared" si="5"/>
        <v>0</v>
      </c>
      <c r="N13">
        <f t="shared" si="6"/>
        <v>0</v>
      </c>
      <c r="O13">
        <f t="shared" si="7"/>
        <v>0</v>
      </c>
      <c r="P13">
        <f t="shared" si="8"/>
        <v>0</v>
      </c>
      <c r="Q13">
        <f t="shared" si="9"/>
        <v>0</v>
      </c>
      <c r="R13">
        <f t="shared" si="10"/>
        <v>0.99999999999997868</v>
      </c>
    </row>
    <row r="14" spans="1:18">
      <c r="A14" s="9">
        <v>36726</v>
      </c>
      <c r="B14">
        <v>7.13</v>
      </c>
      <c r="C14">
        <v>7.22</v>
      </c>
      <c r="D14">
        <v>7.25</v>
      </c>
      <c r="E14">
        <v>7.27</v>
      </c>
      <c r="F14">
        <v>7.29</v>
      </c>
      <c r="G14">
        <v>7.32</v>
      </c>
      <c r="H14">
        <v>7.36</v>
      </c>
      <c r="I14">
        <v>7.3</v>
      </c>
      <c r="K14">
        <f t="shared" si="3"/>
        <v>0.99999999999997868</v>
      </c>
      <c r="L14">
        <f t="shared" si="4"/>
        <v>0.99999999999997868</v>
      </c>
      <c r="M14">
        <f t="shared" si="5"/>
        <v>1.9999999999999574</v>
      </c>
      <c r="N14">
        <f t="shared" si="6"/>
        <v>1.9999999999999574</v>
      </c>
      <c r="O14">
        <f t="shared" si="7"/>
        <v>0.99999999999997868</v>
      </c>
      <c r="P14">
        <f t="shared" si="8"/>
        <v>1.0000000000000675</v>
      </c>
      <c r="Q14">
        <f t="shared" si="9"/>
        <v>1.0000000000000675</v>
      </c>
      <c r="R14">
        <f t="shared" si="10"/>
        <v>0.99999999999997868</v>
      </c>
    </row>
    <row r="15" spans="1:18">
      <c r="A15" s="9">
        <v>36727</v>
      </c>
      <c r="B15">
        <v>7.07</v>
      </c>
      <c r="C15">
        <v>7.14</v>
      </c>
      <c r="D15">
        <v>7.16</v>
      </c>
      <c r="E15">
        <v>7.18</v>
      </c>
      <c r="F15">
        <v>7.21</v>
      </c>
      <c r="G15">
        <v>7.24</v>
      </c>
      <c r="H15">
        <v>7.29</v>
      </c>
      <c r="I15">
        <v>7.23</v>
      </c>
      <c r="K15">
        <f t="shared" si="3"/>
        <v>-5.9999999999999609</v>
      </c>
      <c r="L15">
        <f t="shared" si="4"/>
        <v>-8.0000000000000071</v>
      </c>
      <c r="M15">
        <f t="shared" si="5"/>
        <v>-8.9999999999999858</v>
      </c>
      <c r="N15">
        <f t="shared" si="6"/>
        <v>-8.9999999999999858</v>
      </c>
      <c r="O15">
        <f t="shared" si="7"/>
        <v>-8.0000000000000071</v>
      </c>
      <c r="P15">
        <f t="shared" si="8"/>
        <v>-8.0000000000000071</v>
      </c>
      <c r="Q15">
        <f t="shared" si="9"/>
        <v>-7.0000000000000284</v>
      </c>
      <c r="R15">
        <f t="shared" si="10"/>
        <v>-6.9999999999999396</v>
      </c>
    </row>
    <row r="16" spans="1:18">
      <c r="A16" s="9">
        <v>36728</v>
      </c>
      <c r="B16">
        <v>7.03</v>
      </c>
      <c r="C16">
        <v>7.09</v>
      </c>
      <c r="D16">
        <v>7.11</v>
      </c>
      <c r="E16">
        <v>7.12</v>
      </c>
      <c r="F16">
        <v>7.14</v>
      </c>
      <c r="G16">
        <v>7.18</v>
      </c>
      <c r="H16">
        <v>7.21</v>
      </c>
      <c r="I16">
        <v>7.16</v>
      </c>
      <c r="K16">
        <f t="shared" si="3"/>
        <v>-4.0000000000000036</v>
      </c>
      <c r="L16">
        <f t="shared" si="4"/>
        <v>-4.9999999999999822</v>
      </c>
      <c r="M16">
        <f t="shared" si="5"/>
        <v>-4.9999999999999822</v>
      </c>
      <c r="N16">
        <f t="shared" si="6"/>
        <v>-5.9999999999999609</v>
      </c>
      <c r="O16">
        <f t="shared" si="7"/>
        <v>-7.0000000000000284</v>
      </c>
      <c r="P16">
        <f t="shared" si="8"/>
        <v>-6.0000000000000497</v>
      </c>
      <c r="Q16">
        <f t="shared" si="9"/>
        <v>-8.0000000000000071</v>
      </c>
      <c r="R16">
        <f t="shared" si="10"/>
        <v>-7.0000000000000284</v>
      </c>
    </row>
    <row r="17" spans="1:18">
      <c r="A17" s="9">
        <v>36731</v>
      </c>
      <c r="B17">
        <v>7.04</v>
      </c>
      <c r="C17">
        <v>7.12</v>
      </c>
      <c r="D17">
        <v>7.14</v>
      </c>
      <c r="E17">
        <v>7.16</v>
      </c>
      <c r="F17">
        <v>7.17</v>
      </c>
      <c r="G17">
        <v>7.2</v>
      </c>
      <c r="H17">
        <v>7.24</v>
      </c>
      <c r="I17">
        <v>7.19</v>
      </c>
      <c r="K17">
        <f t="shared" si="3"/>
        <v>0.99999999999997868</v>
      </c>
      <c r="L17">
        <f t="shared" si="4"/>
        <v>3.0000000000000249</v>
      </c>
      <c r="M17">
        <f t="shared" si="5"/>
        <v>2.9999999999999361</v>
      </c>
      <c r="N17">
        <f t="shared" si="6"/>
        <v>4.0000000000000036</v>
      </c>
      <c r="O17">
        <f t="shared" si="7"/>
        <v>3.0000000000000249</v>
      </c>
      <c r="P17">
        <f t="shared" si="8"/>
        <v>2.0000000000000462</v>
      </c>
      <c r="Q17">
        <f t="shared" si="9"/>
        <v>3.0000000000000249</v>
      </c>
      <c r="R17">
        <f t="shared" si="10"/>
        <v>3.0000000000000249</v>
      </c>
    </row>
    <row r="18" spans="1:18">
      <c r="A18" s="9">
        <v>36732</v>
      </c>
      <c r="B18">
        <v>7.03</v>
      </c>
      <c r="C18">
        <v>7.1</v>
      </c>
      <c r="D18">
        <v>7.11</v>
      </c>
      <c r="E18">
        <v>7.13</v>
      </c>
      <c r="F18">
        <v>7.15</v>
      </c>
      <c r="G18">
        <v>7.18</v>
      </c>
      <c r="H18">
        <v>7.23</v>
      </c>
      <c r="I18">
        <v>7.17</v>
      </c>
      <c r="K18">
        <f t="shared" si="3"/>
        <v>-0.99999999999997868</v>
      </c>
      <c r="L18">
        <f t="shared" si="4"/>
        <v>-2.0000000000000462</v>
      </c>
      <c r="M18">
        <f t="shared" si="5"/>
        <v>-2.9999999999999361</v>
      </c>
      <c r="N18">
        <f t="shared" si="6"/>
        <v>-3.0000000000000249</v>
      </c>
      <c r="O18">
        <f t="shared" si="7"/>
        <v>-1.9999999999999574</v>
      </c>
      <c r="P18">
        <f t="shared" si="8"/>
        <v>-2.0000000000000462</v>
      </c>
      <c r="Q18">
        <f t="shared" si="9"/>
        <v>-0.99999999999997868</v>
      </c>
      <c r="R18">
        <f t="shared" si="10"/>
        <v>-2.0000000000000462</v>
      </c>
    </row>
    <row r="19" spans="1:18">
      <c r="A19" s="9">
        <v>36733</v>
      </c>
      <c r="B19">
        <v>7.02</v>
      </c>
      <c r="C19">
        <v>7.08</v>
      </c>
      <c r="D19">
        <v>7.1</v>
      </c>
      <c r="E19">
        <v>7.11</v>
      </c>
      <c r="F19">
        <v>7.13</v>
      </c>
      <c r="G19">
        <v>7.17</v>
      </c>
      <c r="H19">
        <v>7.21</v>
      </c>
      <c r="I19">
        <v>7.17</v>
      </c>
      <c r="K19">
        <f t="shared" si="3"/>
        <v>-1.0000000000000675</v>
      </c>
      <c r="L19">
        <f t="shared" si="4"/>
        <v>-1.9999999999999574</v>
      </c>
      <c r="M19">
        <f t="shared" si="5"/>
        <v>-1.0000000000000675</v>
      </c>
      <c r="N19">
        <f t="shared" si="6"/>
        <v>-1.9999999999999574</v>
      </c>
      <c r="O19">
        <f t="shared" si="7"/>
        <v>-2.0000000000000462</v>
      </c>
      <c r="P19">
        <f t="shared" si="8"/>
        <v>-0.99999999999997868</v>
      </c>
      <c r="Q19">
        <f t="shared" si="9"/>
        <v>-2.0000000000000462</v>
      </c>
      <c r="R19">
        <f t="shared" si="10"/>
        <v>0</v>
      </c>
    </row>
    <row r="20" spans="1:18">
      <c r="A20" s="9">
        <v>36734</v>
      </c>
      <c r="B20">
        <v>7.01</v>
      </c>
      <c r="C20">
        <v>7.07</v>
      </c>
      <c r="D20">
        <v>7.09</v>
      </c>
      <c r="E20">
        <v>7.1</v>
      </c>
      <c r="F20">
        <v>7.11</v>
      </c>
      <c r="G20">
        <v>7.15</v>
      </c>
      <c r="H20">
        <v>7.2</v>
      </c>
      <c r="I20">
        <v>7.15</v>
      </c>
      <c r="K20">
        <f t="shared" si="3"/>
        <v>-0.99999999999997868</v>
      </c>
      <c r="L20">
        <f t="shared" si="4"/>
        <v>-0.99999999999997868</v>
      </c>
      <c r="M20">
        <f t="shared" si="5"/>
        <v>-0.99999999999997868</v>
      </c>
      <c r="N20">
        <f t="shared" si="6"/>
        <v>-1.0000000000000675</v>
      </c>
      <c r="O20">
        <f t="shared" si="7"/>
        <v>-1.9999999999999574</v>
      </c>
      <c r="P20">
        <f t="shared" si="8"/>
        <v>-1.9999999999999574</v>
      </c>
      <c r="Q20">
        <f t="shared" si="9"/>
        <v>-0.99999999999997868</v>
      </c>
      <c r="R20">
        <f t="shared" si="10"/>
        <v>-1.9999999999999574</v>
      </c>
    </row>
    <row r="21" spans="1:18">
      <c r="A21" s="9">
        <v>36735</v>
      </c>
      <c r="B21">
        <v>7.03</v>
      </c>
      <c r="C21">
        <v>7.09</v>
      </c>
      <c r="D21">
        <v>7.11</v>
      </c>
      <c r="E21">
        <v>7.13</v>
      </c>
      <c r="F21">
        <v>7.15</v>
      </c>
      <c r="G21">
        <v>7.19</v>
      </c>
      <c r="H21">
        <v>7.23</v>
      </c>
      <c r="I21">
        <v>7.19</v>
      </c>
      <c r="K21">
        <f t="shared" si="3"/>
        <v>2.0000000000000462</v>
      </c>
      <c r="L21">
        <f t="shared" si="4"/>
        <v>1.9999999999999574</v>
      </c>
      <c r="M21">
        <f t="shared" si="5"/>
        <v>2.0000000000000462</v>
      </c>
      <c r="N21">
        <f t="shared" si="6"/>
        <v>3.0000000000000249</v>
      </c>
      <c r="O21">
        <f t="shared" si="7"/>
        <v>4.0000000000000036</v>
      </c>
      <c r="P21">
        <f t="shared" si="8"/>
        <v>4.0000000000000036</v>
      </c>
      <c r="Q21">
        <f t="shared" si="9"/>
        <v>3.0000000000000249</v>
      </c>
      <c r="R21">
        <f t="shared" si="10"/>
        <v>4.0000000000000036</v>
      </c>
    </row>
    <row r="22" spans="1:18">
      <c r="A22" s="9">
        <v>36738</v>
      </c>
      <c r="B22">
        <v>7.06</v>
      </c>
      <c r="C22">
        <v>7.12</v>
      </c>
      <c r="D22">
        <v>7.14</v>
      </c>
      <c r="E22">
        <v>7.16</v>
      </c>
      <c r="F22">
        <v>7.18</v>
      </c>
      <c r="G22">
        <v>7.22</v>
      </c>
      <c r="H22">
        <v>7.26</v>
      </c>
      <c r="I22">
        <v>7.21</v>
      </c>
      <c r="K22">
        <f t="shared" si="3"/>
        <v>2.9999999999999361</v>
      </c>
      <c r="L22">
        <f t="shared" si="4"/>
        <v>3.0000000000000249</v>
      </c>
      <c r="M22">
        <f t="shared" si="5"/>
        <v>2.9999999999999361</v>
      </c>
      <c r="N22">
        <f t="shared" si="6"/>
        <v>3.0000000000000249</v>
      </c>
      <c r="O22">
        <f t="shared" si="7"/>
        <v>2.9999999999999361</v>
      </c>
      <c r="P22">
        <f t="shared" si="8"/>
        <v>2.9999999999999361</v>
      </c>
      <c r="Q22">
        <f t="shared" si="9"/>
        <v>2.9999999999999361</v>
      </c>
      <c r="R22">
        <f t="shared" si="10"/>
        <v>1.9999999999999574</v>
      </c>
    </row>
    <row r="23" spans="1:18">
      <c r="A23" s="9">
        <v>36739</v>
      </c>
      <c r="B23">
        <v>7.04</v>
      </c>
      <c r="C23">
        <v>7.08</v>
      </c>
      <c r="D23">
        <v>7.1</v>
      </c>
      <c r="E23">
        <v>7.12</v>
      </c>
      <c r="F23">
        <v>7.14</v>
      </c>
      <c r="G23">
        <v>7.18</v>
      </c>
      <c r="H23">
        <v>7.23</v>
      </c>
      <c r="I23">
        <v>7.17</v>
      </c>
      <c r="K23">
        <f t="shared" si="3"/>
        <v>-1.9999999999999574</v>
      </c>
      <c r="L23">
        <f t="shared" si="4"/>
        <v>-4.0000000000000036</v>
      </c>
      <c r="M23">
        <f t="shared" si="5"/>
        <v>-4.0000000000000036</v>
      </c>
      <c r="N23">
        <f t="shared" si="6"/>
        <v>-4.0000000000000036</v>
      </c>
      <c r="O23">
        <f t="shared" si="7"/>
        <v>-4.0000000000000036</v>
      </c>
      <c r="P23">
        <f t="shared" si="8"/>
        <v>-4.0000000000000036</v>
      </c>
      <c r="Q23">
        <f t="shared" si="9"/>
        <v>-2.9999999999999361</v>
      </c>
      <c r="R23">
        <f t="shared" si="10"/>
        <v>-4.0000000000000036</v>
      </c>
    </row>
    <row r="24" spans="1:18">
      <c r="A24" s="9">
        <v>36740</v>
      </c>
      <c r="B24">
        <v>7.02</v>
      </c>
      <c r="C24">
        <v>7.06</v>
      </c>
      <c r="D24">
        <v>7.08</v>
      </c>
      <c r="E24">
        <v>7.1</v>
      </c>
      <c r="F24">
        <v>7.12</v>
      </c>
      <c r="G24">
        <v>7.16</v>
      </c>
      <c r="H24">
        <v>7.2</v>
      </c>
      <c r="I24">
        <v>7.18</v>
      </c>
      <c r="K24">
        <f t="shared" si="3"/>
        <v>-2.0000000000000462</v>
      </c>
      <c r="L24">
        <f t="shared" si="4"/>
        <v>-2.0000000000000462</v>
      </c>
      <c r="M24">
        <f t="shared" si="5"/>
        <v>-1.9999999999999574</v>
      </c>
      <c r="N24">
        <f t="shared" si="6"/>
        <v>-2.0000000000000462</v>
      </c>
      <c r="O24">
        <f t="shared" si="7"/>
        <v>-1.9999999999999574</v>
      </c>
      <c r="P24">
        <f t="shared" si="8"/>
        <v>-1.9999999999999574</v>
      </c>
      <c r="Q24">
        <f t="shared" si="9"/>
        <v>-3.0000000000000249</v>
      </c>
      <c r="R24">
        <f t="shared" si="10"/>
        <v>0.99999999999997868</v>
      </c>
    </row>
    <row r="25" spans="1:18">
      <c r="A25" s="9">
        <v>36741</v>
      </c>
      <c r="B25">
        <v>6.98</v>
      </c>
      <c r="C25">
        <v>7.02</v>
      </c>
      <c r="D25">
        <v>7.04</v>
      </c>
      <c r="E25">
        <v>7.05</v>
      </c>
      <c r="F25">
        <v>7.07</v>
      </c>
      <c r="G25">
        <v>7.11</v>
      </c>
      <c r="H25">
        <v>7.16</v>
      </c>
      <c r="I25">
        <v>7.13</v>
      </c>
      <c r="K25">
        <f t="shared" si="3"/>
        <v>-3.9999999999999147</v>
      </c>
      <c r="L25">
        <f t="shared" si="4"/>
        <v>-4.0000000000000036</v>
      </c>
      <c r="M25">
        <f t="shared" si="5"/>
        <v>-4.0000000000000036</v>
      </c>
      <c r="N25">
        <f t="shared" si="6"/>
        <v>-4.9999999999999822</v>
      </c>
      <c r="O25">
        <f t="shared" si="7"/>
        <v>-4.9999999999999822</v>
      </c>
      <c r="P25">
        <f t="shared" si="8"/>
        <v>-4.9999999999999822</v>
      </c>
      <c r="Q25">
        <f t="shared" si="9"/>
        <v>-4.0000000000000036</v>
      </c>
      <c r="R25">
        <f t="shared" si="10"/>
        <v>-4.9999999999999822</v>
      </c>
    </row>
    <row r="26" spans="1:18">
      <c r="A26" s="9">
        <v>36742</v>
      </c>
      <c r="B26">
        <v>6.94</v>
      </c>
      <c r="C26">
        <v>6.97</v>
      </c>
      <c r="D26">
        <v>6.98</v>
      </c>
      <c r="E26">
        <v>7</v>
      </c>
      <c r="F26">
        <v>7.02</v>
      </c>
      <c r="G26">
        <v>7.06</v>
      </c>
      <c r="H26">
        <v>7.11</v>
      </c>
      <c r="I26">
        <v>7.09</v>
      </c>
      <c r="K26">
        <f t="shared" si="3"/>
        <v>-4.0000000000000036</v>
      </c>
      <c r="L26">
        <f t="shared" si="4"/>
        <v>-4.9999999999999822</v>
      </c>
      <c r="M26">
        <f t="shared" si="5"/>
        <v>-5.9999999999999609</v>
      </c>
      <c r="N26">
        <f t="shared" si="6"/>
        <v>-4.9999999999999822</v>
      </c>
      <c r="O26">
        <f t="shared" si="7"/>
        <v>-5.0000000000000711</v>
      </c>
      <c r="P26">
        <f t="shared" si="8"/>
        <v>-5.0000000000000711</v>
      </c>
      <c r="Q26">
        <f t="shared" si="9"/>
        <v>-4.9999999999999822</v>
      </c>
      <c r="R26">
        <f t="shared" si="10"/>
        <v>-4.0000000000000036</v>
      </c>
    </row>
    <row r="27" spans="1:18">
      <c r="A27" s="9">
        <v>36745</v>
      </c>
      <c r="B27">
        <v>6.94</v>
      </c>
      <c r="C27">
        <v>6.97</v>
      </c>
      <c r="D27">
        <v>6.98</v>
      </c>
      <c r="E27">
        <v>7</v>
      </c>
      <c r="F27">
        <v>7.03</v>
      </c>
      <c r="G27">
        <v>7.06</v>
      </c>
      <c r="H27">
        <v>7.09</v>
      </c>
      <c r="I27">
        <v>7.06</v>
      </c>
      <c r="K27">
        <f t="shared" si="3"/>
        <v>0</v>
      </c>
      <c r="L27">
        <f t="shared" si="4"/>
        <v>0</v>
      </c>
      <c r="M27">
        <f t="shared" si="5"/>
        <v>0</v>
      </c>
      <c r="N27">
        <f t="shared" si="6"/>
        <v>0</v>
      </c>
      <c r="O27">
        <f t="shared" si="7"/>
        <v>1.0000000000000675</v>
      </c>
      <c r="P27">
        <f t="shared" si="8"/>
        <v>0</v>
      </c>
      <c r="Q27">
        <f t="shared" si="9"/>
        <v>-2.0000000000000462</v>
      </c>
      <c r="R27">
        <f t="shared" si="10"/>
        <v>-3.0000000000000249</v>
      </c>
    </row>
    <row r="28" spans="1:18">
      <c r="A28" s="9">
        <v>36746</v>
      </c>
      <c r="B28">
        <v>6.94</v>
      </c>
      <c r="C28">
        <v>6.97</v>
      </c>
      <c r="D28">
        <v>6.99</v>
      </c>
      <c r="E28">
        <v>7.01</v>
      </c>
      <c r="F28">
        <v>7.03</v>
      </c>
      <c r="G28">
        <v>7.06</v>
      </c>
      <c r="H28">
        <v>7.09</v>
      </c>
      <c r="I28">
        <v>7.07</v>
      </c>
      <c r="K28">
        <f t="shared" si="3"/>
        <v>0</v>
      </c>
      <c r="L28">
        <f t="shared" si="4"/>
        <v>0</v>
      </c>
      <c r="M28">
        <f t="shared" si="5"/>
        <v>0.99999999999997868</v>
      </c>
      <c r="N28">
        <f t="shared" si="6"/>
        <v>0.99999999999997868</v>
      </c>
      <c r="O28">
        <f t="shared" si="7"/>
        <v>0</v>
      </c>
      <c r="P28">
        <f t="shared" si="8"/>
        <v>0</v>
      </c>
      <c r="Q28">
        <f t="shared" si="9"/>
        <v>0</v>
      </c>
      <c r="R28">
        <f t="shared" si="10"/>
        <v>1.0000000000000675</v>
      </c>
    </row>
    <row r="29" spans="1:18">
      <c r="A29" s="9">
        <v>36747</v>
      </c>
      <c r="B29">
        <v>6.93</v>
      </c>
      <c r="C29">
        <v>6.96</v>
      </c>
      <c r="D29">
        <v>6.97</v>
      </c>
      <c r="E29">
        <v>7</v>
      </c>
      <c r="F29">
        <v>7.02</v>
      </c>
      <c r="G29">
        <v>7.05</v>
      </c>
      <c r="H29">
        <v>7.09</v>
      </c>
      <c r="I29">
        <v>7.07</v>
      </c>
      <c r="K29">
        <f t="shared" si="3"/>
        <v>-1.0000000000000675</v>
      </c>
      <c r="L29">
        <f t="shared" si="4"/>
        <v>-0.99999999999997868</v>
      </c>
      <c r="M29">
        <f t="shared" si="5"/>
        <v>-2.0000000000000462</v>
      </c>
      <c r="N29">
        <f t="shared" si="6"/>
        <v>-0.99999999999997868</v>
      </c>
      <c r="O29">
        <f t="shared" si="7"/>
        <v>-1.0000000000000675</v>
      </c>
      <c r="P29">
        <f t="shared" si="8"/>
        <v>-0.99999999999997868</v>
      </c>
      <c r="Q29">
        <f t="shared" si="9"/>
        <v>0</v>
      </c>
      <c r="R29">
        <f t="shared" si="10"/>
        <v>0</v>
      </c>
    </row>
    <row r="30" spans="1:18">
      <c r="A30" s="9">
        <v>36748</v>
      </c>
      <c r="B30">
        <v>6.9</v>
      </c>
      <c r="C30">
        <v>6.92</v>
      </c>
      <c r="D30">
        <v>6.94</v>
      </c>
      <c r="E30">
        <v>6.96</v>
      </c>
      <c r="F30">
        <v>6.98</v>
      </c>
      <c r="G30">
        <v>7.01</v>
      </c>
      <c r="H30">
        <v>7.06</v>
      </c>
      <c r="I30">
        <v>7.05</v>
      </c>
      <c r="K30">
        <f t="shared" si="3"/>
        <v>-2.9999999999999361</v>
      </c>
      <c r="L30">
        <f t="shared" si="4"/>
        <v>-4.0000000000000036</v>
      </c>
      <c r="M30">
        <f t="shared" si="5"/>
        <v>-2.9999999999999361</v>
      </c>
      <c r="N30">
        <f t="shared" si="6"/>
        <v>-4.0000000000000036</v>
      </c>
      <c r="O30">
        <f t="shared" si="7"/>
        <v>-3.9999999999999147</v>
      </c>
      <c r="P30">
        <f t="shared" si="8"/>
        <v>-4.0000000000000036</v>
      </c>
      <c r="Q30">
        <f t="shared" si="9"/>
        <v>-3.0000000000000249</v>
      </c>
      <c r="R30">
        <f t="shared" si="10"/>
        <v>-2.0000000000000462</v>
      </c>
    </row>
    <row r="31" spans="1:18">
      <c r="A31" s="9">
        <v>36749</v>
      </c>
      <c r="B31">
        <v>6.92</v>
      </c>
      <c r="C31">
        <v>6.94</v>
      </c>
      <c r="D31">
        <v>6.95</v>
      </c>
      <c r="E31">
        <v>6.95</v>
      </c>
      <c r="F31">
        <v>6.97</v>
      </c>
      <c r="G31">
        <v>6.99</v>
      </c>
      <c r="H31">
        <v>7.02</v>
      </c>
      <c r="I31">
        <v>7</v>
      </c>
      <c r="K31">
        <f t="shared" si="3"/>
        <v>1.9999999999999574</v>
      </c>
      <c r="L31">
        <f t="shared" si="4"/>
        <v>2.0000000000000462</v>
      </c>
      <c r="M31">
        <f t="shared" si="5"/>
        <v>0.99999999999997868</v>
      </c>
      <c r="N31">
        <f t="shared" si="6"/>
        <v>-0.99999999999997868</v>
      </c>
      <c r="O31">
        <f t="shared" si="7"/>
        <v>-1.0000000000000675</v>
      </c>
      <c r="P31">
        <f t="shared" si="8"/>
        <v>-1.9999999999999574</v>
      </c>
      <c r="Q31">
        <f t="shared" si="9"/>
        <v>-4.0000000000000036</v>
      </c>
      <c r="R31">
        <f t="shared" si="10"/>
        <v>-4.9999999999999822</v>
      </c>
    </row>
    <row r="32" spans="1:18">
      <c r="A32" s="9">
        <v>36752</v>
      </c>
      <c r="B32">
        <v>6.96</v>
      </c>
      <c r="C32">
        <v>7</v>
      </c>
      <c r="D32">
        <v>7.02</v>
      </c>
      <c r="E32">
        <v>7.04</v>
      </c>
      <c r="F32">
        <v>7.05</v>
      </c>
      <c r="G32">
        <v>7.07</v>
      </c>
      <c r="H32">
        <v>7.09</v>
      </c>
      <c r="I32">
        <v>7.05</v>
      </c>
      <c r="K32">
        <f t="shared" si="3"/>
        <v>4.0000000000000036</v>
      </c>
      <c r="L32">
        <f t="shared" si="4"/>
        <v>5.9999999999999609</v>
      </c>
      <c r="M32">
        <f t="shared" si="5"/>
        <v>6.9999999999999396</v>
      </c>
      <c r="N32">
        <f t="shared" si="6"/>
        <v>8.9999999999999858</v>
      </c>
      <c r="O32">
        <f t="shared" si="7"/>
        <v>8.0000000000000071</v>
      </c>
      <c r="P32">
        <f t="shared" si="8"/>
        <v>8.0000000000000071</v>
      </c>
      <c r="Q32">
        <f t="shared" si="9"/>
        <v>7.0000000000000284</v>
      </c>
      <c r="R32">
        <f t="shared" si="10"/>
        <v>4.9999999999999822</v>
      </c>
    </row>
    <row r="33" spans="1:18">
      <c r="A33" s="9">
        <v>36753</v>
      </c>
      <c r="B33">
        <v>6.96</v>
      </c>
      <c r="C33">
        <v>6.99</v>
      </c>
      <c r="D33">
        <v>7</v>
      </c>
      <c r="E33">
        <v>7.01</v>
      </c>
      <c r="F33">
        <v>7.03</v>
      </c>
      <c r="G33">
        <v>7.04</v>
      </c>
      <c r="H33">
        <v>7.06</v>
      </c>
      <c r="I33">
        <v>7.02</v>
      </c>
      <c r="K33">
        <f t="shared" si="3"/>
        <v>0</v>
      </c>
      <c r="L33">
        <f t="shared" si="4"/>
        <v>-0.99999999999997868</v>
      </c>
      <c r="M33">
        <f t="shared" si="5"/>
        <v>-1.9999999999999574</v>
      </c>
      <c r="N33">
        <f t="shared" si="6"/>
        <v>-3.0000000000000249</v>
      </c>
      <c r="O33">
        <f t="shared" si="7"/>
        <v>-1.9999999999999574</v>
      </c>
      <c r="P33">
        <f t="shared" si="8"/>
        <v>-3.0000000000000249</v>
      </c>
      <c r="Q33">
        <f t="shared" si="9"/>
        <v>-3.0000000000000249</v>
      </c>
      <c r="R33">
        <f t="shared" si="10"/>
        <v>-3.0000000000000249</v>
      </c>
    </row>
    <row r="34" spans="1:18">
      <c r="A34" s="9">
        <v>36754</v>
      </c>
      <c r="B34">
        <v>6.96</v>
      </c>
      <c r="C34">
        <v>7.01</v>
      </c>
      <c r="D34">
        <v>7.02</v>
      </c>
      <c r="E34">
        <v>7.03</v>
      </c>
      <c r="F34">
        <v>7.04</v>
      </c>
      <c r="G34">
        <v>7.06</v>
      </c>
      <c r="H34">
        <v>7.08</v>
      </c>
      <c r="I34">
        <v>7.04</v>
      </c>
      <c r="K34">
        <f t="shared" si="3"/>
        <v>0</v>
      </c>
      <c r="L34">
        <f t="shared" si="4"/>
        <v>1.9999999999999574</v>
      </c>
      <c r="M34">
        <f t="shared" si="5"/>
        <v>1.9999999999999574</v>
      </c>
      <c r="N34">
        <f t="shared" si="6"/>
        <v>2.0000000000000462</v>
      </c>
      <c r="O34">
        <f t="shared" si="7"/>
        <v>0.99999999999997868</v>
      </c>
      <c r="P34">
        <f t="shared" si="8"/>
        <v>1.9999999999999574</v>
      </c>
      <c r="Q34">
        <f t="shared" si="9"/>
        <v>2.0000000000000462</v>
      </c>
      <c r="R34">
        <f t="shared" si="10"/>
        <v>2.0000000000000462</v>
      </c>
    </row>
    <row r="35" spans="1:18">
      <c r="A35" s="9">
        <v>36755</v>
      </c>
      <c r="B35">
        <v>6.97</v>
      </c>
      <c r="C35">
        <v>7.01</v>
      </c>
      <c r="D35">
        <v>7.02</v>
      </c>
      <c r="E35">
        <v>7.03</v>
      </c>
      <c r="F35">
        <v>7.04</v>
      </c>
      <c r="G35">
        <v>7.06</v>
      </c>
      <c r="H35">
        <v>7.09</v>
      </c>
      <c r="I35">
        <v>7.05</v>
      </c>
      <c r="K35">
        <f t="shared" si="3"/>
        <v>0.99999999999997868</v>
      </c>
      <c r="L35">
        <f t="shared" si="4"/>
        <v>0</v>
      </c>
      <c r="M35">
        <f t="shared" si="5"/>
        <v>0</v>
      </c>
      <c r="N35">
        <f t="shared" si="6"/>
        <v>0</v>
      </c>
      <c r="O35">
        <f t="shared" si="7"/>
        <v>0</v>
      </c>
      <c r="P35">
        <f t="shared" si="8"/>
        <v>0</v>
      </c>
      <c r="Q35">
        <f t="shared" si="9"/>
        <v>0.99999999999997868</v>
      </c>
      <c r="R35">
        <f t="shared" si="10"/>
        <v>0.99999999999997868</v>
      </c>
    </row>
    <row r="36" spans="1:18">
      <c r="A36" s="9">
        <v>36756</v>
      </c>
      <c r="B36">
        <v>6.96</v>
      </c>
      <c r="C36">
        <v>7.01</v>
      </c>
      <c r="D36">
        <v>7.02</v>
      </c>
      <c r="E36">
        <v>7.03</v>
      </c>
      <c r="F36">
        <v>7.04</v>
      </c>
      <c r="G36">
        <v>7.07</v>
      </c>
      <c r="H36">
        <v>7.08</v>
      </c>
      <c r="I36">
        <v>7.06</v>
      </c>
      <c r="K36">
        <f t="shared" si="3"/>
        <v>-0.99999999999997868</v>
      </c>
      <c r="L36">
        <f t="shared" si="4"/>
        <v>0</v>
      </c>
      <c r="M36">
        <f t="shared" si="5"/>
        <v>0</v>
      </c>
      <c r="N36">
        <f t="shared" si="6"/>
        <v>0</v>
      </c>
      <c r="O36">
        <f t="shared" si="7"/>
        <v>0</v>
      </c>
      <c r="P36">
        <f t="shared" si="8"/>
        <v>1.0000000000000675</v>
      </c>
      <c r="Q36">
        <f t="shared" si="9"/>
        <v>-0.99999999999997868</v>
      </c>
      <c r="R36">
        <f t="shared" si="10"/>
        <v>0.99999999999997868</v>
      </c>
    </row>
    <row r="37" spans="1:18">
      <c r="A37" s="9">
        <v>36759</v>
      </c>
      <c r="B37">
        <v>6.95</v>
      </c>
      <c r="C37">
        <v>6.98</v>
      </c>
      <c r="D37">
        <v>6.99</v>
      </c>
      <c r="E37">
        <v>7</v>
      </c>
      <c r="F37">
        <v>7.02</v>
      </c>
      <c r="G37">
        <v>7.04</v>
      </c>
      <c r="H37">
        <v>7.07</v>
      </c>
      <c r="I37">
        <v>7.05</v>
      </c>
      <c r="K37">
        <f t="shared" si="3"/>
        <v>-0.99999999999997868</v>
      </c>
      <c r="L37">
        <f t="shared" si="4"/>
        <v>-2.9999999999999361</v>
      </c>
      <c r="M37">
        <f t="shared" si="5"/>
        <v>-2.9999999999999361</v>
      </c>
      <c r="N37">
        <f t="shared" si="6"/>
        <v>-3.0000000000000249</v>
      </c>
      <c r="O37">
        <f t="shared" si="7"/>
        <v>-2.0000000000000462</v>
      </c>
      <c r="P37">
        <f t="shared" si="8"/>
        <v>-3.0000000000000249</v>
      </c>
      <c r="Q37">
        <f t="shared" si="9"/>
        <v>-0.99999999999997868</v>
      </c>
      <c r="R37">
        <f t="shared" si="10"/>
        <v>-0.99999999999997868</v>
      </c>
    </row>
    <row r="38" spans="1:18">
      <c r="A38" s="9">
        <v>36760</v>
      </c>
      <c r="B38">
        <v>6.95</v>
      </c>
      <c r="C38">
        <v>6.98</v>
      </c>
      <c r="D38">
        <v>6.99</v>
      </c>
      <c r="E38">
        <v>7.01</v>
      </c>
      <c r="F38">
        <v>7.03</v>
      </c>
      <c r="G38">
        <v>7.05</v>
      </c>
      <c r="H38">
        <v>7.08</v>
      </c>
      <c r="I38">
        <v>7.06</v>
      </c>
      <c r="K38">
        <f t="shared" si="3"/>
        <v>0</v>
      </c>
      <c r="L38">
        <f t="shared" si="4"/>
        <v>0</v>
      </c>
      <c r="M38">
        <f t="shared" si="5"/>
        <v>0</v>
      </c>
      <c r="N38">
        <f t="shared" si="6"/>
        <v>0.99999999999997868</v>
      </c>
      <c r="O38">
        <f t="shared" si="7"/>
        <v>1.0000000000000675</v>
      </c>
      <c r="P38">
        <f t="shared" si="8"/>
        <v>0.99999999999997868</v>
      </c>
      <c r="Q38">
        <f t="shared" si="9"/>
        <v>0.99999999999997868</v>
      </c>
      <c r="R38">
        <f t="shared" si="10"/>
        <v>0.99999999999997868</v>
      </c>
    </row>
    <row r="39" spans="1:18">
      <c r="A39" s="9">
        <v>36761</v>
      </c>
      <c r="B39">
        <v>6.93</v>
      </c>
      <c r="C39">
        <v>6.95</v>
      </c>
      <c r="D39">
        <v>6.95</v>
      </c>
      <c r="E39">
        <v>6.95</v>
      </c>
      <c r="F39">
        <v>6.96</v>
      </c>
      <c r="G39">
        <v>6.98</v>
      </c>
      <c r="H39">
        <v>7.01</v>
      </c>
      <c r="I39">
        <v>7</v>
      </c>
      <c r="K39">
        <f t="shared" si="3"/>
        <v>-2.0000000000000462</v>
      </c>
      <c r="L39">
        <f t="shared" si="4"/>
        <v>-3.0000000000000249</v>
      </c>
      <c r="M39">
        <f t="shared" si="5"/>
        <v>-4.0000000000000036</v>
      </c>
      <c r="N39">
        <f t="shared" si="6"/>
        <v>-5.9999999999999609</v>
      </c>
      <c r="O39">
        <f t="shared" si="7"/>
        <v>-7.0000000000000284</v>
      </c>
      <c r="P39">
        <f t="shared" si="8"/>
        <v>-6.9999999999999396</v>
      </c>
      <c r="Q39">
        <f t="shared" si="9"/>
        <v>-7.0000000000000284</v>
      </c>
      <c r="R39">
        <f t="shared" si="10"/>
        <v>-5.9999999999999609</v>
      </c>
    </row>
    <row r="40" spans="1:18">
      <c r="A40" s="9">
        <v>36762</v>
      </c>
      <c r="B40">
        <v>6.91</v>
      </c>
      <c r="C40">
        <v>6.93</v>
      </c>
      <c r="D40">
        <v>6.93</v>
      </c>
      <c r="E40">
        <v>6.94</v>
      </c>
      <c r="F40">
        <v>6.94</v>
      </c>
      <c r="G40">
        <v>6.96</v>
      </c>
      <c r="H40">
        <v>6.99</v>
      </c>
      <c r="I40">
        <v>6.98</v>
      </c>
      <c r="K40">
        <f t="shared" si="3"/>
        <v>-1.9999999999999574</v>
      </c>
      <c r="L40">
        <f t="shared" si="4"/>
        <v>-2.0000000000000462</v>
      </c>
      <c r="M40">
        <f t="shared" si="5"/>
        <v>-2.0000000000000462</v>
      </c>
      <c r="N40">
        <f t="shared" si="6"/>
        <v>-0.99999999999997868</v>
      </c>
      <c r="O40">
        <f t="shared" si="7"/>
        <v>-1.9999999999999574</v>
      </c>
      <c r="P40">
        <f t="shared" si="8"/>
        <v>-2.0000000000000462</v>
      </c>
      <c r="Q40">
        <f t="shared" si="9"/>
        <v>-1.9999999999999574</v>
      </c>
      <c r="R40">
        <f t="shared" si="10"/>
        <v>-1.9999999999999574</v>
      </c>
    </row>
    <row r="41" spans="1:18">
      <c r="A41" s="9">
        <v>36763</v>
      </c>
      <c r="B41">
        <v>6.9</v>
      </c>
      <c r="C41">
        <v>6.91</v>
      </c>
      <c r="D41">
        <v>6.92</v>
      </c>
      <c r="E41">
        <v>6.92</v>
      </c>
      <c r="F41">
        <v>6.92</v>
      </c>
      <c r="G41">
        <v>6.94</v>
      </c>
      <c r="H41">
        <v>6.97</v>
      </c>
      <c r="I41">
        <v>6.96</v>
      </c>
      <c r="K41">
        <f t="shared" si="3"/>
        <v>-0.99999999999997868</v>
      </c>
      <c r="L41">
        <f t="shared" si="4"/>
        <v>-1.9999999999999574</v>
      </c>
      <c r="M41">
        <f t="shared" si="5"/>
        <v>-0.99999999999997868</v>
      </c>
      <c r="N41">
        <f t="shared" si="6"/>
        <v>-2.0000000000000462</v>
      </c>
      <c r="O41">
        <f t="shared" si="7"/>
        <v>-2.0000000000000462</v>
      </c>
      <c r="P41">
        <f t="shared" si="8"/>
        <v>-1.9999999999999574</v>
      </c>
      <c r="Q41">
        <f t="shared" si="9"/>
        <v>-2.0000000000000462</v>
      </c>
      <c r="R41">
        <f t="shared" si="10"/>
        <v>-2.0000000000000462</v>
      </c>
    </row>
    <row r="42" spans="1:18">
      <c r="A42" s="9">
        <v>36766</v>
      </c>
      <c r="B42">
        <v>6.92</v>
      </c>
      <c r="C42">
        <v>6.94</v>
      </c>
      <c r="D42">
        <v>6.94</v>
      </c>
      <c r="E42">
        <v>6.94</v>
      </c>
      <c r="F42">
        <v>6.94</v>
      </c>
      <c r="G42">
        <v>6.96</v>
      </c>
      <c r="H42">
        <v>6.99</v>
      </c>
      <c r="I42">
        <v>6.99</v>
      </c>
      <c r="K42">
        <f t="shared" si="3"/>
        <v>1.9999999999999574</v>
      </c>
      <c r="L42">
        <f t="shared" si="4"/>
        <v>3.0000000000000249</v>
      </c>
      <c r="M42">
        <f t="shared" si="5"/>
        <v>2.0000000000000462</v>
      </c>
      <c r="N42">
        <f t="shared" si="6"/>
        <v>2.0000000000000462</v>
      </c>
      <c r="O42">
        <f t="shared" si="7"/>
        <v>2.0000000000000462</v>
      </c>
      <c r="P42">
        <f t="shared" si="8"/>
        <v>1.9999999999999574</v>
      </c>
      <c r="Q42">
        <f t="shared" si="9"/>
        <v>2.0000000000000462</v>
      </c>
      <c r="R42">
        <f t="shared" si="10"/>
        <v>3.0000000000000249</v>
      </c>
    </row>
    <row r="43" spans="1:18">
      <c r="A43" s="9">
        <v>36767</v>
      </c>
      <c r="B43">
        <v>6.93</v>
      </c>
      <c r="C43">
        <v>6.97</v>
      </c>
      <c r="D43">
        <v>6.97</v>
      </c>
      <c r="E43">
        <v>6.98</v>
      </c>
      <c r="F43">
        <v>6.99</v>
      </c>
      <c r="G43">
        <v>7.02</v>
      </c>
      <c r="H43">
        <v>7.06</v>
      </c>
      <c r="I43">
        <v>7.05</v>
      </c>
      <c r="K43">
        <f t="shared" si="3"/>
        <v>0.99999999999997868</v>
      </c>
      <c r="L43">
        <f t="shared" si="4"/>
        <v>2.9999999999999361</v>
      </c>
      <c r="M43">
        <f t="shared" si="5"/>
        <v>2.9999999999999361</v>
      </c>
      <c r="N43">
        <f t="shared" si="6"/>
        <v>4.0000000000000036</v>
      </c>
      <c r="O43">
        <f t="shared" si="7"/>
        <v>4.9999999999999822</v>
      </c>
      <c r="P43">
        <f t="shared" si="8"/>
        <v>5.9999999999999609</v>
      </c>
      <c r="Q43">
        <f t="shared" si="9"/>
        <v>6.9999999999999396</v>
      </c>
      <c r="R43">
        <f t="shared" si="10"/>
        <v>5.9999999999999609</v>
      </c>
    </row>
    <row r="44" spans="1:18">
      <c r="A44" s="9">
        <v>36768</v>
      </c>
      <c r="B44">
        <v>6.94</v>
      </c>
      <c r="C44">
        <v>6.99</v>
      </c>
      <c r="D44">
        <v>7</v>
      </c>
      <c r="E44">
        <v>7.01</v>
      </c>
      <c r="F44">
        <v>7.03</v>
      </c>
      <c r="G44">
        <v>7.06</v>
      </c>
      <c r="H44">
        <v>7.09</v>
      </c>
      <c r="I44">
        <v>7.08</v>
      </c>
      <c r="K44">
        <f t="shared" si="3"/>
        <v>1.0000000000000675</v>
      </c>
      <c r="L44">
        <f t="shared" si="4"/>
        <v>2.0000000000000462</v>
      </c>
      <c r="M44">
        <f t="shared" si="5"/>
        <v>3.0000000000000249</v>
      </c>
      <c r="N44">
        <f t="shared" si="6"/>
        <v>2.9999999999999361</v>
      </c>
      <c r="O44">
        <f t="shared" si="7"/>
        <v>4.0000000000000036</v>
      </c>
      <c r="P44">
        <f t="shared" si="8"/>
        <v>4.0000000000000036</v>
      </c>
      <c r="Q44">
        <f t="shared" si="9"/>
        <v>3.0000000000000249</v>
      </c>
      <c r="R44">
        <f t="shared" si="10"/>
        <v>3.0000000000000249</v>
      </c>
    </row>
    <row r="45" spans="1:18">
      <c r="A45" s="9">
        <v>36769</v>
      </c>
      <c r="B45">
        <v>6.91</v>
      </c>
      <c r="C45">
        <v>6.93</v>
      </c>
      <c r="D45">
        <v>6.94</v>
      </c>
      <c r="E45">
        <v>6.95</v>
      </c>
      <c r="F45">
        <v>6.96</v>
      </c>
      <c r="G45">
        <v>6.99</v>
      </c>
      <c r="H45">
        <v>7.03</v>
      </c>
      <c r="I45">
        <v>7.03</v>
      </c>
      <c r="K45">
        <f t="shared" si="3"/>
        <v>-3.0000000000000249</v>
      </c>
      <c r="L45">
        <f t="shared" si="4"/>
        <v>-6.0000000000000497</v>
      </c>
      <c r="M45">
        <f t="shared" si="5"/>
        <v>-5.9999999999999609</v>
      </c>
      <c r="N45">
        <f t="shared" si="6"/>
        <v>-5.9999999999999609</v>
      </c>
      <c r="O45">
        <f t="shared" si="7"/>
        <v>-7.0000000000000284</v>
      </c>
      <c r="P45">
        <f t="shared" si="8"/>
        <v>-6.9999999999999396</v>
      </c>
      <c r="Q45">
        <f t="shared" si="9"/>
        <v>-5.9999999999999609</v>
      </c>
      <c r="R45">
        <f t="shared" si="10"/>
        <v>-4.9999999999999822</v>
      </c>
    </row>
    <row r="46" spans="1:18">
      <c r="A46" s="9">
        <v>36770</v>
      </c>
      <c r="B46">
        <v>6.84</v>
      </c>
      <c r="C46">
        <v>6.85</v>
      </c>
      <c r="D46">
        <v>6.85</v>
      </c>
      <c r="E46">
        <v>6.86</v>
      </c>
      <c r="F46">
        <v>6.87</v>
      </c>
      <c r="G46">
        <v>6.91</v>
      </c>
      <c r="H46">
        <v>6.96</v>
      </c>
      <c r="I46">
        <v>6.97</v>
      </c>
      <c r="K46">
        <f t="shared" si="3"/>
        <v>-7.0000000000000284</v>
      </c>
      <c r="L46">
        <f t="shared" si="4"/>
        <v>-8.0000000000000071</v>
      </c>
      <c r="M46">
        <f t="shared" si="5"/>
        <v>-9.0000000000000746</v>
      </c>
      <c r="N46">
        <f t="shared" si="6"/>
        <v>-8.9999999999999858</v>
      </c>
      <c r="O46">
        <f t="shared" si="7"/>
        <v>-8.9999999999999858</v>
      </c>
      <c r="P46">
        <f t="shared" si="8"/>
        <v>-8.0000000000000071</v>
      </c>
      <c r="Q46">
        <f t="shared" si="9"/>
        <v>-7.0000000000000284</v>
      </c>
      <c r="R46">
        <f t="shared" si="10"/>
        <v>-6.0000000000000497</v>
      </c>
    </row>
    <row r="47" spans="1:18">
      <c r="A47" s="9">
        <v>36774</v>
      </c>
      <c r="B47">
        <v>6.83</v>
      </c>
      <c r="C47">
        <v>6.83</v>
      </c>
      <c r="D47">
        <v>6.83</v>
      </c>
      <c r="E47">
        <v>6.84</v>
      </c>
      <c r="F47">
        <v>6.85</v>
      </c>
      <c r="G47">
        <v>6.88</v>
      </c>
      <c r="H47">
        <v>6.93</v>
      </c>
      <c r="I47">
        <v>6.94</v>
      </c>
      <c r="K47">
        <f t="shared" si="3"/>
        <v>-0.99999999999997868</v>
      </c>
      <c r="L47">
        <f t="shared" si="4"/>
        <v>-1.9999999999999574</v>
      </c>
      <c r="M47">
        <f t="shared" si="5"/>
        <v>-1.9999999999999574</v>
      </c>
      <c r="N47">
        <f t="shared" si="6"/>
        <v>-2.0000000000000462</v>
      </c>
      <c r="O47">
        <f t="shared" si="7"/>
        <v>-2.0000000000000462</v>
      </c>
      <c r="P47">
        <f t="shared" si="8"/>
        <v>-3.0000000000000249</v>
      </c>
      <c r="Q47">
        <f t="shared" si="9"/>
        <v>-3.0000000000000249</v>
      </c>
      <c r="R47">
        <f t="shared" si="10"/>
        <v>-2.9999999999999361</v>
      </c>
    </row>
    <row r="48" spans="1:18">
      <c r="A48" s="9">
        <v>36775</v>
      </c>
      <c r="B48">
        <v>6.85</v>
      </c>
      <c r="C48">
        <v>6.86</v>
      </c>
      <c r="D48">
        <v>6.86</v>
      </c>
      <c r="E48">
        <v>6.87</v>
      </c>
      <c r="F48">
        <v>6.88</v>
      </c>
      <c r="G48">
        <v>6.92</v>
      </c>
      <c r="H48">
        <v>6.97</v>
      </c>
      <c r="I48">
        <v>6.99</v>
      </c>
      <c r="K48">
        <f t="shared" si="3"/>
        <v>1.9999999999999574</v>
      </c>
      <c r="L48">
        <f t="shared" si="4"/>
        <v>3.0000000000000249</v>
      </c>
      <c r="M48">
        <f t="shared" si="5"/>
        <v>3.0000000000000249</v>
      </c>
      <c r="N48">
        <f t="shared" si="6"/>
        <v>3.0000000000000249</v>
      </c>
      <c r="O48">
        <f t="shared" si="7"/>
        <v>3.0000000000000249</v>
      </c>
      <c r="P48">
        <f t="shared" si="8"/>
        <v>4.0000000000000036</v>
      </c>
      <c r="Q48">
        <f t="shared" si="9"/>
        <v>4.0000000000000036</v>
      </c>
      <c r="R48">
        <f t="shared" si="10"/>
        <v>4.9999999999999822</v>
      </c>
    </row>
    <row r="49" spans="1:18">
      <c r="A49" s="9">
        <v>36776</v>
      </c>
      <c r="B49">
        <v>6.84</v>
      </c>
      <c r="C49">
        <v>6.85</v>
      </c>
      <c r="D49">
        <v>6.86</v>
      </c>
      <c r="E49">
        <v>6.87</v>
      </c>
      <c r="F49">
        <v>6.89</v>
      </c>
      <c r="G49">
        <v>6.93</v>
      </c>
      <c r="H49">
        <v>6.99</v>
      </c>
      <c r="I49">
        <v>7</v>
      </c>
      <c r="K49">
        <f t="shared" si="3"/>
        <v>-0.99999999999997868</v>
      </c>
      <c r="L49">
        <f t="shared" si="4"/>
        <v>-1.0000000000000675</v>
      </c>
      <c r="M49">
        <f t="shared" si="5"/>
        <v>0</v>
      </c>
      <c r="N49">
        <f t="shared" si="6"/>
        <v>0</v>
      </c>
      <c r="O49">
        <f t="shared" si="7"/>
        <v>0.99999999999997868</v>
      </c>
      <c r="P49">
        <f t="shared" si="8"/>
        <v>0.99999999999997868</v>
      </c>
      <c r="Q49">
        <f t="shared" si="9"/>
        <v>2.0000000000000462</v>
      </c>
      <c r="R49">
        <f t="shared" si="10"/>
        <v>0.99999999999997868</v>
      </c>
    </row>
    <row r="50" spans="1:18">
      <c r="A50" s="9">
        <v>36777</v>
      </c>
      <c r="B50">
        <v>6.84</v>
      </c>
      <c r="C50">
        <v>6.85</v>
      </c>
      <c r="D50">
        <v>6.86</v>
      </c>
      <c r="E50">
        <v>6.88</v>
      </c>
      <c r="F50">
        <v>6.91</v>
      </c>
      <c r="G50">
        <v>6.95</v>
      </c>
      <c r="H50">
        <v>7.02</v>
      </c>
      <c r="I50">
        <v>7.02</v>
      </c>
      <c r="K50">
        <f t="shared" si="3"/>
        <v>0</v>
      </c>
      <c r="L50">
        <f t="shared" si="4"/>
        <v>0</v>
      </c>
      <c r="M50">
        <f t="shared" si="5"/>
        <v>0</v>
      </c>
      <c r="N50">
        <f t="shared" si="6"/>
        <v>0.99999999999997868</v>
      </c>
      <c r="O50">
        <f t="shared" si="7"/>
        <v>2.0000000000000462</v>
      </c>
      <c r="P50">
        <f t="shared" si="8"/>
        <v>2.0000000000000462</v>
      </c>
      <c r="Q50">
        <f t="shared" si="9"/>
        <v>2.9999999999999361</v>
      </c>
      <c r="R50">
        <f t="shared" si="10"/>
        <v>1.9999999999999574</v>
      </c>
    </row>
    <row r="51" spans="1:18">
      <c r="A51" s="9">
        <v>36780</v>
      </c>
      <c r="B51">
        <v>6.85</v>
      </c>
      <c r="C51">
        <v>6.87</v>
      </c>
      <c r="D51">
        <v>6.88</v>
      </c>
      <c r="E51">
        <v>6.91</v>
      </c>
      <c r="F51">
        <v>6.93</v>
      </c>
      <c r="G51">
        <v>6.98</v>
      </c>
      <c r="H51">
        <v>7.04</v>
      </c>
      <c r="I51">
        <v>7.03</v>
      </c>
      <c r="K51">
        <f t="shared" si="3"/>
        <v>0.99999999999997868</v>
      </c>
      <c r="L51">
        <f t="shared" si="4"/>
        <v>2.0000000000000462</v>
      </c>
      <c r="M51">
        <f t="shared" si="5"/>
        <v>1.9999999999999574</v>
      </c>
      <c r="N51">
        <f t="shared" si="6"/>
        <v>3.0000000000000249</v>
      </c>
      <c r="O51">
        <f t="shared" si="7"/>
        <v>1.9999999999999574</v>
      </c>
      <c r="P51">
        <f t="shared" si="8"/>
        <v>3.0000000000000249</v>
      </c>
      <c r="Q51">
        <f t="shared" si="9"/>
        <v>2.0000000000000462</v>
      </c>
      <c r="R51">
        <f t="shared" si="10"/>
        <v>1.0000000000000675</v>
      </c>
    </row>
    <row r="52" spans="1:18">
      <c r="A52" s="9">
        <v>36781</v>
      </c>
      <c r="B52">
        <v>6.84</v>
      </c>
      <c r="C52">
        <v>6.86</v>
      </c>
      <c r="D52">
        <v>6.88</v>
      </c>
      <c r="E52">
        <v>6.9</v>
      </c>
      <c r="F52">
        <v>6.93</v>
      </c>
      <c r="G52">
        <v>6.98</v>
      </c>
      <c r="H52">
        <v>7.05</v>
      </c>
      <c r="I52">
        <v>7.06</v>
      </c>
      <c r="K52">
        <f t="shared" si="3"/>
        <v>-0.99999999999997868</v>
      </c>
      <c r="L52">
        <f t="shared" si="4"/>
        <v>-0.99999999999997868</v>
      </c>
      <c r="M52">
        <f t="shared" si="5"/>
        <v>0</v>
      </c>
      <c r="N52">
        <f t="shared" si="6"/>
        <v>-0.99999999999997868</v>
      </c>
      <c r="O52">
        <f t="shared" si="7"/>
        <v>0</v>
      </c>
      <c r="P52">
        <f t="shared" si="8"/>
        <v>0</v>
      </c>
      <c r="Q52">
        <f t="shared" si="9"/>
        <v>0.99999999999997868</v>
      </c>
      <c r="R52">
        <f t="shared" si="10"/>
        <v>2.9999999999999361</v>
      </c>
    </row>
    <row r="53" spans="1:18">
      <c r="A53" s="9">
        <v>36782</v>
      </c>
      <c r="B53">
        <v>6.82</v>
      </c>
      <c r="C53">
        <v>6.82</v>
      </c>
      <c r="D53">
        <v>6.83</v>
      </c>
      <c r="E53">
        <v>6.85</v>
      </c>
      <c r="F53">
        <v>6.87</v>
      </c>
      <c r="G53">
        <v>6.93</v>
      </c>
      <c r="H53">
        <v>6.99</v>
      </c>
      <c r="I53">
        <v>7.03</v>
      </c>
      <c r="K53">
        <f t="shared" si="3"/>
        <v>-1.9999999999999574</v>
      </c>
      <c r="L53">
        <f t="shared" si="4"/>
        <v>-4.0000000000000036</v>
      </c>
      <c r="M53">
        <f t="shared" si="5"/>
        <v>-4.9999999999999822</v>
      </c>
      <c r="N53">
        <f t="shared" si="6"/>
        <v>-5.0000000000000711</v>
      </c>
      <c r="O53">
        <f t="shared" si="7"/>
        <v>-5.9999999999999609</v>
      </c>
      <c r="P53">
        <f t="shared" si="8"/>
        <v>-5.0000000000000711</v>
      </c>
      <c r="Q53">
        <f t="shared" si="9"/>
        <v>-5.9999999999999609</v>
      </c>
      <c r="R53">
        <f t="shared" si="10"/>
        <v>-2.9999999999999361</v>
      </c>
    </row>
    <row r="54" spans="1:18">
      <c r="A54" s="9">
        <v>36783</v>
      </c>
      <c r="B54">
        <v>6.81</v>
      </c>
      <c r="C54">
        <v>6.8</v>
      </c>
      <c r="D54">
        <v>6.8</v>
      </c>
      <c r="E54">
        <v>6.82</v>
      </c>
      <c r="F54">
        <v>6.84</v>
      </c>
      <c r="G54">
        <v>6.9</v>
      </c>
      <c r="H54">
        <v>6.96</v>
      </c>
      <c r="I54">
        <v>7.02</v>
      </c>
      <c r="K54">
        <f t="shared" si="3"/>
        <v>-1.0000000000000675</v>
      </c>
      <c r="L54">
        <f t="shared" si="4"/>
        <v>-2.0000000000000462</v>
      </c>
      <c r="M54">
        <f t="shared" si="5"/>
        <v>-3.0000000000000249</v>
      </c>
      <c r="N54">
        <f t="shared" si="6"/>
        <v>-2.9999999999999361</v>
      </c>
      <c r="O54">
        <f t="shared" si="7"/>
        <v>-3.0000000000000249</v>
      </c>
      <c r="P54">
        <f t="shared" si="8"/>
        <v>-2.9999999999999361</v>
      </c>
      <c r="Q54">
        <f t="shared" si="9"/>
        <v>-3.0000000000000249</v>
      </c>
      <c r="R54">
        <f t="shared" si="10"/>
        <v>-1.0000000000000675</v>
      </c>
    </row>
    <row r="55" spans="1:18">
      <c r="A55" s="9">
        <v>36784</v>
      </c>
      <c r="B55">
        <v>6.79</v>
      </c>
      <c r="C55">
        <v>6.78</v>
      </c>
      <c r="D55">
        <v>6.79</v>
      </c>
      <c r="E55">
        <v>6.82</v>
      </c>
      <c r="F55">
        <v>6.86</v>
      </c>
      <c r="G55">
        <v>6.94</v>
      </c>
      <c r="H55">
        <v>7.03</v>
      </c>
      <c r="I55">
        <v>7.11</v>
      </c>
      <c r="K55">
        <f t="shared" si="3"/>
        <v>-1.9999999999999574</v>
      </c>
      <c r="L55">
        <f t="shared" si="4"/>
        <v>-1.9999999999999574</v>
      </c>
      <c r="M55">
        <f t="shared" si="5"/>
        <v>-0.99999999999997868</v>
      </c>
      <c r="N55">
        <f t="shared" si="6"/>
        <v>0</v>
      </c>
      <c r="O55">
        <f t="shared" si="7"/>
        <v>2.0000000000000462</v>
      </c>
      <c r="P55">
        <f t="shared" si="8"/>
        <v>4.0000000000000036</v>
      </c>
      <c r="Q55">
        <f t="shared" si="9"/>
        <v>7.0000000000000284</v>
      </c>
      <c r="R55">
        <f t="shared" si="10"/>
        <v>9.0000000000000746</v>
      </c>
    </row>
    <row r="56" spans="1:18">
      <c r="A56" s="9">
        <v>36787</v>
      </c>
      <c r="B56">
        <v>6.77</v>
      </c>
      <c r="C56">
        <v>6.76</v>
      </c>
      <c r="D56">
        <v>6.77</v>
      </c>
      <c r="E56">
        <v>6.81</v>
      </c>
      <c r="F56">
        <v>6.86</v>
      </c>
      <c r="G56">
        <v>6.95</v>
      </c>
      <c r="H56">
        <v>7.05</v>
      </c>
      <c r="I56">
        <v>7.11</v>
      </c>
      <c r="K56">
        <f t="shared" si="3"/>
        <v>-2.0000000000000462</v>
      </c>
      <c r="L56">
        <f t="shared" si="4"/>
        <v>-2.0000000000000462</v>
      </c>
      <c r="M56">
        <f t="shared" si="5"/>
        <v>-2.0000000000000462</v>
      </c>
      <c r="N56">
        <f t="shared" si="6"/>
        <v>-1.0000000000000675</v>
      </c>
      <c r="O56">
        <f t="shared" si="7"/>
        <v>0</v>
      </c>
      <c r="P56">
        <f t="shared" si="8"/>
        <v>0.99999999999997868</v>
      </c>
      <c r="Q56">
        <f t="shared" si="9"/>
        <v>1.9999999999999574</v>
      </c>
      <c r="R56">
        <f t="shared" si="10"/>
        <v>0</v>
      </c>
    </row>
    <row r="57" spans="1:18">
      <c r="A57" s="9">
        <v>36788</v>
      </c>
      <c r="B57">
        <v>6.77</v>
      </c>
      <c r="C57">
        <v>6.75</v>
      </c>
      <c r="D57">
        <v>6.77</v>
      </c>
      <c r="E57">
        <v>6.81</v>
      </c>
      <c r="F57">
        <v>6.85</v>
      </c>
      <c r="G57">
        <v>6.94</v>
      </c>
      <c r="H57">
        <v>7.04</v>
      </c>
      <c r="I57">
        <v>7.12</v>
      </c>
      <c r="K57">
        <f t="shared" si="3"/>
        <v>0</v>
      </c>
      <c r="L57">
        <f t="shared" si="4"/>
        <v>-0.99999999999997868</v>
      </c>
      <c r="M57">
        <f t="shared" si="5"/>
        <v>0</v>
      </c>
      <c r="N57">
        <f t="shared" si="6"/>
        <v>0</v>
      </c>
      <c r="O57">
        <f t="shared" si="7"/>
        <v>-1.0000000000000675</v>
      </c>
      <c r="P57">
        <f t="shared" si="8"/>
        <v>-0.99999999999997868</v>
      </c>
      <c r="Q57">
        <f t="shared" si="9"/>
        <v>-0.99999999999997868</v>
      </c>
      <c r="R57">
        <f t="shared" si="10"/>
        <v>0.99999999999997868</v>
      </c>
    </row>
    <row r="58" spans="1:18">
      <c r="A58" s="9">
        <v>36789</v>
      </c>
      <c r="B58">
        <v>6.77</v>
      </c>
      <c r="C58">
        <v>6.75</v>
      </c>
      <c r="D58">
        <v>6.77</v>
      </c>
      <c r="E58">
        <v>6.81</v>
      </c>
      <c r="F58">
        <v>6.85</v>
      </c>
      <c r="G58">
        <v>6.94</v>
      </c>
      <c r="H58">
        <v>7.04</v>
      </c>
      <c r="I58">
        <v>7.12</v>
      </c>
      <c r="K58">
        <f t="shared" si="3"/>
        <v>0</v>
      </c>
      <c r="L58">
        <f t="shared" si="4"/>
        <v>0</v>
      </c>
      <c r="M58">
        <f t="shared" si="5"/>
        <v>0</v>
      </c>
      <c r="N58">
        <f t="shared" si="6"/>
        <v>0</v>
      </c>
      <c r="O58">
        <f t="shared" si="7"/>
        <v>0</v>
      </c>
      <c r="P58">
        <f t="shared" si="8"/>
        <v>0</v>
      </c>
      <c r="Q58">
        <f t="shared" si="9"/>
        <v>0</v>
      </c>
      <c r="R58">
        <f t="shared" si="10"/>
        <v>0</v>
      </c>
    </row>
    <row r="59" spans="1:18">
      <c r="A59" s="9">
        <v>36790</v>
      </c>
      <c r="B59">
        <v>6.78</v>
      </c>
      <c r="C59">
        <v>6.79</v>
      </c>
      <c r="D59">
        <v>6.82</v>
      </c>
      <c r="E59">
        <v>6.86</v>
      </c>
      <c r="F59">
        <v>6.91</v>
      </c>
      <c r="G59">
        <v>6.99</v>
      </c>
      <c r="H59">
        <v>7.07</v>
      </c>
      <c r="I59">
        <v>7.13</v>
      </c>
      <c r="K59">
        <f t="shared" si="3"/>
        <v>1.0000000000000675</v>
      </c>
      <c r="L59">
        <f t="shared" si="4"/>
        <v>4.0000000000000036</v>
      </c>
      <c r="M59">
        <f t="shared" si="5"/>
        <v>5.0000000000000711</v>
      </c>
      <c r="N59">
        <f t="shared" si="6"/>
        <v>5.0000000000000711</v>
      </c>
      <c r="O59">
        <f t="shared" si="7"/>
        <v>6.0000000000000497</v>
      </c>
      <c r="P59">
        <f t="shared" si="8"/>
        <v>4.9999999999999822</v>
      </c>
      <c r="Q59">
        <f t="shared" si="9"/>
        <v>3.0000000000000249</v>
      </c>
      <c r="R59">
        <f t="shared" si="10"/>
        <v>0.99999999999997868</v>
      </c>
    </row>
    <row r="60" spans="1:18">
      <c r="A60" s="9">
        <v>36791</v>
      </c>
      <c r="B60">
        <v>6.74</v>
      </c>
      <c r="C60">
        <v>6.73</v>
      </c>
      <c r="D60">
        <v>6.76</v>
      </c>
      <c r="E60">
        <v>6.8</v>
      </c>
      <c r="F60">
        <v>6.84</v>
      </c>
      <c r="G60">
        <v>6.92</v>
      </c>
      <c r="H60">
        <v>7</v>
      </c>
      <c r="I60">
        <v>7.08</v>
      </c>
      <c r="K60">
        <f t="shared" si="3"/>
        <v>-4.0000000000000036</v>
      </c>
      <c r="L60">
        <f t="shared" si="4"/>
        <v>-5.9999999999999609</v>
      </c>
      <c r="M60">
        <f t="shared" si="5"/>
        <v>-6.0000000000000497</v>
      </c>
      <c r="N60">
        <f t="shared" si="6"/>
        <v>-6.0000000000000497</v>
      </c>
      <c r="O60">
        <f t="shared" si="7"/>
        <v>-7.0000000000000284</v>
      </c>
      <c r="P60">
        <f t="shared" si="8"/>
        <v>-7.0000000000000284</v>
      </c>
      <c r="Q60">
        <f t="shared" si="9"/>
        <v>-7.0000000000000284</v>
      </c>
      <c r="R60">
        <f t="shared" si="10"/>
        <v>-4.9999999999999822</v>
      </c>
    </row>
    <row r="61" spans="1:18">
      <c r="A61" s="9">
        <v>36794</v>
      </c>
      <c r="B61">
        <v>6.78</v>
      </c>
      <c r="C61">
        <v>6.78</v>
      </c>
      <c r="D61">
        <v>6.8</v>
      </c>
      <c r="E61">
        <v>6.82</v>
      </c>
      <c r="F61">
        <v>6.86</v>
      </c>
      <c r="G61">
        <v>6.93</v>
      </c>
      <c r="H61">
        <v>7</v>
      </c>
      <c r="I61">
        <v>7.04</v>
      </c>
      <c r="K61">
        <f t="shared" si="3"/>
        <v>4.0000000000000036</v>
      </c>
      <c r="L61">
        <f t="shared" si="4"/>
        <v>4.9999999999999822</v>
      </c>
      <c r="M61">
        <f t="shared" si="5"/>
        <v>4.0000000000000036</v>
      </c>
      <c r="N61">
        <f t="shared" si="6"/>
        <v>2.0000000000000462</v>
      </c>
      <c r="O61">
        <f t="shared" si="7"/>
        <v>2.0000000000000462</v>
      </c>
      <c r="P61">
        <f t="shared" si="8"/>
        <v>0.99999999999997868</v>
      </c>
      <c r="Q61">
        <f t="shared" si="9"/>
        <v>0</v>
      </c>
      <c r="R61">
        <f t="shared" si="10"/>
        <v>-4.0000000000000036</v>
      </c>
    </row>
    <row r="62" spans="1:18">
      <c r="A62" s="9">
        <v>36795</v>
      </c>
      <c r="B62">
        <v>6.78</v>
      </c>
      <c r="C62">
        <v>6.76</v>
      </c>
      <c r="D62">
        <v>6.78</v>
      </c>
      <c r="E62">
        <v>6.81</v>
      </c>
      <c r="F62">
        <v>6.84</v>
      </c>
      <c r="G62">
        <v>6.91</v>
      </c>
      <c r="H62">
        <v>6.98</v>
      </c>
      <c r="I62">
        <v>7.02</v>
      </c>
      <c r="K62">
        <f t="shared" si="3"/>
        <v>0</v>
      </c>
      <c r="L62">
        <f t="shared" si="4"/>
        <v>-2.0000000000000462</v>
      </c>
      <c r="M62">
        <f t="shared" si="5"/>
        <v>-1.9999999999999574</v>
      </c>
      <c r="N62">
        <f t="shared" si="6"/>
        <v>-1.0000000000000675</v>
      </c>
      <c r="O62">
        <f t="shared" si="7"/>
        <v>-2.0000000000000462</v>
      </c>
      <c r="P62">
        <f t="shared" si="8"/>
        <v>-1.9999999999999574</v>
      </c>
      <c r="Q62">
        <f t="shared" si="9"/>
        <v>-1.9999999999999574</v>
      </c>
      <c r="R62">
        <f t="shared" si="10"/>
        <v>-2.0000000000000462</v>
      </c>
    </row>
    <row r="63" spans="1:18">
      <c r="A63" s="9">
        <v>36796</v>
      </c>
      <c r="B63">
        <v>6.77</v>
      </c>
      <c r="C63">
        <v>6.75</v>
      </c>
      <c r="D63">
        <v>6.77</v>
      </c>
      <c r="E63">
        <v>6.8</v>
      </c>
      <c r="F63">
        <v>6.83</v>
      </c>
      <c r="G63">
        <v>6.89</v>
      </c>
      <c r="H63">
        <v>6.96</v>
      </c>
      <c r="I63">
        <v>7.02</v>
      </c>
      <c r="K63">
        <f t="shared" si="3"/>
        <v>-1.0000000000000675</v>
      </c>
      <c r="L63">
        <f t="shared" si="4"/>
        <v>-0.99999999999997868</v>
      </c>
      <c r="M63">
        <f t="shared" si="5"/>
        <v>-1.0000000000000675</v>
      </c>
      <c r="N63">
        <f t="shared" si="6"/>
        <v>-0.99999999999997868</v>
      </c>
      <c r="O63">
        <f t="shared" si="7"/>
        <v>-0.99999999999997868</v>
      </c>
      <c r="P63">
        <f t="shared" si="8"/>
        <v>-2.0000000000000462</v>
      </c>
      <c r="Q63">
        <f t="shared" si="9"/>
        <v>-2.0000000000000462</v>
      </c>
      <c r="R63">
        <f t="shared" si="10"/>
        <v>0</v>
      </c>
    </row>
    <row r="64" spans="1:18">
      <c r="A64" s="9">
        <v>36797</v>
      </c>
      <c r="B64">
        <v>6.78</v>
      </c>
      <c r="C64">
        <v>6.74</v>
      </c>
      <c r="D64">
        <v>6.75</v>
      </c>
      <c r="E64">
        <v>6.78</v>
      </c>
      <c r="F64">
        <v>6.81</v>
      </c>
      <c r="G64">
        <v>6.88</v>
      </c>
      <c r="H64">
        <v>6.95</v>
      </c>
      <c r="I64">
        <v>7.02</v>
      </c>
      <c r="K64">
        <f t="shared" si="3"/>
        <v>1.0000000000000675</v>
      </c>
      <c r="L64">
        <f t="shared" si="4"/>
        <v>-0.99999999999997868</v>
      </c>
      <c r="M64">
        <f t="shared" si="5"/>
        <v>-1.9999999999999574</v>
      </c>
      <c r="N64">
        <f t="shared" si="6"/>
        <v>-1.9999999999999574</v>
      </c>
      <c r="O64">
        <f t="shared" si="7"/>
        <v>-2.0000000000000462</v>
      </c>
      <c r="P64">
        <f t="shared" si="8"/>
        <v>-0.99999999999997868</v>
      </c>
      <c r="Q64">
        <f t="shared" si="9"/>
        <v>-0.99999999999997868</v>
      </c>
      <c r="R64">
        <f t="shared" si="10"/>
        <v>0</v>
      </c>
    </row>
    <row r="65" spans="1:18">
      <c r="A65" s="9">
        <v>36798</v>
      </c>
      <c r="B65">
        <v>6.75</v>
      </c>
      <c r="C65">
        <v>6.69</v>
      </c>
      <c r="D65">
        <v>6.7</v>
      </c>
      <c r="E65">
        <v>6.72</v>
      </c>
      <c r="F65">
        <v>6.75</v>
      </c>
      <c r="G65">
        <v>6.81</v>
      </c>
      <c r="H65">
        <v>6.89</v>
      </c>
      <c r="I65">
        <v>6.97</v>
      </c>
      <c r="K65">
        <f t="shared" si="3"/>
        <v>-3.0000000000000249</v>
      </c>
      <c r="L65">
        <f t="shared" si="4"/>
        <v>-4.9999999999999822</v>
      </c>
      <c r="M65">
        <f t="shared" si="5"/>
        <v>-4.9999999999999822</v>
      </c>
      <c r="N65">
        <f t="shared" si="6"/>
        <v>-6.0000000000000497</v>
      </c>
      <c r="O65">
        <f t="shared" si="7"/>
        <v>-5.9999999999999609</v>
      </c>
      <c r="P65">
        <f t="shared" si="8"/>
        <v>-7.0000000000000284</v>
      </c>
      <c r="Q65">
        <f t="shared" si="9"/>
        <v>-6.0000000000000497</v>
      </c>
      <c r="R65">
        <f t="shared" si="10"/>
        <v>-4.9999999999999822</v>
      </c>
    </row>
    <row r="66" spans="1:18">
      <c r="A66" s="9">
        <v>36801</v>
      </c>
      <c r="B66">
        <v>6.77</v>
      </c>
      <c r="C66">
        <v>6.71</v>
      </c>
      <c r="D66">
        <v>6.71</v>
      </c>
      <c r="E66">
        <v>6.74</v>
      </c>
      <c r="F66">
        <v>6.77</v>
      </c>
      <c r="G66">
        <v>6.85</v>
      </c>
      <c r="H66">
        <v>6.93</v>
      </c>
      <c r="I66">
        <v>7.02</v>
      </c>
      <c r="K66">
        <f t="shared" si="3"/>
        <v>1.9999999999999574</v>
      </c>
      <c r="L66">
        <f t="shared" si="4"/>
        <v>1.9999999999999574</v>
      </c>
      <c r="M66">
        <f t="shared" si="5"/>
        <v>0.99999999999997868</v>
      </c>
      <c r="N66">
        <f t="shared" si="6"/>
        <v>2.0000000000000462</v>
      </c>
      <c r="O66">
        <f t="shared" si="7"/>
        <v>1.9999999999999574</v>
      </c>
      <c r="P66">
        <f t="shared" si="8"/>
        <v>4.0000000000000036</v>
      </c>
      <c r="Q66">
        <f t="shared" si="9"/>
        <v>4.0000000000000036</v>
      </c>
      <c r="R66">
        <f t="shared" si="10"/>
        <v>4.9999999999999822</v>
      </c>
    </row>
    <row r="67" spans="1:18">
      <c r="A67" s="9">
        <v>36802</v>
      </c>
      <c r="B67">
        <v>6.75</v>
      </c>
      <c r="C67">
        <v>6.68</v>
      </c>
      <c r="D67">
        <v>6.69</v>
      </c>
      <c r="E67">
        <v>6.72</v>
      </c>
      <c r="F67">
        <v>6.75</v>
      </c>
      <c r="G67">
        <v>6.82</v>
      </c>
      <c r="H67">
        <v>6.9</v>
      </c>
      <c r="I67">
        <v>6.99</v>
      </c>
      <c r="K67">
        <f t="shared" si="3"/>
        <v>-1.9999999999999574</v>
      </c>
      <c r="L67">
        <f t="shared" si="4"/>
        <v>-3.0000000000000249</v>
      </c>
      <c r="M67">
        <f t="shared" si="5"/>
        <v>-1.9999999999999574</v>
      </c>
      <c r="N67">
        <f t="shared" si="6"/>
        <v>-2.0000000000000462</v>
      </c>
      <c r="O67">
        <f t="shared" si="7"/>
        <v>-1.9999999999999574</v>
      </c>
      <c r="P67">
        <f t="shared" si="8"/>
        <v>-2.9999999999999361</v>
      </c>
      <c r="Q67">
        <f t="shared" si="9"/>
        <v>-2.9999999999999361</v>
      </c>
      <c r="R67">
        <f t="shared" si="10"/>
        <v>-2.9999999999999361</v>
      </c>
    </row>
    <row r="68" spans="1:18">
      <c r="A68" s="9">
        <v>36803</v>
      </c>
      <c r="B68">
        <v>6.78</v>
      </c>
      <c r="C68">
        <v>6.74</v>
      </c>
      <c r="D68">
        <v>6.75</v>
      </c>
      <c r="E68">
        <v>6.78</v>
      </c>
      <c r="F68">
        <v>6.81</v>
      </c>
      <c r="G68">
        <v>6.88</v>
      </c>
      <c r="H68">
        <v>6.96</v>
      </c>
      <c r="I68">
        <v>7.02</v>
      </c>
      <c r="K68">
        <f t="shared" si="3"/>
        <v>3.0000000000000249</v>
      </c>
      <c r="L68">
        <f t="shared" si="4"/>
        <v>6.0000000000000497</v>
      </c>
      <c r="M68">
        <f t="shared" si="5"/>
        <v>5.9999999999999609</v>
      </c>
      <c r="N68">
        <f t="shared" si="6"/>
        <v>6.0000000000000497</v>
      </c>
      <c r="O68">
        <f t="shared" si="7"/>
        <v>5.9999999999999609</v>
      </c>
      <c r="P68">
        <f t="shared" si="8"/>
        <v>5.9999999999999609</v>
      </c>
      <c r="Q68">
        <f t="shared" si="9"/>
        <v>5.9999999999999609</v>
      </c>
      <c r="R68">
        <f t="shared" si="10"/>
        <v>2.9999999999999361</v>
      </c>
    </row>
    <row r="69" spans="1:18">
      <c r="A69" s="9">
        <v>36804</v>
      </c>
      <c r="B69">
        <v>6.78</v>
      </c>
      <c r="C69">
        <v>6.75</v>
      </c>
      <c r="D69">
        <v>6.77</v>
      </c>
      <c r="E69">
        <v>6.81</v>
      </c>
      <c r="F69">
        <v>6.85</v>
      </c>
      <c r="G69">
        <v>6.92</v>
      </c>
      <c r="H69">
        <v>7.01</v>
      </c>
      <c r="I69">
        <v>7.05</v>
      </c>
      <c r="K69">
        <f t="shared" ref="K69:K132" si="11">(B69-B68)*100</f>
        <v>0</v>
      </c>
      <c r="L69">
        <f t="shared" ref="L69:L132" si="12">(C69-C68)*100</f>
        <v>0.99999999999997868</v>
      </c>
      <c r="M69">
        <f t="shared" ref="M69:M132" si="13">(D69-D68)*100</f>
        <v>1.9999999999999574</v>
      </c>
      <c r="N69">
        <f t="shared" ref="N69:N132" si="14">(E69-E68)*100</f>
        <v>2.9999999999999361</v>
      </c>
      <c r="O69">
        <f t="shared" ref="O69:O132" si="15">(F69-F68)*100</f>
        <v>4.0000000000000036</v>
      </c>
      <c r="P69">
        <f t="shared" ref="P69:P132" si="16">(G69-G68)*100</f>
        <v>4.0000000000000036</v>
      </c>
      <c r="Q69">
        <f t="shared" ref="Q69:Q132" si="17">(H69-H68)*100</f>
        <v>4.9999999999999822</v>
      </c>
      <c r="R69">
        <f t="shared" ref="R69:R132" si="18">(I69-I68)*100</f>
        <v>3.0000000000000249</v>
      </c>
    </row>
    <row r="70" spans="1:18">
      <c r="A70" s="9">
        <v>36805</v>
      </c>
      <c r="B70">
        <v>6.79</v>
      </c>
      <c r="C70">
        <v>6.76</v>
      </c>
      <c r="D70">
        <v>6.78</v>
      </c>
      <c r="E70">
        <v>6.81</v>
      </c>
      <c r="F70">
        <v>6.85</v>
      </c>
      <c r="G70">
        <v>6.92</v>
      </c>
      <c r="H70">
        <v>7.01</v>
      </c>
      <c r="I70">
        <v>7.04</v>
      </c>
      <c r="K70">
        <f t="shared" si="11"/>
        <v>0.99999999999997868</v>
      </c>
      <c r="L70">
        <f t="shared" si="12"/>
        <v>0.99999999999997868</v>
      </c>
      <c r="M70">
        <f t="shared" si="13"/>
        <v>1.0000000000000675</v>
      </c>
      <c r="N70">
        <f t="shared" si="14"/>
        <v>0</v>
      </c>
      <c r="O70">
        <f t="shared" si="15"/>
        <v>0</v>
      </c>
      <c r="P70">
        <f t="shared" si="16"/>
        <v>0</v>
      </c>
      <c r="Q70">
        <f t="shared" si="17"/>
        <v>0</v>
      </c>
      <c r="R70">
        <f t="shared" si="18"/>
        <v>-0.99999999999997868</v>
      </c>
    </row>
    <row r="71" spans="1:18">
      <c r="A71" s="9">
        <v>36809</v>
      </c>
      <c r="B71">
        <v>6.78</v>
      </c>
      <c r="C71">
        <v>6.76</v>
      </c>
      <c r="D71">
        <v>6.78</v>
      </c>
      <c r="E71">
        <v>6.81</v>
      </c>
      <c r="F71">
        <v>6.85</v>
      </c>
      <c r="G71">
        <v>6.92</v>
      </c>
      <c r="H71">
        <v>7</v>
      </c>
      <c r="I71">
        <v>7.05</v>
      </c>
      <c r="K71">
        <f t="shared" si="11"/>
        <v>-0.99999999999997868</v>
      </c>
      <c r="L71">
        <f t="shared" si="12"/>
        <v>0</v>
      </c>
      <c r="M71">
        <f t="shared" si="13"/>
        <v>0</v>
      </c>
      <c r="N71">
        <f t="shared" si="14"/>
        <v>0</v>
      </c>
      <c r="O71">
        <f t="shared" si="15"/>
        <v>0</v>
      </c>
      <c r="P71">
        <f t="shared" si="16"/>
        <v>0</v>
      </c>
      <c r="Q71">
        <f t="shared" si="17"/>
        <v>-0.99999999999997868</v>
      </c>
      <c r="R71">
        <f t="shared" si="18"/>
        <v>0.99999999999997868</v>
      </c>
    </row>
    <row r="72" spans="1:18">
      <c r="A72" s="9">
        <v>36810</v>
      </c>
      <c r="B72">
        <v>6.74</v>
      </c>
      <c r="C72">
        <v>6.69</v>
      </c>
      <c r="D72">
        <v>6.71</v>
      </c>
      <c r="E72">
        <v>6.75</v>
      </c>
      <c r="F72">
        <v>6.79</v>
      </c>
      <c r="G72">
        <v>6.87</v>
      </c>
      <c r="H72">
        <v>6.97</v>
      </c>
      <c r="I72">
        <v>7.04</v>
      </c>
      <c r="K72">
        <f t="shared" si="11"/>
        <v>-4.0000000000000036</v>
      </c>
      <c r="L72">
        <f t="shared" si="12"/>
        <v>-6.9999999999999396</v>
      </c>
      <c r="M72">
        <f t="shared" si="13"/>
        <v>-7.0000000000000284</v>
      </c>
      <c r="N72">
        <f t="shared" si="14"/>
        <v>-5.9999999999999609</v>
      </c>
      <c r="O72">
        <f t="shared" si="15"/>
        <v>-5.9999999999999609</v>
      </c>
      <c r="P72">
        <f t="shared" si="16"/>
        <v>-4.9999999999999822</v>
      </c>
      <c r="Q72">
        <f t="shared" si="17"/>
        <v>-3.0000000000000249</v>
      </c>
      <c r="R72">
        <f t="shared" si="18"/>
        <v>-0.99999999999997868</v>
      </c>
    </row>
    <row r="73" spans="1:18">
      <c r="A73" s="9">
        <v>36811</v>
      </c>
      <c r="B73">
        <v>6.71</v>
      </c>
      <c r="C73">
        <v>6.66</v>
      </c>
      <c r="D73">
        <v>6.68</v>
      </c>
      <c r="E73">
        <v>6.72</v>
      </c>
      <c r="F73">
        <v>6.76</v>
      </c>
      <c r="G73">
        <v>6.84</v>
      </c>
      <c r="H73">
        <v>6.95</v>
      </c>
      <c r="I73">
        <v>7.03</v>
      </c>
      <c r="K73">
        <f t="shared" si="11"/>
        <v>-3.0000000000000249</v>
      </c>
      <c r="L73">
        <f t="shared" si="12"/>
        <v>-3.0000000000000249</v>
      </c>
      <c r="M73">
        <f t="shared" si="13"/>
        <v>-3.0000000000000249</v>
      </c>
      <c r="N73">
        <f t="shared" si="14"/>
        <v>-3.0000000000000249</v>
      </c>
      <c r="O73">
        <f t="shared" si="15"/>
        <v>-3.0000000000000249</v>
      </c>
      <c r="P73">
        <f t="shared" si="16"/>
        <v>-3.0000000000000249</v>
      </c>
      <c r="Q73">
        <f t="shared" si="17"/>
        <v>-1.9999999999999574</v>
      </c>
      <c r="R73">
        <f t="shared" si="18"/>
        <v>-0.99999999999997868</v>
      </c>
    </row>
    <row r="74" spans="1:18">
      <c r="A74" s="9">
        <v>36812</v>
      </c>
      <c r="B74">
        <v>6.68</v>
      </c>
      <c r="C74">
        <v>6.63</v>
      </c>
      <c r="D74">
        <v>6.65</v>
      </c>
      <c r="E74">
        <v>6.7</v>
      </c>
      <c r="F74">
        <v>6.74</v>
      </c>
      <c r="G74">
        <v>6.83</v>
      </c>
      <c r="H74">
        <v>6.93</v>
      </c>
      <c r="I74">
        <v>7.01</v>
      </c>
      <c r="K74">
        <f t="shared" si="11"/>
        <v>-3.0000000000000249</v>
      </c>
      <c r="L74">
        <f t="shared" si="12"/>
        <v>-3.0000000000000249</v>
      </c>
      <c r="M74">
        <f t="shared" si="13"/>
        <v>-2.9999999999999361</v>
      </c>
      <c r="N74">
        <f t="shared" si="14"/>
        <v>-1.9999999999999574</v>
      </c>
      <c r="O74">
        <f t="shared" si="15"/>
        <v>-1.9999999999999574</v>
      </c>
      <c r="P74">
        <f t="shared" si="16"/>
        <v>-0.99999999999997868</v>
      </c>
      <c r="Q74">
        <f t="shared" si="17"/>
        <v>-2.0000000000000462</v>
      </c>
      <c r="R74">
        <f t="shared" si="18"/>
        <v>-2.0000000000000462</v>
      </c>
    </row>
    <row r="75" spans="1:18">
      <c r="A75" s="9">
        <v>36815</v>
      </c>
      <c r="B75">
        <v>6.69</v>
      </c>
      <c r="C75">
        <v>6.65</v>
      </c>
      <c r="D75">
        <v>6.67</v>
      </c>
      <c r="E75">
        <v>6.7</v>
      </c>
      <c r="F75">
        <v>6.74</v>
      </c>
      <c r="G75">
        <v>6.82</v>
      </c>
      <c r="H75">
        <v>6.92</v>
      </c>
      <c r="I75">
        <v>7</v>
      </c>
      <c r="K75">
        <f t="shared" si="11"/>
        <v>1.0000000000000675</v>
      </c>
      <c r="L75">
        <f t="shared" si="12"/>
        <v>2.0000000000000462</v>
      </c>
      <c r="M75">
        <f t="shared" si="13"/>
        <v>1.9999999999999574</v>
      </c>
      <c r="N75">
        <f t="shared" si="14"/>
        <v>0</v>
      </c>
      <c r="O75">
        <f t="shared" si="15"/>
        <v>0</v>
      </c>
      <c r="P75">
        <f t="shared" si="16"/>
        <v>-0.99999999999997868</v>
      </c>
      <c r="Q75">
        <f t="shared" si="17"/>
        <v>-0.99999999999997868</v>
      </c>
      <c r="R75">
        <f t="shared" si="18"/>
        <v>-0.99999999999997868</v>
      </c>
    </row>
    <row r="76" spans="1:18">
      <c r="A76" s="9">
        <v>36816</v>
      </c>
      <c r="B76">
        <v>6.68</v>
      </c>
      <c r="C76">
        <v>6.63</v>
      </c>
      <c r="D76">
        <v>6.65</v>
      </c>
      <c r="E76">
        <v>6.68</v>
      </c>
      <c r="F76">
        <v>6.72</v>
      </c>
      <c r="G76">
        <v>6.79</v>
      </c>
      <c r="H76">
        <v>6.89</v>
      </c>
      <c r="I76">
        <v>6.97</v>
      </c>
      <c r="K76">
        <f t="shared" si="11"/>
        <v>-1.0000000000000675</v>
      </c>
      <c r="L76">
        <f t="shared" si="12"/>
        <v>-2.0000000000000462</v>
      </c>
      <c r="M76">
        <f t="shared" si="13"/>
        <v>-1.9999999999999574</v>
      </c>
      <c r="N76">
        <f t="shared" si="14"/>
        <v>-2.0000000000000462</v>
      </c>
      <c r="O76">
        <f t="shared" si="15"/>
        <v>-2.0000000000000462</v>
      </c>
      <c r="P76">
        <f t="shared" si="16"/>
        <v>-3.0000000000000249</v>
      </c>
      <c r="Q76">
        <f t="shared" si="17"/>
        <v>-3.0000000000000249</v>
      </c>
      <c r="R76">
        <f t="shared" si="18"/>
        <v>-3.0000000000000249</v>
      </c>
    </row>
    <row r="77" spans="1:18">
      <c r="A77" s="9">
        <v>36817</v>
      </c>
      <c r="B77">
        <v>6.63</v>
      </c>
      <c r="C77">
        <v>6.57</v>
      </c>
      <c r="D77">
        <v>6.58</v>
      </c>
      <c r="E77">
        <v>6.62</v>
      </c>
      <c r="F77">
        <v>6.66</v>
      </c>
      <c r="G77">
        <v>6.75</v>
      </c>
      <c r="H77">
        <v>6.86</v>
      </c>
      <c r="I77">
        <v>6.96</v>
      </c>
      <c r="K77">
        <f t="shared" si="11"/>
        <v>-4.9999999999999822</v>
      </c>
      <c r="L77">
        <f t="shared" si="12"/>
        <v>-5.9999999999999609</v>
      </c>
      <c r="M77">
        <f t="shared" si="13"/>
        <v>-7.0000000000000284</v>
      </c>
      <c r="N77">
        <f t="shared" si="14"/>
        <v>-5.9999999999999609</v>
      </c>
      <c r="O77">
        <f t="shared" si="15"/>
        <v>-5.9999999999999609</v>
      </c>
      <c r="P77">
        <f t="shared" si="16"/>
        <v>-4.0000000000000036</v>
      </c>
      <c r="Q77">
        <f t="shared" si="17"/>
        <v>-2.9999999999999361</v>
      </c>
      <c r="R77">
        <f t="shared" si="18"/>
        <v>-0.99999999999997868</v>
      </c>
    </row>
    <row r="78" spans="1:18">
      <c r="A78" s="9">
        <v>36818</v>
      </c>
      <c r="B78">
        <v>6.64</v>
      </c>
      <c r="C78">
        <v>6.57</v>
      </c>
      <c r="D78">
        <v>6.59</v>
      </c>
      <c r="E78">
        <v>6.61</v>
      </c>
      <c r="F78">
        <v>6.65</v>
      </c>
      <c r="G78">
        <v>6.71</v>
      </c>
      <c r="H78">
        <v>6.8</v>
      </c>
      <c r="I78">
        <v>6.88</v>
      </c>
      <c r="K78">
        <f t="shared" si="11"/>
        <v>0.99999999999997868</v>
      </c>
      <c r="L78">
        <f t="shared" si="12"/>
        <v>0</v>
      </c>
      <c r="M78">
        <f t="shared" si="13"/>
        <v>0.99999999999997868</v>
      </c>
      <c r="N78">
        <f t="shared" si="14"/>
        <v>-0.99999999999997868</v>
      </c>
      <c r="O78">
        <f t="shared" si="15"/>
        <v>-0.99999999999997868</v>
      </c>
      <c r="P78">
        <f t="shared" si="16"/>
        <v>-4.0000000000000036</v>
      </c>
      <c r="Q78">
        <f t="shared" si="17"/>
        <v>-6.0000000000000497</v>
      </c>
      <c r="R78">
        <f t="shared" si="18"/>
        <v>-8.0000000000000071</v>
      </c>
    </row>
    <row r="79" spans="1:18">
      <c r="A79" s="9">
        <v>36819</v>
      </c>
      <c r="B79">
        <v>6.65</v>
      </c>
      <c r="C79">
        <v>6.59</v>
      </c>
      <c r="D79">
        <v>6.6</v>
      </c>
      <c r="E79">
        <v>6.62</v>
      </c>
      <c r="F79">
        <v>6.65</v>
      </c>
      <c r="G79">
        <v>6.71</v>
      </c>
      <c r="H79">
        <v>6.79</v>
      </c>
      <c r="I79">
        <v>6.86</v>
      </c>
      <c r="K79">
        <f t="shared" si="11"/>
        <v>1.0000000000000675</v>
      </c>
      <c r="L79">
        <f t="shared" si="12"/>
        <v>1.9999999999999574</v>
      </c>
      <c r="M79">
        <f t="shared" si="13"/>
        <v>0.99999999999997868</v>
      </c>
      <c r="N79">
        <f t="shared" si="14"/>
        <v>0.99999999999997868</v>
      </c>
      <c r="O79">
        <f t="shared" si="15"/>
        <v>0</v>
      </c>
      <c r="P79">
        <f t="shared" si="16"/>
        <v>0</v>
      </c>
      <c r="Q79">
        <f t="shared" si="17"/>
        <v>-0.99999999999997868</v>
      </c>
      <c r="R79">
        <f t="shared" si="18"/>
        <v>-1.9999999999999574</v>
      </c>
    </row>
    <row r="80" spans="1:18">
      <c r="A80" s="9">
        <v>36822</v>
      </c>
      <c r="B80">
        <v>6.65</v>
      </c>
      <c r="C80">
        <v>6.57</v>
      </c>
      <c r="D80">
        <v>6.57</v>
      </c>
      <c r="E80">
        <v>6.59</v>
      </c>
      <c r="F80">
        <v>6.61</v>
      </c>
      <c r="G80">
        <v>6.67</v>
      </c>
      <c r="H80">
        <v>6.74</v>
      </c>
      <c r="I80">
        <v>6.82</v>
      </c>
      <c r="K80">
        <f t="shared" si="11"/>
        <v>0</v>
      </c>
      <c r="L80">
        <f t="shared" si="12"/>
        <v>-1.9999999999999574</v>
      </c>
      <c r="M80">
        <f t="shared" si="13"/>
        <v>-2.9999999999999361</v>
      </c>
      <c r="N80">
        <f t="shared" si="14"/>
        <v>-3.0000000000000249</v>
      </c>
      <c r="O80">
        <f t="shared" si="15"/>
        <v>-4.0000000000000036</v>
      </c>
      <c r="P80">
        <f t="shared" si="16"/>
        <v>-4.0000000000000036</v>
      </c>
      <c r="Q80">
        <f t="shared" si="17"/>
        <v>-4.9999999999999822</v>
      </c>
      <c r="R80">
        <f t="shared" si="18"/>
        <v>-4.0000000000000036</v>
      </c>
    </row>
    <row r="81" spans="1:18">
      <c r="A81" s="9">
        <v>36823</v>
      </c>
      <c r="B81">
        <v>6.66</v>
      </c>
      <c r="C81">
        <v>6.59</v>
      </c>
      <c r="D81">
        <v>6.59</v>
      </c>
      <c r="E81">
        <v>6.61</v>
      </c>
      <c r="F81">
        <v>6.63</v>
      </c>
      <c r="G81">
        <v>6.68</v>
      </c>
      <c r="H81">
        <v>6.75</v>
      </c>
      <c r="I81">
        <v>6.81</v>
      </c>
      <c r="K81">
        <f t="shared" si="11"/>
        <v>0.99999999999997868</v>
      </c>
      <c r="L81">
        <f t="shared" si="12"/>
        <v>1.9999999999999574</v>
      </c>
      <c r="M81">
        <f t="shared" si="13"/>
        <v>1.9999999999999574</v>
      </c>
      <c r="N81">
        <f t="shared" si="14"/>
        <v>2.0000000000000462</v>
      </c>
      <c r="O81">
        <f t="shared" si="15"/>
        <v>1.9999999999999574</v>
      </c>
      <c r="P81">
        <f t="shared" si="16"/>
        <v>0.99999999999997868</v>
      </c>
      <c r="Q81">
        <f t="shared" si="17"/>
        <v>0.99999999999997868</v>
      </c>
      <c r="R81">
        <f t="shared" si="18"/>
        <v>-1.0000000000000675</v>
      </c>
    </row>
    <row r="82" spans="1:18">
      <c r="A82" s="9">
        <v>36824</v>
      </c>
      <c r="B82">
        <v>6.65</v>
      </c>
      <c r="C82">
        <v>6.59</v>
      </c>
      <c r="D82">
        <v>6.59</v>
      </c>
      <c r="E82">
        <v>6.62</v>
      </c>
      <c r="F82">
        <v>6.64</v>
      </c>
      <c r="G82">
        <v>6.7</v>
      </c>
      <c r="H82">
        <v>6.77</v>
      </c>
      <c r="I82">
        <v>6.85</v>
      </c>
      <c r="K82">
        <f t="shared" si="11"/>
        <v>-0.99999999999997868</v>
      </c>
      <c r="L82">
        <f t="shared" si="12"/>
        <v>0</v>
      </c>
      <c r="M82">
        <f t="shared" si="13"/>
        <v>0</v>
      </c>
      <c r="N82">
        <f t="shared" si="14"/>
        <v>0.99999999999997868</v>
      </c>
      <c r="O82">
        <f t="shared" si="15"/>
        <v>0.99999999999997868</v>
      </c>
      <c r="P82">
        <f t="shared" si="16"/>
        <v>2.0000000000000462</v>
      </c>
      <c r="Q82">
        <f t="shared" si="17"/>
        <v>1.9999999999999574</v>
      </c>
      <c r="R82">
        <f t="shared" si="18"/>
        <v>4.0000000000000036</v>
      </c>
    </row>
    <row r="83" spans="1:18">
      <c r="A83" s="9">
        <v>36825</v>
      </c>
      <c r="B83">
        <v>6.67</v>
      </c>
      <c r="C83">
        <v>6.61</v>
      </c>
      <c r="D83">
        <v>6.62</v>
      </c>
      <c r="E83">
        <v>6.64</v>
      </c>
      <c r="F83">
        <v>6.67</v>
      </c>
      <c r="G83">
        <v>6.73</v>
      </c>
      <c r="H83">
        <v>6.79</v>
      </c>
      <c r="I83">
        <v>6.84</v>
      </c>
      <c r="K83">
        <f t="shared" si="11"/>
        <v>1.9999999999999574</v>
      </c>
      <c r="L83">
        <f t="shared" si="12"/>
        <v>2.0000000000000462</v>
      </c>
      <c r="M83">
        <f t="shared" si="13"/>
        <v>3.0000000000000249</v>
      </c>
      <c r="N83">
        <f t="shared" si="14"/>
        <v>1.9999999999999574</v>
      </c>
      <c r="O83">
        <f t="shared" si="15"/>
        <v>3.0000000000000249</v>
      </c>
      <c r="P83">
        <f t="shared" si="16"/>
        <v>3.0000000000000249</v>
      </c>
      <c r="Q83">
        <f t="shared" si="17"/>
        <v>2.0000000000000462</v>
      </c>
      <c r="R83">
        <f t="shared" si="18"/>
        <v>-0.99999999999997868</v>
      </c>
    </row>
    <row r="84" spans="1:18">
      <c r="A84" s="9">
        <v>36826</v>
      </c>
      <c r="B84">
        <v>6.69</v>
      </c>
      <c r="C84">
        <v>6.63</v>
      </c>
      <c r="D84">
        <v>6.65</v>
      </c>
      <c r="E84">
        <v>6.67</v>
      </c>
      <c r="F84">
        <v>6.7</v>
      </c>
      <c r="G84">
        <v>6.76</v>
      </c>
      <c r="H84">
        <v>6.81</v>
      </c>
      <c r="I84">
        <v>6.86</v>
      </c>
      <c r="K84">
        <f t="shared" si="11"/>
        <v>2.0000000000000462</v>
      </c>
      <c r="L84">
        <f t="shared" si="12"/>
        <v>1.9999999999999574</v>
      </c>
      <c r="M84">
        <f t="shared" si="13"/>
        <v>3.0000000000000249</v>
      </c>
      <c r="N84">
        <f t="shared" si="14"/>
        <v>3.0000000000000249</v>
      </c>
      <c r="O84">
        <f t="shared" si="15"/>
        <v>3.0000000000000249</v>
      </c>
      <c r="P84">
        <f t="shared" si="16"/>
        <v>2.9999999999999361</v>
      </c>
      <c r="Q84">
        <f t="shared" si="17"/>
        <v>1.9999999999999574</v>
      </c>
      <c r="R84">
        <f t="shared" si="18"/>
        <v>2.0000000000000462</v>
      </c>
    </row>
    <row r="85" spans="1:18">
      <c r="A85" s="9">
        <v>36829</v>
      </c>
      <c r="B85">
        <v>6.71</v>
      </c>
      <c r="C85">
        <v>6.67</v>
      </c>
      <c r="D85">
        <v>6.68</v>
      </c>
      <c r="E85">
        <v>6.72</v>
      </c>
      <c r="F85">
        <v>6.76</v>
      </c>
      <c r="G85">
        <v>6.81</v>
      </c>
      <c r="H85">
        <v>6.86</v>
      </c>
      <c r="I85">
        <v>6.87</v>
      </c>
      <c r="K85">
        <f t="shared" si="11"/>
        <v>1.9999999999999574</v>
      </c>
      <c r="L85">
        <f t="shared" si="12"/>
        <v>4.0000000000000036</v>
      </c>
      <c r="M85">
        <f t="shared" si="13"/>
        <v>2.9999999999999361</v>
      </c>
      <c r="N85">
        <f t="shared" si="14"/>
        <v>4.9999999999999822</v>
      </c>
      <c r="O85">
        <f t="shared" si="15"/>
        <v>5.9999999999999609</v>
      </c>
      <c r="P85">
        <f t="shared" si="16"/>
        <v>4.9999999999999822</v>
      </c>
      <c r="Q85">
        <f t="shared" si="17"/>
        <v>5.0000000000000711</v>
      </c>
      <c r="R85">
        <f t="shared" si="18"/>
        <v>0.99999999999997868</v>
      </c>
    </row>
    <row r="86" spans="1:18">
      <c r="A86" s="9">
        <v>36830</v>
      </c>
      <c r="B86">
        <v>6.69</v>
      </c>
      <c r="C86">
        <v>6.64</v>
      </c>
      <c r="D86">
        <v>6.67</v>
      </c>
      <c r="E86">
        <v>6.7</v>
      </c>
      <c r="F86">
        <v>6.73</v>
      </c>
      <c r="G86">
        <v>6.78</v>
      </c>
      <c r="H86">
        <v>6.83</v>
      </c>
      <c r="I86">
        <v>6.87</v>
      </c>
      <c r="K86">
        <f t="shared" si="11"/>
        <v>-1.9999999999999574</v>
      </c>
      <c r="L86">
        <f t="shared" si="12"/>
        <v>-3.0000000000000249</v>
      </c>
      <c r="M86">
        <f t="shared" si="13"/>
        <v>-0.99999999999997868</v>
      </c>
      <c r="N86">
        <f t="shared" si="14"/>
        <v>-1.9999999999999574</v>
      </c>
      <c r="O86">
        <f t="shared" si="15"/>
        <v>-2.9999999999999361</v>
      </c>
      <c r="P86">
        <f t="shared" si="16"/>
        <v>-2.9999999999999361</v>
      </c>
      <c r="Q86">
        <f t="shared" si="17"/>
        <v>-3.0000000000000249</v>
      </c>
      <c r="R86">
        <f t="shared" si="18"/>
        <v>0</v>
      </c>
    </row>
    <row r="87" spans="1:18">
      <c r="A87" s="9">
        <v>36831</v>
      </c>
      <c r="B87">
        <v>6.67</v>
      </c>
      <c r="C87">
        <v>6.61</v>
      </c>
      <c r="D87">
        <v>6.64</v>
      </c>
      <c r="E87">
        <v>6.68</v>
      </c>
      <c r="F87">
        <v>6.72</v>
      </c>
      <c r="G87">
        <v>6.79</v>
      </c>
      <c r="H87">
        <v>6.86</v>
      </c>
      <c r="I87">
        <v>6.92</v>
      </c>
      <c r="K87">
        <f t="shared" si="11"/>
        <v>-2.0000000000000462</v>
      </c>
      <c r="L87">
        <f t="shared" si="12"/>
        <v>-2.9999999999999361</v>
      </c>
      <c r="M87">
        <f t="shared" si="13"/>
        <v>-3.0000000000000249</v>
      </c>
      <c r="N87">
        <f t="shared" si="14"/>
        <v>-2.0000000000000462</v>
      </c>
      <c r="O87">
        <f t="shared" si="15"/>
        <v>-1.0000000000000675</v>
      </c>
      <c r="P87">
        <f t="shared" si="16"/>
        <v>0.99999999999997868</v>
      </c>
      <c r="Q87">
        <f t="shared" si="17"/>
        <v>3.0000000000000249</v>
      </c>
      <c r="R87">
        <f t="shared" si="18"/>
        <v>4.9999999999999822</v>
      </c>
    </row>
    <row r="88" spans="1:18">
      <c r="A88" s="9">
        <v>36832</v>
      </c>
      <c r="B88">
        <v>6.66</v>
      </c>
      <c r="C88">
        <v>6.59</v>
      </c>
      <c r="D88">
        <v>6.62</v>
      </c>
      <c r="E88">
        <v>6.66</v>
      </c>
      <c r="F88">
        <v>6.7</v>
      </c>
      <c r="G88">
        <v>6.76</v>
      </c>
      <c r="H88">
        <v>6.82</v>
      </c>
      <c r="I88">
        <v>6.86</v>
      </c>
      <c r="K88">
        <f t="shared" si="11"/>
        <v>-0.99999999999997868</v>
      </c>
      <c r="L88">
        <f t="shared" si="12"/>
        <v>-2.0000000000000462</v>
      </c>
      <c r="M88">
        <f t="shared" si="13"/>
        <v>-1.9999999999999574</v>
      </c>
      <c r="N88">
        <f t="shared" si="14"/>
        <v>-1.9999999999999574</v>
      </c>
      <c r="O88">
        <f t="shared" si="15"/>
        <v>-1.9999999999999574</v>
      </c>
      <c r="P88">
        <f t="shared" si="16"/>
        <v>-3.0000000000000249</v>
      </c>
      <c r="Q88">
        <f t="shared" si="17"/>
        <v>-4.0000000000000036</v>
      </c>
      <c r="R88">
        <f t="shared" si="18"/>
        <v>-5.9999999999999609</v>
      </c>
    </row>
    <row r="89" spans="1:18">
      <c r="A89" s="9">
        <v>36833</v>
      </c>
      <c r="B89">
        <v>6.69</v>
      </c>
      <c r="C89">
        <v>6.63</v>
      </c>
      <c r="D89">
        <v>6.66</v>
      </c>
      <c r="E89">
        <v>6.7</v>
      </c>
      <c r="F89">
        <v>6.75</v>
      </c>
      <c r="G89">
        <v>6.81</v>
      </c>
      <c r="H89">
        <v>6.88</v>
      </c>
      <c r="I89">
        <v>6.91</v>
      </c>
      <c r="K89">
        <f t="shared" si="11"/>
        <v>3.0000000000000249</v>
      </c>
      <c r="L89">
        <f t="shared" si="12"/>
        <v>4.0000000000000036</v>
      </c>
      <c r="M89">
        <f t="shared" si="13"/>
        <v>4.0000000000000036</v>
      </c>
      <c r="N89">
        <f t="shared" si="14"/>
        <v>4.0000000000000036</v>
      </c>
      <c r="O89">
        <f t="shared" si="15"/>
        <v>4.9999999999999822</v>
      </c>
      <c r="P89">
        <f t="shared" si="16"/>
        <v>4.9999999999999822</v>
      </c>
      <c r="Q89">
        <f t="shared" si="17"/>
        <v>5.9999999999999609</v>
      </c>
      <c r="R89">
        <f t="shared" si="18"/>
        <v>4.9999999999999822</v>
      </c>
    </row>
    <row r="90" spans="1:18">
      <c r="A90" s="9">
        <v>36836</v>
      </c>
      <c r="B90">
        <v>6.71</v>
      </c>
      <c r="C90">
        <v>6.67</v>
      </c>
      <c r="D90">
        <v>6.71</v>
      </c>
      <c r="E90">
        <v>6.76</v>
      </c>
      <c r="F90">
        <v>6.8</v>
      </c>
      <c r="G90">
        <v>6.88</v>
      </c>
      <c r="H90">
        <v>6.95</v>
      </c>
      <c r="I90">
        <v>6.99</v>
      </c>
      <c r="K90">
        <f t="shared" si="11"/>
        <v>1.9999999999999574</v>
      </c>
      <c r="L90">
        <f t="shared" si="12"/>
        <v>4.0000000000000036</v>
      </c>
      <c r="M90">
        <f t="shared" si="13"/>
        <v>4.9999999999999822</v>
      </c>
      <c r="N90">
        <f t="shared" si="14"/>
        <v>5.9999999999999609</v>
      </c>
      <c r="O90">
        <f t="shared" si="15"/>
        <v>4.9999999999999822</v>
      </c>
      <c r="P90">
        <f t="shared" si="16"/>
        <v>7.0000000000000284</v>
      </c>
      <c r="Q90">
        <f t="shared" si="17"/>
        <v>7.0000000000000284</v>
      </c>
      <c r="R90">
        <f t="shared" si="18"/>
        <v>8.0000000000000071</v>
      </c>
    </row>
    <row r="91" spans="1:18">
      <c r="A91" s="9">
        <v>36837</v>
      </c>
      <c r="B91">
        <v>6.71</v>
      </c>
      <c r="C91">
        <v>6.66</v>
      </c>
      <c r="D91">
        <v>6.7</v>
      </c>
      <c r="E91">
        <v>6.76</v>
      </c>
      <c r="F91">
        <v>6.8</v>
      </c>
      <c r="G91">
        <v>6.88</v>
      </c>
      <c r="H91">
        <v>6.95</v>
      </c>
      <c r="I91">
        <v>7</v>
      </c>
      <c r="K91">
        <f t="shared" si="11"/>
        <v>0</v>
      </c>
      <c r="L91">
        <f t="shared" si="12"/>
        <v>-0.99999999999997868</v>
      </c>
      <c r="M91">
        <f t="shared" si="13"/>
        <v>-0.99999999999997868</v>
      </c>
      <c r="N91">
        <f t="shared" si="14"/>
        <v>0</v>
      </c>
      <c r="O91">
        <f t="shared" si="15"/>
        <v>0</v>
      </c>
      <c r="P91">
        <f t="shared" si="16"/>
        <v>0</v>
      </c>
      <c r="Q91">
        <f t="shared" si="17"/>
        <v>0</v>
      </c>
      <c r="R91">
        <f t="shared" si="18"/>
        <v>0.99999999999997868</v>
      </c>
    </row>
    <row r="92" spans="1:18">
      <c r="A92" s="9">
        <v>36838</v>
      </c>
      <c r="B92">
        <v>6.72</v>
      </c>
      <c r="C92">
        <v>6.68</v>
      </c>
      <c r="D92">
        <v>6.72</v>
      </c>
      <c r="E92">
        <v>6.77</v>
      </c>
      <c r="F92">
        <v>6.82</v>
      </c>
      <c r="G92">
        <v>6.9</v>
      </c>
      <c r="H92">
        <v>6.98</v>
      </c>
      <c r="I92">
        <v>7</v>
      </c>
      <c r="K92">
        <f t="shared" si="11"/>
        <v>0.99999999999997868</v>
      </c>
      <c r="L92">
        <f t="shared" si="12"/>
        <v>1.9999999999999574</v>
      </c>
      <c r="M92">
        <f t="shared" si="13"/>
        <v>1.9999999999999574</v>
      </c>
      <c r="N92">
        <f t="shared" si="14"/>
        <v>0.99999999999997868</v>
      </c>
      <c r="O92">
        <f t="shared" si="15"/>
        <v>2.0000000000000462</v>
      </c>
      <c r="P92">
        <f t="shared" si="16"/>
        <v>2.0000000000000462</v>
      </c>
      <c r="Q92">
        <f t="shared" si="17"/>
        <v>3.0000000000000249</v>
      </c>
      <c r="R92">
        <f t="shared" si="18"/>
        <v>0</v>
      </c>
    </row>
    <row r="93" spans="1:18">
      <c r="A93" s="9">
        <v>36839</v>
      </c>
      <c r="B93">
        <v>6.7</v>
      </c>
      <c r="C93">
        <v>6.64</v>
      </c>
      <c r="D93">
        <v>6.68</v>
      </c>
      <c r="E93">
        <v>6.72</v>
      </c>
      <c r="F93">
        <v>6.77</v>
      </c>
      <c r="G93">
        <v>6.85</v>
      </c>
      <c r="H93">
        <v>6.93</v>
      </c>
      <c r="I93">
        <v>6.97</v>
      </c>
      <c r="K93">
        <f t="shared" si="11"/>
        <v>-1.9999999999999574</v>
      </c>
      <c r="L93">
        <f t="shared" si="12"/>
        <v>-4.0000000000000036</v>
      </c>
      <c r="M93">
        <f t="shared" si="13"/>
        <v>-4.0000000000000036</v>
      </c>
      <c r="N93">
        <f t="shared" si="14"/>
        <v>-4.9999999999999822</v>
      </c>
      <c r="O93">
        <f t="shared" si="15"/>
        <v>-5.0000000000000711</v>
      </c>
      <c r="P93">
        <f t="shared" si="16"/>
        <v>-5.0000000000000711</v>
      </c>
      <c r="Q93">
        <f t="shared" si="17"/>
        <v>-5.0000000000000711</v>
      </c>
      <c r="R93">
        <f t="shared" si="18"/>
        <v>-3.0000000000000249</v>
      </c>
    </row>
    <row r="94" spans="1:18">
      <c r="A94" s="9">
        <v>36840</v>
      </c>
      <c r="B94">
        <v>6.67</v>
      </c>
      <c r="C94">
        <v>6.62</v>
      </c>
      <c r="D94">
        <v>6.65</v>
      </c>
      <c r="E94">
        <v>6.71</v>
      </c>
      <c r="F94">
        <v>6.77</v>
      </c>
      <c r="G94">
        <v>6.85</v>
      </c>
      <c r="H94">
        <v>6.94</v>
      </c>
      <c r="I94">
        <v>7</v>
      </c>
      <c r="K94">
        <f t="shared" si="11"/>
        <v>-3.0000000000000249</v>
      </c>
      <c r="L94">
        <f t="shared" si="12"/>
        <v>-1.9999999999999574</v>
      </c>
      <c r="M94">
        <f t="shared" si="13"/>
        <v>-2.9999999999999361</v>
      </c>
      <c r="N94">
        <f t="shared" si="14"/>
        <v>-0.99999999999997868</v>
      </c>
      <c r="O94">
        <f t="shared" si="15"/>
        <v>0</v>
      </c>
      <c r="P94">
        <f t="shared" si="16"/>
        <v>0</v>
      </c>
      <c r="Q94">
        <f t="shared" si="17"/>
        <v>1.0000000000000675</v>
      </c>
      <c r="R94">
        <f t="shared" si="18"/>
        <v>3.0000000000000249</v>
      </c>
    </row>
    <row r="95" spans="1:18">
      <c r="A95" s="9">
        <v>36843</v>
      </c>
      <c r="B95">
        <v>6.64</v>
      </c>
      <c r="C95">
        <v>6.58</v>
      </c>
      <c r="D95">
        <v>6.61</v>
      </c>
      <c r="E95">
        <v>6.67</v>
      </c>
      <c r="F95">
        <v>6.72</v>
      </c>
      <c r="G95">
        <v>6.81</v>
      </c>
      <c r="H95">
        <v>6.91</v>
      </c>
      <c r="I95">
        <v>6.98</v>
      </c>
      <c r="K95">
        <f t="shared" si="11"/>
        <v>-3.0000000000000249</v>
      </c>
      <c r="L95">
        <f t="shared" si="12"/>
        <v>-4.0000000000000036</v>
      </c>
      <c r="M95">
        <f t="shared" si="13"/>
        <v>-4.0000000000000036</v>
      </c>
      <c r="N95">
        <f t="shared" si="14"/>
        <v>-4.0000000000000036</v>
      </c>
      <c r="O95">
        <f t="shared" si="15"/>
        <v>-4.9999999999999822</v>
      </c>
      <c r="P95">
        <f t="shared" si="16"/>
        <v>-4.0000000000000036</v>
      </c>
      <c r="Q95">
        <f t="shared" si="17"/>
        <v>-3.0000000000000249</v>
      </c>
      <c r="R95">
        <f t="shared" si="18"/>
        <v>-1.9999999999999574</v>
      </c>
    </row>
    <row r="96" spans="1:18">
      <c r="A96" s="9">
        <v>36844</v>
      </c>
      <c r="B96">
        <v>6.67</v>
      </c>
      <c r="C96">
        <v>6.6</v>
      </c>
      <c r="D96">
        <v>6.64</v>
      </c>
      <c r="E96">
        <v>6.69</v>
      </c>
      <c r="F96">
        <v>6.73</v>
      </c>
      <c r="G96">
        <v>6.81</v>
      </c>
      <c r="H96">
        <v>6.9</v>
      </c>
      <c r="I96">
        <v>6.97</v>
      </c>
      <c r="K96">
        <f t="shared" si="11"/>
        <v>3.0000000000000249</v>
      </c>
      <c r="L96">
        <f t="shared" si="12"/>
        <v>1.9999999999999574</v>
      </c>
      <c r="M96">
        <f t="shared" si="13"/>
        <v>2.9999999999999361</v>
      </c>
      <c r="N96">
        <f t="shared" si="14"/>
        <v>2.0000000000000462</v>
      </c>
      <c r="O96">
        <f t="shared" si="15"/>
        <v>1.0000000000000675</v>
      </c>
      <c r="P96">
        <f t="shared" si="16"/>
        <v>0</v>
      </c>
      <c r="Q96">
        <f t="shared" si="17"/>
        <v>-0.99999999999997868</v>
      </c>
      <c r="R96">
        <f t="shared" si="18"/>
        <v>-1.0000000000000675</v>
      </c>
    </row>
    <row r="97" spans="1:18">
      <c r="A97" s="9">
        <v>36845</v>
      </c>
      <c r="B97">
        <v>6.66</v>
      </c>
      <c r="C97">
        <v>6.59</v>
      </c>
      <c r="D97">
        <v>6.62</v>
      </c>
      <c r="E97">
        <v>6.67</v>
      </c>
      <c r="F97">
        <v>6.71</v>
      </c>
      <c r="G97">
        <v>6.78</v>
      </c>
      <c r="H97">
        <v>6.86</v>
      </c>
      <c r="I97">
        <v>6.93</v>
      </c>
      <c r="K97">
        <f t="shared" si="11"/>
        <v>-0.99999999999997868</v>
      </c>
      <c r="L97">
        <f t="shared" si="12"/>
        <v>-0.99999999999997868</v>
      </c>
      <c r="M97">
        <f t="shared" si="13"/>
        <v>-1.9999999999999574</v>
      </c>
      <c r="N97">
        <f t="shared" si="14"/>
        <v>-2.0000000000000462</v>
      </c>
      <c r="O97">
        <f t="shared" si="15"/>
        <v>-2.0000000000000462</v>
      </c>
      <c r="P97">
        <f t="shared" si="16"/>
        <v>-2.9999999999999361</v>
      </c>
      <c r="Q97">
        <f t="shared" si="17"/>
        <v>-4.0000000000000036</v>
      </c>
      <c r="R97">
        <f t="shared" si="18"/>
        <v>-4.0000000000000036</v>
      </c>
    </row>
    <row r="98" spans="1:18">
      <c r="A98" s="9">
        <v>36846</v>
      </c>
      <c r="B98">
        <v>6.65</v>
      </c>
      <c r="C98">
        <v>6.57</v>
      </c>
      <c r="D98">
        <v>6.6</v>
      </c>
      <c r="E98">
        <v>6.64</v>
      </c>
      <c r="F98">
        <v>6.68</v>
      </c>
      <c r="G98">
        <v>6.75</v>
      </c>
      <c r="H98">
        <v>6.82</v>
      </c>
      <c r="I98">
        <v>6.88</v>
      </c>
      <c r="K98">
        <f t="shared" si="11"/>
        <v>-0.99999999999997868</v>
      </c>
      <c r="L98">
        <f t="shared" si="12"/>
        <v>-1.9999999999999574</v>
      </c>
      <c r="M98">
        <f t="shared" si="13"/>
        <v>-2.0000000000000462</v>
      </c>
      <c r="N98">
        <f t="shared" si="14"/>
        <v>-3.0000000000000249</v>
      </c>
      <c r="O98">
        <f t="shared" si="15"/>
        <v>-3.0000000000000249</v>
      </c>
      <c r="P98">
        <f t="shared" si="16"/>
        <v>-3.0000000000000249</v>
      </c>
      <c r="Q98">
        <f t="shared" si="17"/>
        <v>-4.0000000000000036</v>
      </c>
      <c r="R98">
        <f t="shared" si="18"/>
        <v>-4.9999999999999822</v>
      </c>
    </row>
    <row r="99" spans="1:18">
      <c r="A99" s="9">
        <v>36847</v>
      </c>
      <c r="B99">
        <v>6.65</v>
      </c>
      <c r="C99">
        <v>6.57</v>
      </c>
      <c r="D99">
        <v>6.59</v>
      </c>
      <c r="E99">
        <v>6.64</v>
      </c>
      <c r="F99">
        <v>6.68</v>
      </c>
      <c r="G99">
        <v>6.75</v>
      </c>
      <c r="H99">
        <v>6.83</v>
      </c>
      <c r="I99">
        <v>6.91</v>
      </c>
      <c r="K99">
        <f t="shared" si="11"/>
        <v>0</v>
      </c>
      <c r="L99">
        <f t="shared" si="12"/>
        <v>0</v>
      </c>
      <c r="M99">
        <f t="shared" si="13"/>
        <v>-0.99999999999997868</v>
      </c>
      <c r="N99">
        <f t="shared" si="14"/>
        <v>0</v>
      </c>
      <c r="O99">
        <f t="shared" si="15"/>
        <v>0</v>
      </c>
      <c r="P99">
        <f t="shared" si="16"/>
        <v>0</v>
      </c>
      <c r="Q99">
        <f t="shared" si="17"/>
        <v>0.99999999999997868</v>
      </c>
      <c r="R99">
        <f t="shared" si="18"/>
        <v>3.0000000000000249</v>
      </c>
    </row>
    <row r="100" spans="1:18">
      <c r="A100" s="9">
        <v>36850</v>
      </c>
      <c r="B100">
        <v>6.63</v>
      </c>
      <c r="C100">
        <v>6.55</v>
      </c>
      <c r="D100">
        <v>6.58</v>
      </c>
      <c r="E100">
        <v>6.63</v>
      </c>
      <c r="F100">
        <v>6.68</v>
      </c>
      <c r="G100">
        <v>6.75</v>
      </c>
      <c r="H100">
        <v>6.83</v>
      </c>
      <c r="I100">
        <v>6.9</v>
      </c>
      <c r="K100">
        <f t="shared" si="11"/>
        <v>-2.0000000000000462</v>
      </c>
      <c r="L100">
        <f t="shared" si="12"/>
        <v>-2.0000000000000462</v>
      </c>
      <c r="M100">
        <f t="shared" si="13"/>
        <v>-0.99999999999997868</v>
      </c>
      <c r="N100">
        <f t="shared" si="14"/>
        <v>-0.99999999999997868</v>
      </c>
      <c r="O100">
        <f t="shared" si="15"/>
        <v>0</v>
      </c>
      <c r="P100">
        <f t="shared" si="16"/>
        <v>0</v>
      </c>
      <c r="Q100">
        <f t="shared" si="17"/>
        <v>0</v>
      </c>
      <c r="R100">
        <f t="shared" si="18"/>
        <v>-0.99999999999997868</v>
      </c>
    </row>
    <row r="101" spans="1:18">
      <c r="A101" s="9">
        <v>36851</v>
      </c>
      <c r="B101">
        <v>6.64</v>
      </c>
      <c r="C101">
        <v>6.57</v>
      </c>
      <c r="D101">
        <v>6.6</v>
      </c>
      <c r="E101">
        <v>6.65</v>
      </c>
      <c r="F101">
        <v>6.7</v>
      </c>
      <c r="G101">
        <v>6.77</v>
      </c>
      <c r="H101">
        <v>6.84</v>
      </c>
      <c r="I101">
        <v>6.92</v>
      </c>
      <c r="K101">
        <f t="shared" si="11"/>
        <v>0.99999999999997868</v>
      </c>
      <c r="L101">
        <f t="shared" si="12"/>
        <v>2.0000000000000462</v>
      </c>
      <c r="M101">
        <f t="shared" si="13"/>
        <v>1.9999999999999574</v>
      </c>
      <c r="N101">
        <f t="shared" si="14"/>
        <v>2.0000000000000462</v>
      </c>
      <c r="O101">
        <f t="shared" si="15"/>
        <v>2.0000000000000462</v>
      </c>
      <c r="P101">
        <f t="shared" si="16"/>
        <v>1.9999999999999574</v>
      </c>
      <c r="Q101">
        <f t="shared" si="17"/>
        <v>0.99999999999997868</v>
      </c>
      <c r="R101">
        <f t="shared" si="18"/>
        <v>1.9999999999999574</v>
      </c>
    </row>
    <row r="102" spans="1:18">
      <c r="A102" s="9">
        <v>36852</v>
      </c>
      <c r="B102">
        <v>6.61</v>
      </c>
      <c r="C102">
        <v>6.53</v>
      </c>
      <c r="D102">
        <v>6.56</v>
      </c>
      <c r="E102">
        <v>6.61</v>
      </c>
      <c r="F102">
        <v>6.66</v>
      </c>
      <c r="G102">
        <v>6.73</v>
      </c>
      <c r="H102">
        <v>6.81</v>
      </c>
      <c r="I102">
        <v>6.87</v>
      </c>
      <c r="K102">
        <f t="shared" si="11"/>
        <v>-2.9999999999999361</v>
      </c>
      <c r="L102">
        <f t="shared" si="12"/>
        <v>-4.0000000000000036</v>
      </c>
      <c r="M102">
        <f t="shared" si="13"/>
        <v>-4.0000000000000036</v>
      </c>
      <c r="N102">
        <f t="shared" si="14"/>
        <v>-4.0000000000000036</v>
      </c>
      <c r="O102">
        <f t="shared" si="15"/>
        <v>-4.0000000000000036</v>
      </c>
      <c r="P102">
        <f t="shared" si="16"/>
        <v>-3.9999999999999147</v>
      </c>
      <c r="Q102">
        <f t="shared" si="17"/>
        <v>-3.0000000000000249</v>
      </c>
      <c r="R102">
        <f t="shared" si="18"/>
        <v>-4.9999999999999822</v>
      </c>
    </row>
    <row r="103" spans="1:18">
      <c r="A103" s="9">
        <v>36854</v>
      </c>
      <c r="B103">
        <v>6.63</v>
      </c>
      <c r="C103">
        <v>6.56</v>
      </c>
      <c r="D103">
        <v>6.59</v>
      </c>
      <c r="E103">
        <v>6.64</v>
      </c>
      <c r="F103">
        <v>6.68</v>
      </c>
      <c r="G103">
        <v>6.74</v>
      </c>
      <c r="H103">
        <v>6.81</v>
      </c>
      <c r="I103">
        <v>6.86</v>
      </c>
      <c r="K103">
        <f t="shared" si="11"/>
        <v>1.9999999999999574</v>
      </c>
      <c r="L103">
        <f t="shared" si="12"/>
        <v>2.9999999999999361</v>
      </c>
      <c r="M103">
        <f t="shared" si="13"/>
        <v>3.0000000000000249</v>
      </c>
      <c r="N103">
        <f t="shared" si="14"/>
        <v>2.9999999999999361</v>
      </c>
      <c r="O103">
        <f t="shared" si="15"/>
        <v>1.9999999999999574</v>
      </c>
      <c r="P103">
        <f t="shared" si="16"/>
        <v>0.99999999999997868</v>
      </c>
      <c r="Q103">
        <f t="shared" si="17"/>
        <v>0</v>
      </c>
      <c r="R103">
        <f t="shared" si="18"/>
        <v>-0.99999999999997868</v>
      </c>
    </row>
    <row r="104" spans="1:18">
      <c r="A104" s="9">
        <v>36857</v>
      </c>
      <c r="B104">
        <v>6.63</v>
      </c>
      <c r="C104">
        <v>6.55</v>
      </c>
      <c r="D104">
        <v>6.58</v>
      </c>
      <c r="E104">
        <v>6.63</v>
      </c>
      <c r="F104">
        <v>6.67</v>
      </c>
      <c r="G104">
        <v>6.74</v>
      </c>
      <c r="H104">
        <v>6.8</v>
      </c>
      <c r="I104">
        <v>6.86</v>
      </c>
      <c r="K104">
        <f t="shared" si="11"/>
        <v>0</v>
      </c>
      <c r="L104">
        <f t="shared" si="12"/>
        <v>-0.99999999999997868</v>
      </c>
      <c r="M104">
        <f t="shared" si="13"/>
        <v>-0.99999999999997868</v>
      </c>
      <c r="N104">
        <f t="shared" si="14"/>
        <v>-0.99999999999997868</v>
      </c>
      <c r="O104">
        <f t="shared" si="15"/>
        <v>-0.99999999999997868</v>
      </c>
      <c r="P104">
        <f t="shared" si="16"/>
        <v>0</v>
      </c>
      <c r="Q104">
        <f t="shared" si="17"/>
        <v>-0.99999999999997868</v>
      </c>
      <c r="R104">
        <f t="shared" si="18"/>
        <v>0</v>
      </c>
    </row>
    <row r="105" spans="1:18">
      <c r="A105" s="9">
        <v>36858</v>
      </c>
      <c r="B105">
        <v>6.6</v>
      </c>
      <c r="C105">
        <v>6.51</v>
      </c>
      <c r="D105">
        <v>6.54</v>
      </c>
      <c r="E105">
        <v>6.58</v>
      </c>
      <c r="F105">
        <v>6.63</v>
      </c>
      <c r="G105">
        <v>6.69</v>
      </c>
      <c r="H105">
        <v>6.77</v>
      </c>
      <c r="I105">
        <v>6.86</v>
      </c>
      <c r="K105">
        <f t="shared" si="11"/>
        <v>-3.0000000000000249</v>
      </c>
      <c r="L105">
        <f t="shared" si="12"/>
        <v>-4.0000000000000036</v>
      </c>
      <c r="M105">
        <f t="shared" si="13"/>
        <v>-4.0000000000000036</v>
      </c>
      <c r="N105">
        <f t="shared" si="14"/>
        <v>-4.9999999999999822</v>
      </c>
      <c r="O105">
        <f t="shared" si="15"/>
        <v>-4.0000000000000036</v>
      </c>
      <c r="P105">
        <f t="shared" si="16"/>
        <v>-4.9999999999999822</v>
      </c>
      <c r="Q105">
        <f t="shared" si="17"/>
        <v>-3.0000000000000249</v>
      </c>
      <c r="R105">
        <f t="shared" si="18"/>
        <v>0</v>
      </c>
    </row>
    <row r="106" spans="1:18">
      <c r="A106" s="9">
        <v>36859</v>
      </c>
      <c r="B106">
        <v>6.56</v>
      </c>
      <c r="C106">
        <v>6.47</v>
      </c>
      <c r="D106">
        <v>6.49</v>
      </c>
      <c r="E106">
        <v>6.54</v>
      </c>
      <c r="F106">
        <v>6.58</v>
      </c>
      <c r="G106">
        <v>6.66</v>
      </c>
      <c r="H106">
        <v>6.75</v>
      </c>
      <c r="I106">
        <v>6.84</v>
      </c>
      <c r="K106">
        <f t="shared" si="11"/>
        <v>-4.0000000000000036</v>
      </c>
      <c r="L106">
        <f t="shared" si="12"/>
        <v>-4.0000000000000036</v>
      </c>
      <c r="M106">
        <f t="shared" si="13"/>
        <v>-4.9999999999999822</v>
      </c>
      <c r="N106">
        <f t="shared" si="14"/>
        <v>-4.0000000000000036</v>
      </c>
      <c r="O106">
        <f t="shared" si="15"/>
        <v>-4.9999999999999822</v>
      </c>
      <c r="P106">
        <f t="shared" si="16"/>
        <v>-3.0000000000000249</v>
      </c>
      <c r="Q106">
        <f t="shared" si="17"/>
        <v>-1.9999999999999574</v>
      </c>
      <c r="R106">
        <f t="shared" si="18"/>
        <v>-2.0000000000000462</v>
      </c>
    </row>
    <row r="107" spans="1:18">
      <c r="A107" s="9">
        <v>36860</v>
      </c>
      <c r="B107">
        <v>6.49</v>
      </c>
      <c r="C107">
        <v>6.38</v>
      </c>
      <c r="D107">
        <v>6.41</v>
      </c>
      <c r="E107">
        <v>6.46</v>
      </c>
      <c r="F107">
        <v>6.51</v>
      </c>
      <c r="G107">
        <v>6.59</v>
      </c>
      <c r="H107">
        <v>6.67</v>
      </c>
      <c r="I107">
        <v>6.77</v>
      </c>
      <c r="K107">
        <f t="shared" si="11"/>
        <v>-6.9999999999999396</v>
      </c>
      <c r="L107">
        <f t="shared" si="12"/>
        <v>-8.9999999999999858</v>
      </c>
      <c r="M107">
        <f t="shared" si="13"/>
        <v>-8.0000000000000071</v>
      </c>
      <c r="N107">
        <f t="shared" si="14"/>
        <v>-8.0000000000000071</v>
      </c>
      <c r="O107">
        <f t="shared" si="15"/>
        <v>-7.0000000000000284</v>
      </c>
      <c r="P107">
        <f t="shared" si="16"/>
        <v>-7.0000000000000284</v>
      </c>
      <c r="Q107">
        <f t="shared" si="17"/>
        <v>-8.0000000000000071</v>
      </c>
      <c r="R107">
        <f t="shared" si="18"/>
        <v>-7.0000000000000284</v>
      </c>
    </row>
    <row r="108" spans="1:18">
      <c r="A108" s="9">
        <v>36861</v>
      </c>
      <c r="B108">
        <v>6.48</v>
      </c>
      <c r="C108">
        <v>6.38</v>
      </c>
      <c r="D108">
        <v>6.4</v>
      </c>
      <c r="E108">
        <v>6.44</v>
      </c>
      <c r="F108">
        <v>6.48</v>
      </c>
      <c r="G108">
        <v>6.56</v>
      </c>
      <c r="H108">
        <v>6.64</v>
      </c>
      <c r="I108">
        <v>6.74</v>
      </c>
      <c r="K108">
        <f t="shared" si="11"/>
        <v>-0.99999999999997868</v>
      </c>
      <c r="L108">
        <f t="shared" si="12"/>
        <v>0</v>
      </c>
      <c r="M108">
        <f t="shared" si="13"/>
        <v>-0.99999999999997868</v>
      </c>
      <c r="N108">
        <f t="shared" si="14"/>
        <v>-1.9999999999999574</v>
      </c>
      <c r="O108">
        <f t="shared" si="15"/>
        <v>-2.9999999999999361</v>
      </c>
      <c r="P108">
        <f t="shared" si="16"/>
        <v>-3.0000000000000249</v>
      </c>
      <c r="Q108">
        <f t="shared" si="17"/>
        <v>-3.0000000000000249</v>
      </c>
      <c r="R108">
        <f t="shared" si="18"/>
        <v>-2.9999999999999361</v>
      </c>
    </row>
    <row r="109" spans="1:18">
      <c r="A109" s="9">
        <v>36864</v>
      </c>
      <c r="B109">
        <v>6.45</v>
      </c>
      <c r="C109">
        <v>6.34</v>
      </c>
      <c r="D109">
        <v>6.36</v>
      </c>
      <c r="E109">
        <v>6.41</v>
      </c>
      <c r="F109">
        <v>6.46</v>
      </c>
      <c r="G109">
        <v>6.54</v>
      </c>
      <c r="H109">
        <v>6.63</v>
      </c>
      <c r="I109">
        <v>6.72</v>
      </c>
      <c r="K109">
        <f t="shared" si="11"/>
        <v>-3.0000000000000249</v>
      </c>
      <c r="L109">
        <f t="shared" si="12"/>
        <v>-4.0000000000000036</v>
      </c>
      <c r="M109">
        <f t="shared" si="13"/>
        <v>-4.0000000000000036</v>
      </c>
      <c r="N109">
        <f t="shared" si="14"/>
        <v>-3.0000000000000249</v>
      </c>
      <c r="O109">
        <f t="shared" si="15"/>
        <v>-2.0000000000000462</v>
      </c>
      <c r="P109">
        <f t="shared" si="16"/>
        <v>-1.9999999999999574</v>
      </c>
      <c r="Q109">
        <f t="shared" si="17"/>
        <v>-0.99999999999997868</v>
      </c>
      <c r="R109">
        <f t="shared" si="18"/>
        <v>-2.0000000000000462</v>
      </c>
    </row>
    <row r="110" spans="1:18">
      <c r="A110" s="9">
        <v>36865</v>
      </c>
      <c r="B110">
        <v>6.39</v>
      </c>
      <c r="C110">
        <v>6.28</v>
      </c>
      <c r="D110">
        <v>6.3</v>
      </c>
      <c r="E110">
        <v>6.36</v>
      </c>
      <c r="F110">
        <v>6.41</v>
      </c>
      <c r="G110">
        <v>6.49</v>
      </c>
      <c r="H110">
        <v>6.58</v>
      </c>
      <c r="I110">
        <v>6.7</v>
      </c>
      <c r="K110">
        <f t="shared" si="11"/>
        <v>-6.0000000000000497</v>
      </c>
      <c r="L110">
        <f t="shared" si="12"/>
        <v>-5.9999999999999609</v>
      </c>
      <c r="M110">
        <f t="shared" si="13"/>
        <v>-6.0000000000000497</v>
      </c>
      <c r="N110">
        <f t="shared" si="14"/>
        <v>-4.9999999999999822</v>
      </c>
      <c r="O110">
        <f t="shared" si="15"/>
        <v>-4.9999999999999822</v>
      </c>
      <c r="P110">
        <f t="shared" si="16"/>
        <v>-4.9999999999999822</v>
      </c>
      <c r="Q110">
        <f t="shared" si="17"/>
        <v>-4.9999999999999822</v>
      </c>
      <c r="R110">
        <f t="shared" si="18"/>
        <v>-1.9999999999999574</v>
      </c>
    </row>
    <row r="111" spans="1:18">
      <c r="A111" s="9">
        <v>36866</v>
      </c>
      <c r="B111">
        <v>6.32</v>
      </c>
      <c r="C111">
        <v>6.2</v>
      </c>
      <c r="D111">
        <v>6.21</v>
      </c>
      <c r="E111">
        <v>6.25</v>
      </c>
      <c r="F111">
        <v>6.29</v>
      </c>
      <c r="G111">
        <v>6.36</v>
      </c>
      <c r="H111">
        <v>6.44</v>
      </c>
      <c r="I111">
        <v>6.59</v>
      </c>
      <c r="K111">
        <f t="shared" si="11"/>
        <v>-6.9999999999999396</v>
      </c>
      <c r="L111">
        <f t="shared" si="12"/>
        <v>-8.0000000000000071</v>
      </c>
      <c r="M111">
        <f t="shared" si="13"/>
        <v>-8.9999999999999858</v>
      </c>
      <c r="N111">
        <f t="shared" si="14"/>
        <v>-11.000000000000032</v>
      </c>
      <c r="O111">
        <f t="shared" si="15"/>
        <v>-12.000000000000011</v>
      </c>
      <c r="P111">
        <f t="shared" si="16"/>
        <v>-12.999999999999989</v>
      </c>
      <c r="Q111">
        <f t="shared" si="17"/>
        <v>-13.999999999999968</v>
      </c>
      <c r="R111">
        <f t="shared" si="18"/>
        <v>-11.000000000000032</v>
      </c>
    </row>
    <row r="112" spans="1:18">
      <c r="A112" s="9">
        <v>36867</v>
      </c>
      <c r="B112">
        <v>6.31</v>
      </c>
      <c r="C112">
        <v>6.19</v>
      </c>
      <c r="D112">
        <v>6.2</v>
      </c>
      <c r="E112">
        <v>6.23</v>
      </c>
      <c r="F112">
        <v>6.26</v>
      </c>
      <c r="G112">
        <v>6.33</v>
      </c>
      <c r="H112">
        <v>6.41</v>
      </c>
      <c r="I112">
        <v>6.56</v>
      </c>
      <c r="K112">
        <f t="shared" si="11"/>
        <v>-1.0000000000000675</v>
      </c>
      <c r="L112">
        <f t="shared" si="12"/>
        <v>-0.99999999999997868</v>
      </c>
      <c r="M112">
        <f t="shared" si="13"/>
        <v>-0.99999999999997868</v>
      </c>
      <c r="N112">
        <f t="shared" si="14"/>
        <v>-1.9999999999999574</v>
      </c>
      <c r="O112">
        <f t="shared" si="15"/>
        <v>-3.0000000000000249</v>
      </c>
      <c r="P112">
        <f t="shared" si="16"/>
        <v>-3.0000000000000249</v>
      </c>
      <c r="Q112">
        <f t="shared" si="17"/>
        <v>-3.0000000000000249</v>
      </c>
      <c r="R112">
        <f t="shared" si="18"/>
        <v>-3.0000000000000249</v>
      </c>
    </row>
    <row r="113" spans="1:18">
      <c r="A113" s="9">
        <v>36868</v>
      </c>
      <c r="B113">
        <v>6.3</v>
      </c>
      <c r="C113">
        <v>6.17</v>
      </c>
      <c r="D113">
        <v>6.17</v>
      </c>
      <c r="E113">
        <v>6.2</v>
      </c>
      <c r="F113">
        <v>6.22</v>
      </c>
      <c r="G113">
        <v>6.28</v>
      </c>
      <c r="H113">
        <v>6.34</v>
      </c>
      <c r="I113">
        <v>6.48</v>
      </c>
      <c r="K113">
        <f t="shared" si="11"/>
        <v>-0.99999999999997868</v>
      </c>
      <c r="L113">
        <f t="shared" si="12"/>
        <v>-2.0000000000000462</v>
      </c>
      <c r="M113">
        <f t="shared" si="13"/>
        <v>-3.0000000000000249</v>
      </c>
      <c r="N113">
        <f t="shared" si="14"/>
        <v>-3.0000000000000249</v>
      </c>
      <c r="O113">
        <f t="shared" si="15"/>
        <v>-4.0000000000000036</v>
      </c>
      <c r="P113">
        <f t="shared" si="16"/>
        <v>-4.9999999999999822</v>
      </c>
      <c r="Q113">
        <f t="shared" si="17"/>
        <v>-7.0000000000000284</v>
      </c>
      <c r="R113">
        <f t="shared" si="18"/>
        <v>-7.9999999999999183</v>
      </c>
    </row>
    <row r="114" spans="1:18">
      <c r="A114" s="9">
        <v>36871</v>
      </c>
      <c r="B114">
        <v>6.33</v>
      </c>
      <c r="C114">
        <v>6.21</v>
      </c>
      <c r="D114">
        <v>6.21</v>
      </c>
      <c r="E114">
        <v>6.23</v>
      </c>
      <c r="F114">
        <v>6.26</v>
      </c>
      <c r="G114">
        <v>6.31</v>
      </c>
      <c r="H114">
        <v>6.37</v>
      </c>
      <c r="I114">
        <v>6.49</v>
      </c>
      <c r="K114">
        <f t="shared" si="11"/>
        <v>3.0000000000000249</v>
      </c>
      <c r="L114">
        <f t="shared" si="12"/>
        <v>4.0000000000000036</v>
      </c>
      <c r="M114">
        <f t="shared" si="13"/>
        <v>4.0000000000000036</v>
      </c>
      <c r="N114">
        <f t="shared" si="14"/>
        <v>3.0000000000000249</v>
      </c>
      <c r="O114">
        <f t="shared" si="15"/>
        <v>4.0000000000000036</v>
      </c>
      <c r="P114">
        <f t="shared" si="16"/>
        <v>2.9999999999999361</v>
      </c>
      <c r="Q114">
        <f t="shared" si="17"/>
        <v>3.0000000000000249</v>
      </c>
      <c r="R114">
        <f t="shared" si="18"/>
        <v>0.99999999999997868</v>
      </c>
    </row>
    <row r="115" spans="1:18">
      <c r="A115" s="9">
        <v>36872</v>
      </c>
      <c r="B115">
        <v>6.33</v>
      </c>
      <c r="C115">
        <v>6.23</v>
      </c>
      <c r="D115">
        <v>6.23</v>
      </c>
      <c r="E115">
        <v>6.26</v>
      </c>
      <c r="F115">
        <v>6.28</v>
      </c>
      <c r="G115">
        <v>6.33</v>
      </c>
      <c r="H115">
        <v>6.38</v>
      </c>
      <c r="I115">
        <v>6.48</v>
      </c>
      <c r="K115">
        <f t="shared" si="11"/>
        <v>0</v>
      </c>
      <c r="L115">
        <f t="shared" si="12"/>
        <v>2.0000000000000462</v>
      </c>
      <c r="M115">
        <f t="shared" si="13"/>
        <v>2.0000000000000462</v>
      </c>
      <c r="N115">
        <f t="shared" si="14"/>
        <v>2.9999999999999361</v>
      </c>
      <c r="O115">
        <f t="shared" si="15"/>
        <v>2.0000000000000462</v>
      </c>
      <c r="P115">
        <f t="shared" si="16"/>
        <v>2.0000000000000462</v>
      </c>
      <c r="Q115">
        <f t="shared" si="17"/>
        <v>0.99999999999997868</v>
      </c>
      <c r="R115">
        <f t="shared" si="18"/>
        <v>-0.99999999999997868</v>
      </c>
    </row>
    <row r="116" spans="1:18">
      <c r="A116" s="9">
        <v>36873</v>
      </c>
      <c r="B116">
        <v>6.26</v>
      </c>
      <c r="C116">
        <v>6.15</v>
      </c>
      <c r="D116">
        <v>6.15</v>
      </c>
      <c r="E116">
        <v>6.17</v>
      </c>
      <c r="F116">
        <v>6.19</v>
      </c>
      <c r="G116">
        <v>6.23</v>
      </c>
      <c r="H116">
        <v>6.29</v>
      </c>
      <c r="I116">
        <v>6.42</v>
      </c>
      <c r="K116">
        <f t="shared" si="11"/>
        <v>-7.0000000000000284</v>
      </c>
      <c r="L116">
        <f t="shared" si="12"/>
        <v>-8.0000000000000071</v>
      </c>
      <c r="M116">
        <f t="shared" si="13"/>
        <v>-8.0000000000000071</v>
      </c>
      <c r="N116">
        <f t="shared" si="14"/>
        <v>-8.9999999999999858</v>
      </c>
      <c r="O116">
        <f t="shared" si="15"/>
        <v>-8.9999999999999858</v>
      </c>
      <c r="P116">
        <f t="shared" si="16"/>
        <v>-9.9999999999999645</v>
      </c>
      <c r="Q116">
        <f t="shared" si="17"/>
        <v>-8.9999999999999858</v>
      </c>
      <c r="R116">
        <f t="shared" si="18"/>
        <v>-6.0000000000000497</v>
      </c>
    </row>
    <row r="117" spans="1:18">
      <c r="A117" s="9">
        <v>36874</v>
      </c>
      <c r="B117">
        <v>6.19</v>
      </c>
      <c r="C117">
        <v>6.05</v>
      </c>
      <c r="D117">
        <v>6.04</v>
      </c>
      <c r="E117">
        <v>6.05</v>
      </c>
      <c r="F117">
        <v>6.06</v>
      </c>
      <c r="G117">
        <v>6.1</v>
      </c>
      <c r="H117">
        <v>6.14</v>
      </c>
      <c r="I117">
        <v>6.29</v>
      </c>
      <c r="K117">
        <f t="shared" si="11"/>
        <v>-6.9999999999999396</v>
      </c>
      <c r="L117">
        <f t="shared" si="12"/>
        <v>-10.000000000000053</v>
      </c>
      <c r="M117">
        <f t="shared" si="13"/>
        <v>-11.000000000000032</v>
      </c>
      <c r="N117">
        <f t="shared" si="14"/>
        <v>-12.000000000000011</v>
      </c>
      <c r="O117">
        <f t="shared" si="15"/>
        <v>-13.000000000000078</v>
      </c>
      <c r="P117">
        <f t="shared" si="16"/>
        <v>-13.000000000000078</v>
      </c>
      <c r="Q117">
        <f t="shared" si="17"/>
        <v>-15.000000000000036</v>
      </c>
      <c r="R117">
        <f t="shared" si="18"/>
        <v>-12.999999999999989</v>
      </c>
    </row>
    <row r="118" spans="1:18">
      <c r="A118" s="9">
        <v>36875</v>
      </c>
      <c r="B118">
        <v>6.19</v>
      </c>
      <c r="C118">
        <v>6.05</v>
      </c>
      <c r="D118">
        <v>6.05</v>
      </c>
      <c r="E118">
        <v>6.07</v>
      </c>
      <c r="F118">
        <v>6.08</v>
      </c>
      <c r="G118">
        <v>6.12</v>
      </c>
      <c r="H118">
        <v>6.17</v>
      </c>
      <c r="I118">
        <v>6.29</v>
      </c>
      <c r="K118">
        <f t="shared" si="11"/>
        <v>0</v>
      </c>
      <c r="L118">
        <f t="shared" si="12"/>
        <v>0</v>
      </c>
      <c r="M118">
        <f t="shared" si="13"/>
        <v>0.99999999999997868</v>
      </c>
      <c r="N118">
        <f t="shared" si="14"/>
        <v>2.0000000000000462</v>
      </c>
      <c r="O118">
        <f t="shared" si="15"/>
        <v>2.0000000000000462</v>
      </c>
      <c r="P118">
        <f t="shared" si="16"/>
        <v>2.0000000000000462</v>
      </c>
      <c r="Q118">
        <f t="shared" si="17"/>
        <v>3.0000000000000249</v>
      </c>
      <c r="R118">
        <f t="shared" si="18"/>
        <v>0</v>
      </c>
    </row>
    <row r="119" spans="1:18">
      <c r="A119" s="9">
        <v>36878</v>
      </c>
      <c r="B119">
        <v>6.12</v>
      </c>
      <c r="C119">
        <v>5.96</v>
      </c>
      <c r="D119">
        <v>5.95</v>
      </c>
      <c r="E119">
        <v>5.96</v>
      </c>
      <c r="F119">
        <v>5.98</v>
      </c>
      <c r="G119">
        <v>6.01</v>
      </c>
      <c r="H119">
        <v>6.06</v>
      </c>
      <c r="I119">
        <v>6.22</v>
      </c>
      <c r="K119">
        <f t="shared" si="11"/>
        <v>-7.0000000000000284</v>
      </c>
      <c r="L119">
        <f t="shared" si="12"/>
        <v>-8.9999999999999858</v>
      </c>
      <c r="M119">
        <f t="shared" si="13"/>
        <v>-9.9999999999999645</v>
      </c>
      <c r="N119">
        <f t="shared" si="14"/>
        <v>-11.000000000000032</v>
      </c>
      <c r="O119">
        <f t="shared" si="15"/>
        <v>-9.9999999999999645</v>
      </c>
      <c r="P119">
        <f t="shared" si="16"/>
        <v>-11.000000000000032</v>
      </c>
      <c r="Q119">
        <f t="shared" si="17"/>
        <v>-11.000000000000032</v>
      </c>
      <c r="R119">
        <f t="shared" si="18"/>
        <v>-7.0000000000000284</v>
      </c>
    </row>
    <row r="120" spans="1:18">
      <c r="A120" s="9">
        <v>36879</v>
      </c>
      <c r="B120">
        <v>6.15</v>
      </c>
      <c r="C120">
        <v>6.02</v>
      </c>
      <c r="D120">
        <v>6.03</v>
      </c>
      <c r="E120">
        <v>6.06</v>
      </c>
      <c r="F120">
        <v>6.09</v>
      </c>
      <c r="G120">
        <v>6.14</v>
      </c>
      <c r="H120">
        <v>6.21</v>
      </c>
      <c r="I120">
        <v>6.35</v>
      </c>
      <c r="K120">
        <f t="shared" si="11"/>
        <v>3.0000000000000249</v>
      </c>
      <c r="L120">
        <f t="shared" si="12"/>
        <v>5.9999999999999609</v>
      </c>
      <c r="M120">
        <f t="shared" si="13"/>
        <v>8.0000000000000071</v>
      </c>
      <c r="N120">
        <f t="shared" si="14"/>
        <v>9.9999999999999645</v>
      </c>
      <c r="O120">
        <f t="shared" si="15"/>
        <v>10.999999999999943</v>
      </c>
      <c r="P120">
        <f t="shared" si="16"/>
        <v>12.999999999999989</v>
      </c>
      <c r="Q120">
        <f t="shared" si="17"/>
        <v>15.000000000000036</v>
      </c>
      <c r="R120">
        <f t="shared" si="18"/>
        <v>12.999999999999989</v>
      </c>
    </row>
    <row r="121" spans="1:18">
      <c r="A121" s="9">
        <v>36880</v>
      </c>
      <c r="B121">
        <v>6.07</v>
      </c>
      <c r="C121">
        <v>5.92</v>
      </c>
      <c r="D121">
        <v>5.93</v>
      </c>
      <c r="E121">
        <v>5.96</v>
      </c>
      <c r="F121">
        <v>5.99</v>
      </c>
      <c r="G121">
        <v>6.04</v>
      </c>
      <c r="H121">
        <v>6.11</v>
      </c>
      <c r="I121">
        <v>6.28</v>
      </c>
      <c r="K121">
        <f t="shared" si="11"/>
        <v>-8.0000000000000071</v>
      </c>
      <c r="L121">
        <f t="shared" si="12"/>
        <v>-9.9999999999999645</v>
      </c>
      <c r="M121">
        <f t="shared" si="13"/>
        <v>-10.000000000000053</v>
      </c>
      <c r="N121">
        <f t="shared" si="14"/>
        <v>-9.9999999999999645</v>
      </c>
      <c r="O121">
        <f t="shared" si="15"/>
        <v>-9.9999999999999645</v>
      </c>
      <c r="P121">
        <f t="shared" si="16"/>
        <v>-9.9999999999999645</v>
      </c>
      <c r="Q121">
        <f t="shared" si="17"/>
        <v>-9.9999999999999645</v>
      </c>
      <c r="R121">
        <f t="shared" si="18"/>
        <v>-6.9999999999999396</v>
      </c>
    </row>
    <row r="122" spans="1:18">
      <c r="A122" s="9">
        <v>36881</v>
      </c>
      <c r="B122">
        <v>6</v>
      </c>
      <c r="C122">
        <v>5.87</v>
      </c>
      <c r="D122">
        <v>5.87</v>
      </c>
      <c r="E122">
        <v>5.9</v>
      </c>
      <c r="F122">
        <v>5.93</v>
      </c>
      <c r="G122">
        <v>5.99</v>
      </c>
      <c r="H122">
        <v>6.07</v>
      </c>
      <c r="I122">
        <v>6.25</v>
      </c>
      <c r="K122">
        <f t="shared" si="11"/>
        <v>-7.0000000000000284</v>
      </c>
      <c r="L122">
        <f t="shared" si="12"/>
        <v>-4.9999999999999822</v>
      </c>
      <c r="M122">
        <f t="shared" si="13"/>
        <v>-5.9999999999999609</v>
      </c>
      <c r="N122">
        <f t="shared" si="14"/>
        <v>-5.9999999999999609</v>
      </c>
      <c r="O122">
        <f t="shared" si="15"/>
        <v>-6.0000000000000497</v>
      </c>
      <c r="P122">
        <f t="shared" si="16"/>
        <v>-4.9999999999999822</v>
      </c>
      <c r="Q122">
        <f t="shared" si="17"/>
        <v>-4.0000000000000036</v>
      </c>
      <c r="R122">
        <f t="shared" si="18"/>
        <v>-3.0000000000000249</v>
      </c>
    </row>
    <row r="123" spans="1:18">
      <c r="A123" s="9">
        <v>36882</v>
      </c>
      <c r="B123">
        <v>5.94</v>
      </c>
      <c r="C123">
        <v>5.81</v>
      </c>
      <c r="D123">
        <v>5.83</v>
      </c>
      <c r="E123">
        <v>5.87</v>
      </c>
      <c r="F123">
        <v>5.91</v>
      </c>
      <c r="G123">
        <v>5.97</v>
      </c>
      <c r="H123">
        <v>6.05</v>
      </c>
      <c r="I123">
        <v>6.23</v>
      </c>
      <c r="K123">
        <f t="shared" si="11"/>
        <v>-5.9999999999999609</v>
      </c>
      <c r="L123">
        <f t="shared" si="12"/>
        <v>-6.0000000000000497</v>
      </c>
      <c r="M123">
        <f t="shared" si="13"/>
        <v>-4.0000000000000036</v>
      </c>
      <c r="N123">
        <f t="shared" si="14"/>
        <v>-3.0000000000000249</v>
      </c>
      <c r="O123">
        <f t="shared" si="15"/>
        <v>-1.9999999999999574</v>
      </c>
      <c r="P123">
        <f t="shared" si="16"/>
        <v>-2.0000000000000462</v>
      </c>
      <c r="Q123">
        <f t="shared" si="17"/>
        <v>-2.0000000000000462</v>
      </c>
      <c r="R123">
        <f t="shared" si="18"/>
        <v>-1.9999999999999574</v>
      </c>
    </row>
    <row r="124" spans="1:18">
      <c r="A124" s="9">
        <v>36886</v>
      </c>
      <c r="B124">
        <v>5.93</v>
      </c>
      <c r="C124">
        <v>5.8</v>
      </c>
      <c r="D124">
        <v>5.82</v>
      </c>
      <c r="E124">
        <v>5.86</v>
      </c>
      <c r="F124">
        <v>5.9</v>
      </c>
      <c r="G124">
        <v>5.97</v>
      </c>
      <c r="H124">
        <v>6.04</v>
      </c>
      <c r="I124">
        <v>6.22</v>
      </c>
      <c r="K124">
        <f t="shared" si="11"/>
        <v>-1.0000000000000675</v>
      </c>
      <c r="L124">
        <f t="shared" si="12"/>
        <v>-0.99999999999997868</v>
      </c>
      <c r="M124">
        <f t="shared" si="13"/>
        <v>-0.99999999999997868</v>
      </c>
      <c r="N124">
        <f t="shared" si="14"/>
        <v>-0.99999999999997868</v>
      </c>
      <c r="O124">
        <f t="shared" si="15"/>
        <v>-0.99999999999997868</v>
      </c>
      <c r="P124">
        <f t="shared" si="16"/>
        <v>0</v>
      </c>
      <c r="Q124">
        <f t="shared" si="17"/>
        <v>-0.99999999999997868</v>
      </c>
      <c r="R124">
        <f t="shared" si="18"/>
        <v>-1.0000000000000675</v>
      </c>
    </row>
    <row r="125" spans="1:18">
      <c r="A125" s="9">
        <v>36887</v>
      </c>
      <c r="B125">
        <v>5.97</v>
      </c>
      <c r="C125">
        <v>5.87</v>
      </c>
      <c r="D125">
        <v>5.89</v>
      </c>
      <c r="E125">
        <v>5.93</v>
      </c>
      <c r="F125">
        <v>5.97</v>
      </c>
      <c r="G125">
        <v>6.03</v>
      </c>
      <c r="H125">
        <v>6.1</v>
      </c>
      <c r="I125">
        <v>6.25</v>
      </c>
      <c r="K125">
        <f t="shared" si="11"/>
        <v>4.0000000000000036</v>
      </c>
      <c r="L125">
        <f t="shared" si="12"/>
        <v>7.0000000000000284</v>
      </c>
      <c r="M125">
        <f t="shared" si="13"/>
        <v>6.9999999999999396</v>
      </c>
      <c r="N125">
        <f t="shared" si="14"/>
        <v>6.9999999999999396</v>
      </c>
      <c r="O125">
        <f t="shared" si="15"/>
        <v>6.9999999999999396</v>
      </c>
      <c r="P125">
        <f t="shared" si="16"/>
        <v>6.0000000000000497</v>
      </c>
      <c r="Q125">
        <f t="shared" si="17"/>
        <v>5.9999999999999609</v>
      </c>
      <c r="R125">
        <f t="shared" si="18"/>
        <v>3.0000000000000249</v>
      </c>
    </row>
    <row r="126" spans="1:18">
      <c r="A126" s="9">
        <v>36888</v>
      </c>
      <c r="B126">
        <v>5.99</v>
      </c>
      <c r="C126">
        <v>5.92</v>
      </c>
      <c r="D126">
        <v>5.96</v>
      </c>
      <c r="E126">
        <v>6.01</v>
      </c>
      <c r="F126">
        <v>6.05</v>
      </c>
      <c r="G126">
        <v>6.11</v>
      </c>
      <c r="H126">
        <v>6.19</v>
      </c>
      <c r="I126">
        <v>6.31</v>
      </c>
      <c r="K126">
        <f t="shared" si="11"/>
        <v>2.0000000000000462</v>
      </c>
      <c r="L126">
        <f t="shared" si="12"/>
        <v>4.9999999999999822</v>
      </c>
      <c r="M126">
        <f t="shared" si="13"/>
        <v>7.0000000000000284</v>
      </c>
      <c r="N126">
        <f t="shared" si="14"/>
        <v>8.0000000000000071</v>
      </c>
      <c r="O126">
        <f t="shared" si="15"/>
        <v>8.0000000000000071</v>
      </c>
      <c r="P126">
        <f t="shared" si="16"/>
        <v>8.0000000000000071</v>
      </c>
      <c r="Q126">
        <f t="shared" si="17"/>
        <v>9.0000000000000746</v>
      </c>
      <c r="R126">
        <f t="shared" si="18"/>
        <v>5.9999999999999609</v>
      </c>
    </row>
    <row r="127" spans="1:18">
      <c r="A127" s="9">
        <v>36889</v>
      </c>
      <c r="B127">
        <v>5.95</v>
      </c>
      <c r="C127">
        <v>5.85</v>
      </c>
      <c r="D127">
        <v>5.89</v>
      </c>
      <c r="E127">
        <v>5.94</v>
      </c>
      <c r="F127">
        <v>5.98</v>
      </c>
      <c r="G127">
        <v>6.05</v>
      </c>
      <c r="H127">
        <v>6.13</v>
      </c>
      <c r="I127">
        <v>6.28</v>
      </c>
      <c r="K127">
        <f t="shared" si="11"/>
        <v>-4.0000000000000036</v>
      </c>
      <c r="L127">
        <f t="shared" si="12"/>
        <v>-7.0000000000000284</v>
      </c>
      <c r="M127">
        <f t="shared" si="13"/>
        <v>-7.0000000000000284</v>
      </c>
      <c r="N127">
        <f t="shared" si="14"/>
        <v>-6.9999999999999396</v>
      </c>
      <c r="O127">
        <f t="shared" si="15"/>
        <v>-6.9999999999999396</v>
      </c>
      <c r="P127">
        <f t="shared" si="16"/>
        <v>-6.0000000000000497</v>
      </c>
      <c r="Q127">
        <f t="shared" si="17"/>
        <v>-6.0000000000000497</v>
      </c>
      <c r="R127">
        <f t="shared" si="18"/>
        <v>-2.9999999999999361</v>
      </c>
    </row>
    <row r="128" spans="1:18">
      <c r="A128" s="9">
        <v>36893</v>
      </c>
      <c r="B128">
        <v>5.81</v>
      </c>
      <c r="C128">
        <v>5.68</v>
      </c>
      <c r="D128">
        <v>5.71</v>
      </c>
      <c r="E128">
        <v>5.74</v>
      </c>
      <c r="F128">
        <v>5.79</v>
      </c>
      <c r="G128">
        <v>5.85</v>
      </c>
      <c r="H128">
        <v>5.95</v>
      </c>
      <c r="I128">
        <v>6.18</v>
      </c>
      <c r="K128">
        <f t="shared" si="11"/>
        <v>-14.000000000000057</v>
      </c>
      <c r="L128">
        <f t="shared" si="12"/>
        <v>-16.999999999999993</v>
      </c>
      <c r="M128">
        <f t="shared" si="13"/>
        <v>-17.999999999999972</v>
      </c>
      <c r="N128">
        <f t="shared" si="14"/>
        <v>-20.000000000000018</v>
      </c>
      <c r="O128">
        <f t="shared" si="15"/>
        <v>-19.000000000000039</v>
      </c>
      <c r="P128">
        <f t="shared" si="16"/>
        <v>-20.000000000000018</v>
      </c>
      <c r="Q128">
        <f t="shared" si="17"/>
        <v>-17.999999999999972</v>
      </c>
      <c r="R128">
        <f t="shared" si="18"/>
        <v>-10.000000000000053</v>
      </c>
    </row>
    <row r="129" spans="1:18">
      <c r="A129" s="9">
        <v>36894</v>
      </c>
      <c r="B129">
        <v>5.77</v>
      </c>
      <c r="C129">
        <v>5.66</v>
      </c>
      <c r="D129">
        <v>5.69</v>
      </c>
      <c r="E129">
        <v>5.73</v>
      </c>
      <c r="F129">
        <v>5.78</v>
      </c>
      <c r="G129">
        <v>5.84</v>
      </c>
      <c r="H129">
        <v>5.92</v>
      </c>
      <c r="I129">
        <v>6.13</v>
      </c>
      <c r="K129">
        <f t="shared" si="11"/>
        <v>-4.0000000000000036</v>
      </c>
      <c r="L129">
        <f t="shared" si="12"/>
        <v>-1.9999999999999574</v>
      </c>
      <c r="M129">
        <f t="shared" si="13"/>
        <v>-1.9999999999999574</v>
      </c>
      <c r="N129">
        <f t="shared" si="14"/>
        <v>-0.99999999999997868</v>
      </c>
      <c r="O129">
        <f t="shared" si="15"/>
        <v>-0.99999999999997868</v>
      </c>
      <c r="P129">
        <f t="shared" si="16"/>
        <v>-0.99999999999997868</v>
      </c>
      <c r="Q129">
        <f t="shared" si="17"/>
        <v>-3.0000000000000249</v>
      </c>
      <c r="R129">
        <f t="shared" si="18"/>
        <v>-4.9999999999999822</v>
      </c>
    </row>
    <row r="130" spans="1:18">
      <c r="A130" s="9">
        <v>36895</v>
      </c>
      <c r="B130">
        <v>5.48</v>
      </c>
      <c r="C130">
        <v>5.51</v>
      </c>
      <c r="D130">
        <v>5.61</v>
      </c>
      <c r="E130">
        <v>5.71</v>
      </c>
      <c r="F130">
        <v>5.78</v>
      </c>
      <c r="G130">
        <v>5.88</v>
      </c>
      <c r="H130">
        <v>6</v>
      </c>
      <c r="I130">
        <v>6.21</v>
      </c>
      <c r="K130">
        <f t="shared" si="11"/>
        <v>-28.999999999999915</v>
      </c>
      <c r="L130">
        <f t="shared" si="12"/>
        <v>-15.000000000000036</v>
      </c>
      <c r="M130">
        <f t="shared" si="13"/>
        <v>-8.0000000000000071</v>
      </c>
      <c r="N130">
        <f t="shared" si="14"/>
        <v>-2.0000000000000462</v>
      </c>
      <c r="O130">
        <f t="shared" si="15"/>
        <v>0</v>
      </c>
      <c r="P130">
        <f t="shared" si="16"/>
        <v>4.0000000000000036</v>
      </c>
      <c r="Q130">
        <f t="shared" si="17"/>
        <v>8.0000000000000071</v>
      </c>
      <c r="R130">
        <f t="shared" si="18"/>
        <v>8.0000000000000071</v>
      </c>
    </row>
    <row r="131" spans="1:18">
      <c r="A131" s="9">
        <v>36896</v>
      </c>
      <c r="B131">
        <v>5.35</v>
      </c>
      <c r="C131">
        <v>5.38</v>
      </c>
      <c r="D131">
        <v>5.48</v>
      </c>
      <c r="E131">
        <v>5.58</v>
      </c>
      <c r="F131">
        <v>5.64</v>
      </c>
      <c r="G131">
        <v>5.76</v>
      </c>
      <c r="H131">
        <v>5.9</v>
      </c>
      <c r="I131">
        <v>6.15</v>
      </c>
      <c r="K131">
        <f t="shared" si="11"/>
        <v>-13.000000000000078</v>
      </c>
      <c r="L131">
        <f t="shared" si="12"/>
        <v>-12.999999999999989</v>
      </c>
      <c r="M131">
        <f t="shared" si="13"/>
        <v>-12.999999999999989</v>
      </c>
      <c r="N131">
        <f t="shared" si="14"/>
        <v>-12.999999999999989</v>
      </c>
      <c r="O131">
        <f t="shared" si="15"/>
        <v>-14.000000000000057</v>
      </c>
      <c r="P131">
        <f t="shared" si="16"/>
        <v>-12.000000000000011</v>
      </c>
      <c r="Q131">
        <f t="shared" si="17"/>
        <v>-9.9999999999999645</v>
      </c>
      <c r="R131">
        <f t="shared" si="18"/>
        <v>-5.9999999999999609</v>
      </c>
    </row>
    <row r="132" spans="1:18">
      <c r="A132" s="9">
        <v>36899</v>
      </c>
      <c r="B132">
        <v>5.27</v>
      </c>
      <c r="C132">
        <v>5.27</v>
      </c>
      <c r="D132">
        <v>5.36</v>
      </c>
      <c r="E132">
        <v>5.44</v>
      </c>
      <c r="F132">
        <v>5.5</v>
      </c>
      <c r="G132">
        <v>5.62</v>
      </c>
      <c r="H132">
        <v>5.77</v>
      </c>
      <c r="I132">
        <v>6.03</v>
      </c>
      <c r="K132">
        <f t="shared" si="11"/>
        <v>-8.0000000000000071</v>
      </c>
      <c r="L132">
        <f t="shared" si="12"/>
        <v>-11.000000000000032</v>
      </c>
      <c r="M132">
        <f t="shared" si="13"/>
        <v>-12.000000000000011</v>
      </c>
      <c r="N132">
        <f t="shared" si="14"/>
        <v>-13.999999999999968</v>
      </c>
      <c r="O132">
        <f t="shared" si="15"/>
        <v>-13.999999999999968</v>
      </c>
      <c r="P132">
        <f t="shared" si="16"/>
        <v>-13.999999999999968</v>
      </c>
      <c r="Q132">
        <f t="shared" si="17"/>
        <v>-13.000000000000078</v>
      </c>
      <c r="R132">
        <f t="shared" si="18"/>
        <v>-12.000000000000011</v>
      </c>
    </row>
    <row r="133" spans="1:18">
      <c r="A133" s="9">
        <v>36900</v>
      </c>
      <c r="B133">
        <v>5.33</v>
      </c>
      <c r="C133">
        <v>5.34</v>
      </c>
      <c r="D133">
        <v>5.42</v>
      </c>
      <c r="E133">
        <v>5.5</v>
      </c>
      <c r="F133">
        <v>5.57</v>
      </c>
      <c r="G133">
        <v>5.7</v>
      </c>
      <c r="H133">
        <v>5.85</v>
      </c>
      <c r="I133">
        <v>6.11</v>
      </c>
      <c r="K133">
        <f t="shared" ref="K133:K196" si="19">(B133-B132)*100</f>
        <v>6.0000000000000497</v>
      </c>
      <c r="L133">
        <f t="shared" ref="L133:L196" si="20">(C133-C132)*100</f>
        <v>7.0000000000000284</v>
      </c>
      <c r="M133">
        <f t="shared" ref="M133:M196" si="21">(D133-D132)*100</f>
        <v>5.9999999999999609</v>
      </c>
      <c r="N133">
        <f t="shared" ref="N133:N196" si="22">(E133-E132)*100</f>
        <v>5.9999999999999609</v>
      </c>
      <c r="O133">
        <f t="shared" ref="O133:O196" si="23">(F133-F132)*100</f>
        <v>7.0000000000000284</v>
      </c>
      <c r="P133">
        <f t="shared" ref="P133:P196" si="24">(G133-G132)*100</f>
        <v>8.0000000000000071</v>
      </c>
      <c r="Q133">
        <f t="shared" ref="Q133:Q196" si="25">(H133-H132)*100</f>
        <v>8.0000000000000071</v>
      </c>
      <c r="R133">
        <f t="shared" ref="R133:R196" si="26">(I133-I132)*100</f>
        <v>8.0000000000000071</v>
      </c>
    </row>
    <row r="134" spans="1:18">
      <c r="A134" s="9">
        <v>36901</v>
      </c>
      <c r="B134">
        <v>5.37</v>
      </c>
      <c r="C134">
        <v>5.38</v>
      </c>
      <c r="D134">
        <v>5.47</v>
      </c>
      <c r="E134">
        <v>5.55</v>
      </c>
      <c r="F134">
        <v>5.62</v>
      </c>
      <c r="G134">
        <v>5.75</v>
      </c>
      <c r="H134">
        <v>5.9</v>
      </c>
      <c r="I134">
        <v>6.13</v>
      </c>
      <c r="K134">
        <f t="shared" si="19"/>
        <v>4.0000000000000036</v>
      </c>
      <c r="L134">
        <f t="shared" si="20"/>
        <v>4.0000000000000036</v>
      </c>
      <c r="M134">
        <f t="shared" si="21"/>
        <v>4.9999999999999822</v>
      </c>
      <c r="N134">
        <f t="shared" si="22"/>
        <v>4.9999999999999822</v>
      </c>
      <c r="O134">
        <f t="shared" si="23"/>
        <v>4.9999999999999822</v>
      </c>
      <c r="P134">
        <f t="shared" si="24"/>
        <v>4.9999999999999822</v>
      </c>
      <c r="Q134">
        <f t="shared" si="25"/>
        <v>5.0000000000000711</v>
      </c>
      <c r="R134">
        <f t="shared" si="26"/>
        <v>1.9999999999999574</v>
      </c>
    </row>
    <row r="135" spans="1:18">
      <c r="A135" s="9">
        <v>36902</v>
      </c>
      <c r="B135">
        <v>5.39</v>
      </c>
      <c r="C135">
        <v>5.42</v>
      </c>
      <c r="D135">
        <v>5.53</v>
      </c>
      <c r="E135">
        <v>5.62</v>
      </c>
      <c r="F135">
        <v>5.7</v>
      </c>
      <c r="G135">
        <v>5.82</v>
      </c>
      <c r="H135">
        <v>5.96</v>
      </c>
      <c r="I135">
        <v>6.17</v>
      </c>
      <c r="K135">
        <f t="shared" si="19"/>
        <v>1.9999999999999574</v>
      </c>
      <c r="L135">
        <f t="shared" si="20"/>
        <v>4.0000000000000036</v>
      </c>
      <c r="M135">
        <f t="shared" si="21"/>
        <v>6.0000000000000497</v>
      </c>
      <c r="N135">
        <f t="shared" si="22"/>
        <v>7.0000000000000284</v>
      </c>
      <c r="O135">
        <f t="shared" si="23"/>
        <v>8.0000000000000071</v>
      </c>
      <c r="P135">
        <f t="shared" si="24"/>
        <v>7.0000000000000284</v>
      </c>
      <c r="Q135">
        <f t="shared" si="25"/>
        <v>5.9999999999999609</v>
      </c>
      <c r="R135">
        <f t="shared" si="26"/>
        <v>4.0000000000000036</v>
      </c>
    </row>
    <row r="136" spans="1:18">
      <c r="A136" s="9">
        <v>36903</v>
      </c>
      <c r="B136">
        <v>5.48</v>
      </c>
      <c r="C136">
        <v>5.54</v>
      </c>
      <c r="D136">
        <v>5.66</v>
      </c>
      <c r="E136">
        <v>5.77</v>
      </c>
      <c r="F136">
        <v>5.85</v>
      </c>
      <c r="G136">
        <v>5.98</v>
      </c>
      <c r="H136">
        <v>6.12</v>
      </c>
      <c r="I136">
        <v>6.34</v>
      </c>
      <c r="K136">
        <f t="shared" si="19"/>
        <v>9.0000000000000746</v>
      </c>
      <c r="L136">
        <f t="shared" si="20"/>
        <v>12.000000000000011</v>
      </c>
      <c r="M136">
        <f t="shared" si="21"/>
        <v>12.999999999999989</v>
      </c>
      <c r="N136">
        <f t="shared" si="22"/>
        <v>14.999999999999947</v>
      </c>
      <c r="O136">
        <f t="shared" si="23"/>
        <v>14.999999999999947</v>
      </c>
      <c r="P136">
        <f t="shared" si="24"/>
        <v>16.000000000000014</v>
      </c>
      <c r="Q136">
        <f t="shared" si="25"/>
        <v>16.000000000000014</v>
      </c>
      <c r="R136">
        <f t="shared" si="26"/>
        <v>16.999999999999993</v>
      </c>
    </row>
    <row r="137" spans="1:18">
      <c r="A137" s="9">
        <v>36907</v>
      </c>
      <c r="B137">
        <v>5.47</v>
      </c>
      <c r="C137">
        <v>5.53</v>
      </c>
      <c r="D137">
        <v>5.65</v>
      </c>
      <c r="E137">
        <v>5.76</v>
      </c>
      <c r="F137">
        <v>5.84</v>
      </c>
      <c r="G137">
        <v>5.97</v>
      </c>
      <c r="H137">
        <v>6.13</v>
      </c>
      <c r="I137">
        <v>6.36</v>
      </c>
      <c r="K137">
        <f t="shared" si="19"/>
        <v>-1.0000000000000675</v>
      </c>
      <c r="L137">
        <f t="shared" si="20"/>
        <v>-0.99999999999997868</v>
      </c>
      <c r="M137">
        <f t="shared" si="21"/>
        <v>-0.99999999999997868</v>
      </c>
      <c r="N137">
        <f t="shared" si="22"/>
        <v>-0.99999999999997868</v>
      </c>
      <c r="O137">
        <f t="shared" si="23"/>
        <v>-0.99999999999997868</v>
      </c>
      <c r="P137">
        <f t="shared" si="24"/>
        <v>-1.0000000000000675</v>
      </c>
      <c r="Q137">
        <f t="shared" si="25"/>
        <v>0.99999999999997868</v>
      </c>
      <c r="R137">
        <f t="shared" si="26"/>
        <v>2.0000000000000462</v>
      </c>
    </row>
    <row r="138" spans="1:18">
      <c r="A138" s="9">
        <v>36908</v>
      </c>
      <c r="B138">
        <v>5.49</v>
      </c>
      <c r="C138">
        <v>5.55</v>
      </c>
      <c r="D138">
        <v>5.66</v>
      </c>
      <c r="E138">
        <v>5.75</v>
      </c>
      <c r="F138">
        <v>5.82</v>
      </c>
      <c r="G138">
        <v>5.95</v>
      </c>
      <c r="H138">
        <v>6.08</v>
      </c>
      <c r="I138">
        <v>6.29</v>
      </c>
      <c r="K138">
        <f t="shared" si="19"/>
        <v>2.0000000000000462</v>
      </c>
      <c r="L138">
        <f t="shared" si="20"/>
        <v>1.9999999999999574</v>
      </c>
      <c r="M138">
        <f t="shared" si="21"/>
        <v>0.99999999999997868</v>
      </c>
      <c r="N138">
        <f t="shared" si="22"/>
        <v>-0.99999999999997868</v>
      </c>
      <c r="O138">
        <f t="shared" si="23"/>
        <v>-1.9999999999999574</v>
      </c>
      <c r="P138">
        <f t="shared" si="24"/>
        <v>-1.9999999999999574</v>
      </c>
      <c r="Q138">
        <f t="shared" si="25"/>
        <v>-4.9999999999999822</v>
      </c>
      <c r="R138">
        <f t="shared" si="26"/>
        <v>-7.0000000000000284</v>
      </c>
    </row>
    <row r="139" spans="1:18">
      <c r="A139" s="9">
        <v>36909</v>
      </c>
      <c r="B139">
        <v>5.33</v>
      </c>
      <c r="C139">
        <v>5.38</v>
      </c>
      <c r="D139">
        <v>5.49</v>
      </c>
      <c r="E139">
        <v>5.59</v>
      </c>
      <c r="F139">
        <v>5.66</v>
      </c>
      <c r="G139">
        <v>5.81</v>
      </c>
      <c r="H139">
        <v>5.96</v>
      </c>
      <c r="I139">
        <v>6.21</v>
      </c>
      <c r="K139">
        <f t="shared" si="19"/>
        <v>-16.000000000000014</v>
      </c>
      <c r="L139">
        <f t="shared" si="20"/>
        <v>-16.999999999999993</v>
      </c>
      <c r="M139">
        <f t="shared" si="21"/>
        <v>-16.999999999999993</v>
      </c>
      <c r="N139">
        <f t="shared" si="22"/>
        <v>-16.000000000000014</v>
      </c>
      <c r="O139">
        <f t="shared" si="23"/>
        <v>-16.000000000000014</v>
      </c>
      <c r="P139">
        <f t="shared" si="24"/>
        <v>-14.000000000000057</v>
      </c>
      <c r="Q139">
        <f t="shared" si="25"/>
        <v>-12.000000000000011</v>
      </c>
      <c r="R139">
        <f t="shared" si="26"/>
        <v>-8.0000000000000071</v>
      </c>
    </row>
    <row r="140" spans="1:18">
      <c r="A140" s="9">
        <v>36910</v>
      </c>
      <c r="B140">
        <v>5.27</v>
      </c>
      <c r="C140">
        <v>5.34</v>
      </c>
      <c r="D140">
        <v>5.49</v>
      </c>
      <c r="E140">
        <v>5.6</v>
      </c>
      <c r="F140">
        <v>5.7</v>
      </c>
      <c r="G140">
        <v>5.85</v>
      </c>
      <c r="H140">
        <v>6.01</v>
      </c>
      <c r="I140">
        <v>6.26</v>
      </c>
      <c r="K140">
        <f t="shared" si="19"/>
        <v>-6.0000000000000497</v>
      </c>
      <c r="L140">
        <f t="shared" si="20"/>
        <v>-4.0000000000000036</v>
      </c>
      <c r="M140">
        <f t="shared" si="21"/>
        <v>0</v>
      </c>
      <c r="N140">
        <f t="shared" si="22"/>
        <v>0.99999999999997868</v>
      </c>
      <c r="O140">
        <f t="shared" si="23"/>
        <v>4.0000000000000036</v>
      </c>
      <c r="P140">
        <f t="shared" si="24"/>
        <v>4.0000000000000036</v>
      </c>
      <c r="Q140">
        <f t="shared" si="25"/>
        <v>4.9999999999999822</v>
      </c>
      <c r="R140">
        <f t="shared" si="26"/>
        <v>4.9999999999999822</v>
      </c>
    </row>
    <row r="141" spans="1:18">
      <c r="A141" s="9">
        <v>36913</v>
      </c>
      <c r="B141">
        <v>5.29</v>
      </c>
      <c r="C141">
        <v>5.41</v>
      </c>
      <c r="D141">
        <v>5.57</v>
      </c>
      <c r="E141">
        <v>5.7</v>
      </c>
      <c r="F141">
        <v>5.81</v>
      </c>
      <c r="G141">
        <v>5.96</v>
      </c>
      <c r="H141">
        <v>6.13</v>
      </c>
      <c r="I141">
        <v>6.34</v>
      </c>
      <c r="K141">
        <f t="shared" si="19"/>
        <v>2.0000000000000462</v>
      </c>
      <c r="L141">
        <f t="shared" si="20"/>
        <v>7.0000000000000284</v>
      </c>
      <c r="M141">
        <f t="shared" si="21"/>
        <v>8.0000000000000071</v>
      </c>
      <c r="N141">
        <f t="shared" si="22"/>
        <v>10.000000000000053</v>
      </c>
      <c r="O141">
        <f t="shared" si="23"/>
        <v>10.999999999999943</v>
      </c>
      <c r="P141">
        <f t="shared" si="24"/>
        <v>11.000000000000032</v>
      </c>
      <c r="Q141">
        <f t="shared" si="25"/>
        <v>12.000000000000011</v>
      </c>
      <c r="R141">
        <f t="shared" si="26"/>
        <v>8.0000000000000071</v>
      </c>
    </row>
    <row r="142" spans="1:18">
      <c r="A142" s="9">
        <v>36914</v>
      </c>
      <c r="B142">
        <v>5.26</v>
      </c>
      <c r="C142">
        <v>5.36</v>
      </c>
      <c r="D142">
        <v>5.52</v>
      </c>
      <c r="E142">
        <v>5.65</v>
      </c>
      <c r="F142">
        <v>5.75</v>
      </c>
      <c r="G142">
        <v>5.91</v>
      </c>
      <c r="H142">
        <v>6.08</v>
      </c>
      <c r="I142">
        <v>6.35</v>
      </c>
      <c r="K142">
        <f t="shared" si="19"/>
        <v>-3.0000000000000249</v>
      </c>
      <c r="L142">
        <f t="shared" si="20"/>
        <v>-4.9999999999999822</v>
      </c>
      <c r="M142">
        <f t="shared" si="21"/>
        <v>-5.0000000000000711</v>
      </c>
      <c r="N142">
        <f t="shared" si="22"/>
        <v>-4.9999999999999822</v>
      </c>
      <c r="O142">
        <f t="shared" si="23"/>
        <v>-5.9999999999999609</v>
      </c>
      <c r="P142">
        <f t="shared" si="24"/>
        <v>-4.9999999999999822</v>
      </c>
      <c r="Q142">
        <f t="shared" si="25"/>
        <v>-4.9999999999999822</v>
      </c>
      <c r="R142">
        <f t="shared" si="26"/>
        <v>0.99999999999997868</v>
      </c>
    </row>
    <row r="143" spans="1:18">
      <c r="A143" s="9">
        <v>36915</v>
      </c>
      <c r="B143">
        <v>5.36</v>
      </c>
      <c r="C143">
        <v>5.47</v>
      </c>
      <c r="D143">
        <v>5.63</v>
      </c>
      <c r="E143">
        <v>5.75</v>
      </c>
      <c r="F143">
        <v>5.85</v>
      </c>
      <c r="G143">
        <v>6</v>
      </c>
      <c r="H143">
        <v>6.17</v>
      </c>
      <c r="I143">
        <v>6.43</v>
      </c>
      <c r="K143">
        <f t="shared" si="19"/>
        <v>10.000000000000053</v>
      </c>
      <c r="L143">
        <f t="shared" si="20"/>
        <v>10.999999999999943</v>
      </c>
      <c r="M143">
        <f t="shared" si="21"/>
        <v>11.000000000000032</v>
      </c>
      <c r="N143">
        <f t="shared" si="22"/>
        <v>9.9999999999999645</v>
      </c>
      <c r="O143">
        <f t="shared" si="23"/>
        <v>9.9999999999999645</v>
      </c>
      <c r="P143">
        <f t="shared" si="24"/>
        <v>8.9999999999999858</v>
      </c>
      <c r="Q143">
        <f t="shared" si="25"/>
        <v>8.9999999999999858</v>
      </c>
      <c r="R143">
        <f t="shared" si="26"/>
        <v>8.0000000000000071</v>
      </c>
    </row>
    <row r="144" spans="1:18">
      <c r="A144" s="9">
        <v>36916</v>
      </c>
      <c r="B144">
        <v>5.42</v>
      </c>
      <c r="C144">
        <v>5.53</v>
      </c>
      <c r="D144">
        <v>5.69</v>
      </c>
      <c r="E144">
        <v>5.82</v>
      </c>
      <c r="F144">
        <v>5.91</v>
      </c>
      <c r="G144">
        <v>6.05</v>
      </c>
      <c r="H144">
        <v>6.22</v>
      </c>
      <c r="I144">
        <v>6.47</v>
      </c>
      <c r="K144">
        <f t="shared" si="19"/>
        <v>5.9999999999999609</v>
      </c>
      <c r="L144">
        <f t="shared" si="20"/>
        <v>6.0000000000000497</v>
      </c>
      <c r="M144">
        <f t="shared" si="21"/>
        <v>6.0000000000000497</v>
      </c>
      <c r="N144">
        <f t="shared" si="22"/>
        <v>7.0000000000000284</v>
      </c>
      <c r="O144">
        <f t="shared" si="23"/>
        <v>6.0000000000000497</v>
      </c>
      <c r="P144">
        <f t="shared" si="24"/>
        <v>4.9999999999999822</v>
      </c>
      <c r="Q144">
        <f t="shared" si="25"/>
        <v>4.9999999999999822</v>
      </c>
      <c r="R144">
        <f t="shared" si="26"/>
        <v>4.0000000000000036</v>
      </c>
    </row>
    <row r="145" spans="1:18">
      <c r="A145" s="9">
        <v>36917</v>
      </c>
      <c r="B145">
        <v>5.32</v>
      </c>
      <c r="C145">
        <v>5.43</v>
      </c>
      <c r="D145">
        <v>5.59</v>
      </c>
      <c r="E145">
        <v>5.71</v>
      </c>
      <c r="F145">
        <v>5.81</v>
      </c>
      <c r="G145">
        <v>5.96</v>
      </c>
      <c r="H145">
        <v>6.13</v>
      </c>
      <c r="I145">
        <v>6.38</v>
      </c>
      <c r="K145">
        <f t="shared" si="19"/>
        <v>-9.9999999999999645</v>
      </c>
      <c r="L145">
        <f t="shared" si="20"/>
        <v>-10.000000000000053</v>
      </c>
      <c r="M145">
        <f t="shared" si="21"/>
        <v>-10.000000000000053</v>
      </c>
      <c r="N145">
        <f t="shared" si="22"/>
        <v>-11.000000000000032</v>
      </c>
      <c r="O145">
        <f t="shared" si="23"/>
        <v>-10.000000000000053</v>
      </c>
      <c r="P145">
        <f t="shared" si="24"/>
        <v>-8.9999999999999858</v>
      </c>
      <c r="Q145">
        <f t="shared" si="25"/>
        <v>-8.9999999999999858</v>
      </c>
      <c r="R145">
        <f t="shared" si="26"/>
        <v>-8.9999999999999858</v>
      </c>
    </row>
    <row r="146" spans="1:18">
      <c r="A146" s="9">
        <v>36920</v>
      </c>
      <c r="B146">
        <v>5.26</v>
      </c>
      <c r="C146">
        <v>5.4</v>
      </c>
      <c r="D146">
        <v>5.55</v>
      </c>
      <c r="E146">
        <v>5.68</v>
      </c>
      <c r="F146">
        <v>5.78</v>
      </c>
      <c r="G146">
        <v>5.93</v>
      </c>
      <c r="H146">
        <v>6.11</v>
      </c>
      <c r="I146">
        <v>6.4</v>
      </c>
      <c r="K146">
        <f t="shared" si="19"/>
        <v>-6.0000000000000497</v>
      </c>
      <c r="L146">
        <f t="shared" si="20"/>
        <v>-2.9999999999999361</v>
      </c>
      <c r="M146">
        <f t="shared" si="21"/>
        <v>-4.0000000000000036</v>
      </c>
      <c r="N146">
        <f t="shared" si="22"/>
        <v>-3.0000000000000249</v>
      </c>
      <c r="O146">
        <f t="shared" si="23"/>
        <v>-2.9999999999999361</v>
      </c>
      <c r="P146">
        <f t="shared" si="24"/>
        <v>-3.0000000000000249</v>
      </c>
      <c r="Q146">
        <f t="shared" si="25"/>
        <v>-1.9999999999999574</v>
      </c>
      <c r="R146">
        <f t="shared" si="26"/>
        <v>2.0000000000000462</v>
      </c>
    </row>
    <row r="147" spans="1:18">
      <c r="A147" s="9">
        <v>36921</v>
      </c>
      <c r="B147">
        <v>5.2</v>
      </c>
      <c r="C147">
        <v>5.31</v>
      </c>
      <c r="D147">
        <v>5.48</v>
      </c>
      <c r="E147">
        <v>5.61</v>
      </c>
      <c r="F147">
        <v>5.72</v>
      </c>
      <c r="G147">
        <v>5.88</v>
      </c>
      <c r="H147">
        <v>6.05</v>
      </c>
      <c r="I147">
        <v>6.36</v>
      </c>
      <c r="K147">
        <f t="shared" si="19"/>
        <v>-5.9999999999999609</v>
      </c>
      <c r="L147">
        <f t="shared" si="20"/>
        <v>-9.0000000000000746</v>
      </c>
      <c r="M147">
        <f t="shared" si="21"/>
        <v>-6.9999999999999396</v>
      </c>
      <c r="N147">
        <f t="shared" si="22"/>
        <v>-6.9999999999999396</v>
      </c>
      <c r="O147">
        <f t="shared" si="23"/>
        <v>-6.0000000000000497</v>
      </c>
      <c r="P147">
        <f t="shared" si="24"/>
        <v>-4.9999999999999822</v>
      </c>
      <c r="Q147">
        <f t="shared" si="25"/>
        <v>-6.0000000000000497</v>
      </c>
      <c r="R147">
        <f t="shared" si="26"/>
        <v>-4.0000000000000036</v>
      </c>
    </row>
    <row r="148" spans="1:18">
      <c r="A148" s="9">
        <v>36922</v>
      </c>
      <c r="B148">
        <v>5.17</v>
      </c>
      <c r="C148">
        <v>5.3</v>
      </c>
      <c r="D148">
        <v>5.46</v>
      </c>
      <c r="E148">
        <v>5.59</v>
      </c>
      <c r="F148">
        <v>5.7</v>
      </c>
      <c r="G148">
        <v>5.85</v>
      </c>
      <c r="H148">
        <v>6.01</v>
      </c>
      <c r="I148">
        <v>6.27</v>
      </c>
      <c r="K148">
        <f t="shared" si="19"/>
        <v>-3.0000000000000249</v>
      </c>
      <c r="L148">
        <f t="shared" si="20"/>
        <v>-0.99999999999997868</v>
      </c>
      <c r="M148">
        <f t="shared" si="21"/>
        <v>-2.0000000000000462</v>
      </c>
      <c r="N148">
        <f t="shared" si="22"/>
        <v>-2.0000000000000462</v>
      </c>
      <c r="O148">
        <f t="shared" si="23"/>
        <v>-1.9999999999999574</v>
      </c>
      <c r="P148">
        <f t="shared" si="24"/>
        <v>-3.0000000000000249</v>
      </c>
      <c r="Q148">
        <f t="shared" si="25"/>
        <v>-4.0000000000000036</v>
      </c>
      <c r="R148">
        <f t="shared" si="26"/>
        <v>-9.0000000000000746</v>
      </c>
    </row>
    <row r="149" spans="1:18">
      <c r="A149" s="9">
        <v>36923</v>
      </c>
      <c r="B149">
        <v>5.0999999999999996</v>
      </c>
      <c r="C149">
        <v>5.16</v>
      </c>
      <c r="D149">
        <v>5.31</v>
      </c>
      <c r="E149">
        <v>5.43</v>
      </c>
      <c r="F149">
        <v>5.52</v>
      </c>
      <c r="G149">
        <v>5.69</v>
      </c>
      <c r="H149">
        <v>5.86</v>
      </c>
      <c r="I149">
        <v>6.15</v>
      </c>
      <c r="K149">
        <f t="shared" si="19"/>
        <v>-7.0000000000000284</v>
      </c>
      <c r="L149">
        <f t="shared" si="20"/>
        <v>-13.999999999999968</v>
      </c>
      <c r="M149">
        <f t="shared" si="21"/>
        <v>-15.000000000000036</v>
      </c>
      <c r="N149">
        <f t="shared" si="22"/>
        <v>-16.000000000000014</v>
      </c>
      <c r="O149">
        <f t="shared" si="23"/>
        <v>-18.00000000000006</v>
      </c>
      <c r="P149">
        <f t="shared" si="24"/>
        <v>-15.999999999999925</v>
      </c>
      <c r="Q149">
        <f t="shared" si="25"/>
        <v>-14.999999999999947</v>
      </c>
      <c r="R149">
        <f t="shared" si="26"/>
        <v>-11.999999999999922</v>
      </c>
    </row>
    <row r="150" spans="1:18">
      <c r="A150" s="9">
        <v>36924</v>
      </c>
      <c r="B150">
        <v>5.19</v>
      </c>
      <c r="C150">
        <v>5.29</v>
      </c>
      <c r="D150">
        <v>5.43</v>
      </c>
      <c r="E150">
        <v>5.55</v>
      </c>
      <c r="F150">
        <v>5.63</v>
      </c>
      <c r="G150">
        <v>5.8</v>
      </c>
      <c r="H150">
        <v>5.95</v>
      </c>
      <c r="I150">
        <v>6.24</v>
      </c>
      <c r="K150">
        <f t="shared" si="19"/>
        <v>9.0000000000000746</v>
      </c>
      <c r="L150">
        <f t="shared" si="20"/>
        <v>12.999999999999989</v>
      </c>
      <c r="M150">
        <f t="shared" si="21"/>
        <v>12.000000000000011</v>
      </c>
      <c r="N150">
        <f t="shared" si="22"/>
        <v>12.000000000000011</v>
      </c>
      <c r="O150">
        <f t="shared" si="23"/>
        <v>11.000000000000032</v>
      </c>
      <c r="P150">
        <f t="shared" si="24"/>
        <v>10.999999999999943</v>
      </c>
      <c r="Q150">
        <f t="shared" si="25"/>
        <v>8.9999999999999858</v>
      </c>
      <c r="R150">
        <f t="shared" si="26"/>
        <v>8.9999999999999858</v>
      </c>
    </row>
    <row r="151" spans="1:18">
      <c r="A151" s="9">
        <v>36927</v>
      </c>
      <c r="B151">
        <v>5.18</v>
      </c>
      <c r="C151">
        <v>5.29</v>
      </c>
      <c r="D151">
        <v>5.44</v>
      </c>
      <c r="E151">
        <v>5.56</v>
      </c>
      <c r="F151">
        <v>5.65</v>
      </c>
      <c r="G151">
        <v>5.82</v>
      </c>
      <c r="H151">
        <v>5.97</v>
      </c>
      <c r="I151">
        <v>6.25</v>
      </c>
      <c r="K151">
        <f t="shared" si="19"/>
        <v>-1.0000000000000675</v>
      </c>
      <c r="L151">
        <f t="shared" si="20"/>
        <v>0</v>
      </c>
      <c r="M151">
        <f t="shared" si="21"/>
        <v>1.0000000000000675</v>
      </c>
      <c r="N151">
        <f t="shared" si="22"/>
        <v>0.99999999999997868</v>
      </c>
      <c r="O151">
        <f t="shared" si="23"/>
        <v>2.0000000000000462</v>
      </c>
      <c r="P151">
        <f t="shared" si="24"/>
        <v>2.0000000000000462</v>
      </c>
      <c r="Q151">
        <f t="shared" si="25"/>
        <v>1.9999999999999574</v>
      </c>
      <c r="R151">
        <f t="shared" si="26"/>
        <v>0.99999999999997868</v>
      </c>
    </row>
    <row r="152" spans="1:18">
      <c r="A152" s="9">
        <v>36928</v>
      </c>
      <c r="B152">
        <v>5.22</v>
      </c>
      <c r="C152">
        <v>5.35</v>
      </c>
      <c r="D152">
        <v>5.5</v>
      </c>
      <c r="E152">
        <v>5.63</v>
      </c>
      <c r="F152">
        <v>5.74</v>
      </c>
      <c r="G152">
        <v>5.9</v>
      </c>
      <c r="H152">
        <v>6.05</v>
      </c>
      <c r="I152">
        <v>6.31</v>
      </c>
      <c r="K152">
        <f t="shared" si="19"/>
        <v>4.0000000000000036</v>
      </c>
      <c r="L152">
        <f t="shared" si="20"/>
        <v>5.9999999999999609</v>
      </c>
      <c r="M152">
        <f t="shared" si="21"/>
        <v>5.9999999999999609</v>
      </c>
      <c r="N152">
        <f t="shared" si="22"/>
        <v>7.0000000000000284</v>
      </c>
      <c r="O152">
        <f t="shared" si="23"/>
        <v>8.9999999999999858</v>
      </c>
      <c r="P152">
        <f t="shared" si="24"/>
        <v>8.0000000000000071</v>
      </c>
      <c r="Q152">
        <f t="shared" si="25"/>
        <v>8.0000000000000071</v>
      </c>
      <c r="R152">
        <f t="shared" si="26"/>
        <v>5.9999999999999609</v>
      </c>
    </row>
    <row r="153" spans="1:18">
      <c r="A153" s="9">
        <v>36929</v>
      </c>
      <c r="B153">
        <v>5.19</v>
      </c>
      <c r="C153">
        <v>5.31</v>
      </c>
      <c r="D153">
        <v>5.47</v>
      </c>
      <c r="E153">
        <v>5.59</v>
      </c>
      <c r="F153">
        <v>5.69</v>
      </c>
      <c r="G153">
        <v>5.85</v>
      </c>
      <c r="H153">
        <v>6.01</v>
      </c>
      <c r="I153">
        <v>6.26</v>
      </c>
      <c r="K153">
        <f t="shared" si="19"/>
        <v>-2.9999999999999361</v>
      </c>
      <c r="L153">
        <f t="shared" si="20"/>
        <v>-4.0000000000000036</v>
      </c>
      <c r="M153">
        <f t="shared" si="21"/>
        <v>-3.0000000000000249</v>
      </c>
      <c r="N153">
        <f t="shared" si="22"/>
        <v>-4.0000000000000036</v>
      </c>
      <c r="O153">
        <f t="shared" si="23"/>
        <v>-4.9999999999999822</v>
      </c>
      <c r="P153">
        <f t="shared" si="24"/>
        <v>-5.0000000000000711</v>
      </c>
      <c r="Q153">
        <f t="shared" si="25"/>
        <v>-4.0000000000000036</v>
      </c>
      <c r="R153">
        <f t="shared" si="26"/>
        <v>-4.9999999999999822</v>
      </c>
    </row>
    <row r="154" spans="1:18">
      <c r="A154" s="9">
        <v>36930</v>
      </c>
      <c r="B154">
        <v>5.23</v>
      </c>
      <c r="C154">
        <v>5.37</v>
      </c>
      <c r="D154">
        <v>5.54</v>
      </c>
      <c r="E154">
        <v>5.67</v>
      </c>
      <c r="F154">
        <v>5.77</v>
      </c>
      <c r="G154">
        <v>5.93</v>
      </c>
      <c r="H154">
        <v>6.08</v>
      </c>
      <c r="I154">
        <v>6.34</v>
      </c>
      <c r="K154">
        <f t="shared" si="19"/>
        <v>4.0000000000000036</v>
      </c>
      <c r="L154">
        <f t="shared" si="20"/>
        <v>6.0000000000000497</v>
      </c>
      <c r="M154">
        <f t="shared" si="21"/>
        <v>7.0000000000000284</v>
      </c>
      <c r="N154">
        <f t="shared" si="22"/>
        <v>8.0000000000000071</v>
      </c>
      <c r="O154">
        <f t="shared" si="23"/>
        <v>7.9999999999999183</v>
      </c>
      <c r="P154">
        <f t="shared" si="24"/>
        <v>8.0000000000000071</v>
      </c>
      <c r="Q154">
        <f t="shared" si="25"/>
        <v>7.0000000000000284</v>
      </c>
      <c r="R154">
        <f t="shared" si="26"/>
        <v>8.0000000000000071</v>
      </c>
    </row>
    <row r="155" spans="1:18">
      <c r="A155" s="9">
        <v>36931</v>
      </c>
      <c r="B155">
        <v>5.18</v>
      </c>
      <c r="C155">
        <v>5.29</v>
      </c>
      <c r="D155">
        <v>5.45</v>
      </c>
      <c r="E155">
        <v>5.58</v>
      </c>
      <c r="F155">
        <v>5.68</v>
      </c>
      <c r="G155">
        <v>5.83</v>
      </c>
      <c r="H155">
        <v>5.98</v>
      </c>
      <c r="I155">
        <v>6.25</v>
      </c>
      <c r="K155">
        <f t="shared" si="19"/>
        <v>-5.0000000000000711</v>
      </c>
      <c r="L155">
        <f t="shared" si="20"/>
        <v>-8.0000000000000071</v>
      </c>
      <c r="M155">
        <f t="shared" si="21"/>
        <v>-8.9999999999999858</v>
      </c>
      <c r="N155">
        <f t="shared" si="22"/>
        <v>-8.9999999999999858</v>
      </c>
      <c r="O155">
        <f t="shared" si="23"/>
        <v>-8.9999999999999858</v>
      </c>
      <c r="P155">
        <f t="shared" si="24"/>
        <v>-9.9999999999999645</v>
      </c>
      <c r="Q155">
        <f t="shared" si="25"/>
        <v>-9.9999999999999645</v>
      </c>
      <c r="R155">
        <f t="shared" si="26"/>
        <v>-8.9999999999999858</v>
      </c>
    </row>
    <row r="156" spans="1:18">
      <c r="A156" s="9">
        <v>36934</v>
      </c>
      <c r="B156">
        <v>5.16</v>
      </c>
      <c r="C156">
        <v>5.27</v>
      </c>
      <c r="D156">
        <v>5.42</v>
      </c>
      <c r="E156">
        <v>5.54</v>
      </c>
      <c r="F156">
        <v>5.64</v>
      </c>
      <c r="G156">
        <v>5.81</v>
      </c>
      <c r="H156">
        <v>5.96</v>
      </c>
      <c r="I156">
        <v>6.26</v>
      </c>
      <c r="K156">
        <f t="shared" si="19"/>
        <v>-1.9999999999999574</v>
      </c>
      <c r="L156">
        <f t="shared" si="20"/>
        <v>-2.0000000000000462</v>
      </c>
      <c r="M156">
        <f t="shared" si="21"/>
        <v>-3.0000000000000249</v>
      </c>
      <c r="N156">
        <f t="shared" si="22"/>
        <v>-4.0000000000000036</v>
      </c>
      <c r="O156">
        <f t="shared" si="23"/>
        <v>-4.0000000000000036</v>
      </c>
      <c r="P156">
        <f t="shared" si="24"/>
        <v>-2.0000000000000462</v>
      </c>
      <c r="Q156">
        <f t="shared" si="25"/>
        <v>-2.0000000000000462</v>
      </c>
      <c r="R156">
        <f t="shared" si="26"/>
        <v>0.99999999999997868</v>
      </c>
    </row>
    <row r="157" spans="1:18">
      <c r="A157" s="9">
        <v>36935</v>
      </c>
      <c r="B157">
        <v>5.17</v>
      </c>
      <c r="C157">
        <v>5.29</v>
      </c>
      <c r="D157">
        <v>5.44</v>
      </c>
      <c r="E157">
        <v>5.55</v>
      </c>
      <c r="F157">
        <v>5.65</v>
      </c>
      <c r="G157">
        <v>5.81</v>
      </c>
      <c r="H157">
        <v>5.96</v>
      </c>
      <c r="I157">
        <v>6.25</v>
      </c>
      <c r="K157">
        <f t="shared" si="19"/>
        <v>0.99999999999997868</v>
      </c>
      <c r="L157">
        <f t="shared" si="20"/>
        <v>2.0000000000000462</v>
      </c>
      <c r="M157">
        <f t="shared" si="21"/>
        <v>2.0000000000000462</v>
      </c>
      <c r="N157">
        <f t="shared" si="22"/>
        <v>0.99999999999997868</v>
      </c>
      <c r="O157">
        <f t="shared" si="23"/>
        <v>1.0000000000000675</v>
      </c>
      <c r="P157">
        <f t="shared" si="24"/>
        <v>0</v>
      </c>
      <c r="Q157">
        <f t="shared" si="25"/>
        <v>0</v>
      </c>
      <c r="R157">
        <f t="shared" si="26"/>
        <v>-0.99999999999997868</v>
      </c>
    </row>
    <row r="158" spans="1:18">
      <c r="A158" s="9">
        <v>36936</v>
      </c>
      <c r="B158">
        <v>5.23</v>
      </c>
      <c r="C158">
        <v>5.35</v>
      </c>
      <c r="D158">
        <v>5.5</v>
      </c>
      <c r="E158">
        <v>5.63</v>
      </c>
      <c r="F158">
        <v>5.72</v>
      </c>
      <c r="G158">
        <v>5.88</v>
      </c>
      <c r="H158">
        <v>6.02</v>
      </c>
      <c r="I158">
        <v>6.29</v>
      </c>
      <c r="K158">
        <f t="shared" si="19"/>
        <v>6.0000000000000497</v>
      </c>
      <c r="L158">
        <f t="shared" si="20"/>
        <v>5.9999999999999609</v>
      </c>
      <c r="M158">
        <f t="shared" si="21"/>
        <v>5.9999999999999609</v>
      </c>
      <c r="N158">
        <f t="shared" si="22"/>
        <v>8.0000000000000071</v>
      </c>
      <c r="O158">
        <f t="shared" si="23"/>
        <v>6.9999999999999396</v>
      </c>
      <c r="P158">
        <f t="shared" si="24"/>
        <v>7.0000000000000284</v>
      </c>
      <c r="Q158">
        <f t="shared" si="25"/>
        <v>5.9999999999999609</v>
      </c>
      <c r="R158">
        <f t="shared" si="26"/>
        <v>4.0000000000000036</v>
      </c>
    </row>
    <row r="159" spans="1:18">
      <c r="A159" s="9">
        <v>36937</v>
      </c>
      <c r="B159">
        <v>5.33</v>
      </c>
      <c r="C159">
        <v>5.49</v>
      </c>
      <c r="D159">
        <v>5.64</v>
      </c>
      <c r="E159">
        <v>5.78</v>
      </c>
      <c r="F159">
        <v>5.88</v>
      </c>
      <c r="G159">
        <v>6.02</v>
      </c>
      <c r="H159">
        <v>6.17</v>
      </c>
      <c r="I159">
        <v>6.41</v>
      </c>
      <c r="K159">
        <f t="shared" si="19"/>
        <v>9.9999999999999645</v>
      </c>
      <c r="L159">
        <f t="shared" si="20"/>
        <v>14.000000000000057</v>
      </c>
      <c r="M159">
        <f t="shared" si="21"/>
        <v>13.999999999999968</v>
      </c>
      <c r="N159">
        <f t="shared" si="22"/>
        <v>15.000000000000036</v>
      </c>
      <c r="O159">
        <f t="shared" si="23"/>
        <v>16.000000000000014</v>
      </c>
      <c r="P159">
        <f t="shared" si="24"/>
        <v>13.999999999999968</v>
      </c>
      <c r="Q159">
        <f t="shared" si="25"/>
        <v>15.000000000000036</v>
      </c>
      <c r="R159">
        <f t="shared" si="26"/>
        <v>12.000000000000011</v>
      </c>
    </row>
    <row r="160" spans="1:18">
      <c r="A160" s="9">
        <v>36938</v>
      </c>
      <c r="B160">
        <v>5.23</v>
      </c>
      <c r="C160">
        <v>5.37</v>
      </c>
      <c r="D160">
        <v>5.53</v>
      </c>
      <c r="E160">
        <v>5.66</v>
      </c>
      <c r="F160">
        <v>5.76</v>
      </c>
      <c r="G160">
        <v>5.92</v>
      </c>
      <c r="H160">
        <v>6.09</v>
      </c>
      <c r="I160">
        <v>6.36</v>
      </c>
      <c r="K160">
        <f t="shared" si="19"/>
        <v>-9.9999999999999645</v>
      </c>
      <c r="L160">
        <f t="shared" si="20"/>
        <v>-12.000000000000011</v>
      </c>
      <c r="M160">
        <f t="shared" si="21"/>
        <v>-10.999999999999943</v>
      </c>
      <c r="N160">
        <f t="shared" si="22"/>
        <v>-12.000000000000011</v>
      </c>
      <c r="O160">
        <f t="shared" si="23"/>
        <v>-12.000000000000011</v>
      </c>
      <c r="P160">
        <f t="shared" si="24"/>
        <v>-9.9999999999999645</v>
      </c>
      <c r="Q160">
        <f t="shared" si="25"/>
        <v>-8.0000000000000071</v>
      </c>
      <c r="R160">
        <f t="shared" si="26"/>
        <v>-4.9999999999999822</v>
      </c>
    </row>
    <row r="161" spans="1:18">
      <c r="A161" s="9">
        <v>36942</v>
      </c>
      <c r="B161">
        <v>5.21</v>
      </c>
      <c r="C161">
        <v>5.34</v>
      </c>
      <c r="D161">
        <v>5.5</v>
      </c>
      <c r="E161">
        <v>5.63</v>
      </c>
      <c r="F161">
        <v>5.74</v>
      </c>
      <c r="G161">
        <v>5.9</v>
      </c>
      <c r="H161">
        <v>6.06</v>
      </c>
      <c r="I161">
        <v>6.34</v>
      </c>
      <c r="K161">
        <f t="shared" si="19"/>
        <v>-2.0000000000000462</v>
      </c>
      <c r="L161">
        <f t="shared" si="20"/>
        <v>-3.0000000000000249</v>
      </c>
      <c r="M161">
        <f t="shared" si="21"/>
        <v>-3.0000000000000249</v>
      </c>
      <c r="N161">
        <f t="shared" si="22"/>
        <v>-3.0000000000000249</v>
      </c>
      <c r="O161">
        <f t="shared" si="23"/>
        <v>-1.9999999999999574</v>
      </c>
      <c r="P161">
        <f t="shared" si="24"/>
        <v>-1.9999999999999574</v>
      </c>
      <c r="Q161">
        <f t="shared" si="25"/>
        <v>-3.0000000000000249</v>
      </c>
      <c r="R161">
        <f t="shared" si="26"/>
        <v>-2.0000000000000462</v>
      </c>
    </row>
    <row r="162" spans="1:18">
      <c r="A162" s="9">
        <v>36943</v>
      </c>
      <c r="B162">
        <v>5.16</v>
      </c>
      <c r="C162">
        <v>5.29</v>
      </c>
      <c r="D162">
        <v>5.46</v>
      </c>
      <c r="E162">
        <v>5.6</v>
      </c>
      <c r="F162">
        <v>5.71</v>
      </c>
      <c r="G162">
        <v>5.88</v>
      </c>
      <c r="H162">
        <v>6.04</v>
      </c>
      <c r="I162">
        <v>6.32</v>
      </c>
      <c r="K162">
        <f t="shared" si="19"/>
        <v>-4.9999999999999822</v>
      </c>
      <c r="L162">
        <f t="shared" si="20"/>
        <v>-4.9999999999999822</v>
      </c>
      <c r="M162">
        <f t="shared" si="21"/>
        <v>-4.0000000000000036</v>
      </c>
      <c r="N162">
        <f t="shared" si="22"/>
        <v>-3.0000000000000249</v>
      </c>
      <c r="O162">
        <f t="shared" si="23"/>
        <v>-3.0000000000000249</v>
      </c>
      <c r="P162">
        <f t="shared" si="24"/>
        <v>-2.0000000000000462</v>
      </c>
      <c r="Q162">
        <f t="shared" si="25"/>
        <v>-1.9999999999999574</v>
      </c>
      <c r="R162">
        <f t="shared" si="26"/>
        <v>-1.9999999999999574</v>
      </c>
    </row>
    <row r="163" spans="1:18">
      <c r="A163" s="9">
        <v>36944</v>
      </c>
      <c r="B163">
        <v>5.12</v>
      </c>
      <c r="C163">
        <v>5.26</v>
      </c>
      <c r="D163">
        <v>5.45</v>
      </c>
      <c r="E163">
        <v>5.6</v>
      </c>
      <c r="F163">
        <v>5.71</v>
      </c>
      <c r="G163">
        <v>5.89</v>
      </c>
      <c r="H163">
        <v>6.07</v>
      </c>
      <c r="I163">
        <v>6.35</v>
      </c>
      <c r="K163">
        <f t="shared" si="19"/>
        <v>-4.0000000000000036</v>
      </c>
      <c r="L163">
        <f t="shared" si="20"/>
        <v>-3.0000000000000249</v>
      </c>
      <c r="M163">
        <f t="shared" si="21"/>
        <v>-0.99999999999997868</v>
      </c>
      <c r="N163">
        <f t="shared" si="22"/>
        <v>0</v>
      </c>
      <c r="O163">
        <f t="shared" si="23"/>
        <v>0</v>
      </c>
      <c r="P163">
        <f t="shared" si="24"/>
        <v>0.99999999999997868</v>
      </c>
      <c r="Q163">
        <f t="shared" si="25"/>
        <v>3.0000000000000249</v>
      </c>
      <c r="R163">
        <f t="shared" si="26"/>
        <v>2.9999999999999361</v>
      </c>
    </row>
    <row r="164" spans="1:18">
      <c r="A164" s="9">
        <v>36945</v>
      </c>
      <c r="B164">
        <v>5.0599999999999996</v>
      </c>
      <c r="C164">
        <v>5.21</v>
      </c>
      <c r="D164">
        <v>5.4</v>
      </c>
      <c r="E164">
        <v>5.56</v>
      </c>
      <c r="F164">
        <v>5.69</v>
      </c>
      <c r="G164">
        <v>5.88</v>
      </c>
      <c r="H164">
        <v>6.07</v>
      </c>
      <c r="I164">
        <v>6.37</v>
      </c>
      <c r="K164">
        <f t="shared" si="19"/>
        <v>-6.0000000000000497</v>
      </c>
      <c r="L164">
        <f t="shared" si="20"/>
        <v>-4.9999999999999822</v>
      </c>
      <c r="M164">
        <f t="shared" si="21"/>
        <v>-4.9999999999999822</v>
      </c>
      <c r="N164">
        <f t="shared" si="22"/>
        <v>-4.0000000000000036</v>
      </c>
      <c r="O164">
        <f t="shared" si="23"/>
        <v>-1.9999999999999574</v>
      </c>
      <c r="P164">
        <f t="shared" si="24"/>
        <v>-0.99999999999997868</v>
      </c>
      <c r="Q164">
        <f t="shared" si="25"/>
        <v>0</v>
      </c>
      <c r="R164">
        <f t="shared" si="26"/>
        <v>2.0000000000000462</v>
      </c>
    </row>
    <row r="165" spans="1:18">
      <c r="A165" s="9">
        <v>36948</v>
      </c>
      <c r="B165">
        <v>4.97</v>
      </c>
      <c r="C165">
        <v>5.15</v>
      </c>
      <c r="D165">
        <v>5.36</v>
      </c>
      <c r="E165">
        <v>5.53</v>
      </c>
      <c r="F165">
        <v>5.66</v>
      </c>
      <c r="G165">
        <v>5.86</v>
      </c>
      <c r="H165">
        <v>6.07</v>
      </c>
      <c r="I165">
        <v>6.36</v>
      </c>
      <c r="K165">
        <f t="shared" si="19"/>
        <v>-8.9999999999999858</v>
      </c>
      <c r="L165">
        <f t="shared" si="20"/>
        <v>-5.9999999999999609</v>
      </c>
      <c r="M165">
        <f t="shared" si="21"/>
        <v>-4.0000000000000036</v>
      </c>
      <c r="N165">
        <f t="shared" si="22"/>
        <v>-2.9999999999999361</v>
      </c>
      <c r="O165">
        <f t="shared" si="23"/>
        <v>-3.0000000000000249</v>
      </c>
      <c r="P165">
        <f t="shared" si="24"/>
        <v>-1.9999999999999574</v>
      </c>
      <c r="Q165">
        <f t="shared" si="25"/>
        <v>0</v>
      </c>
      <c r="R165">
        <f t="shared" si="26"/>
        <v>-0.99999999999997868</v>
      </c>
    </row>
    <row r="166" spans="1:18">
      <c r="A166" s="9">
        <v>36949</v>
      </c>
      <c r="B166">
        <v>4.8899999999999997</v>
      </c>
      <c r="C166">
        <v>5.0599999999999996</v>
      </c>
      <c r="D166">
        <v>5.25</v>
      </c>
      <c r="E166">
        <v>5.4</v>
      </c>
      <c r="F166">
        <v>5.52</v>
      </c>
      <c r="G166">
        <v>5.7</v>
      </c>
      <c r="H166">
        <v>5.87</v>
      </c>
      <c r="I166">
        <v>6.2</v>
      </c>
      <c r="K166">
        <f t="shared" si="19"/>
        <v>-8.0000000000000071</v>
      </c>
      <c r="L166">
        <f t="shared" si="20"/>
        <v>-9.0000000000000746</v>
      </c>
      <c r="M166">
        <f t="shared" si="21"/>
        <v>-11.000000000000032</v>
      </c>
      <c r="N166">
        <f t="shared" si="22"/>
        <v>-12.999999999999989</v>
      </c>
      <c r="O166">
        <f t="shared" si="23"/>
        <v>-14.000000000000057</v>
      </c>
      <c r="P166">
        <f t="shared" si="24"/>
        <v>-16.000000000000014</v>
      </c>
      <c r="Q166">
        <f t="shared" si="25"/>
        <v>-20.000000000000018</v>
      </c>
      <c r="R166">
        <f t="shared" si="26"/>
        <v>-16.000000000000014</v>
      </c>
    </row>
    <row r="167" spans="1:18">
      <c r="A167" s="9">
        <v>36950</v>
      </c>
      <c r="B167">
        <v>4.9400000000000004</v>
      </c>
      <c r="C167">
        <v>5.08</v>
      </c>
      <c r="D167">
        <v>5.27</v>
      </c>
      <c r="E167">
        <v>5.41</v>
      </c>
      <c r="F167">
        <v>5.51</v>
      </c>
      <c r="G167">
        <v>5.69</v>
      </c>
      <c r="H167">
        <v>5.84</v>
      </c>
      <c r="I167">
        <v>6.17</v>
      </c>
      <c r="K167">
        <f t="shared" si="19"/>
        <v>5.0000000000000711</v>
      </c>
      <c r="L167">
        <f t="shared" si="20"/>
        <v>2.0000000000000462</v>
      </c>
      <c r="M167">
        <f t="shared" si="21"/>
        <v>1.9999999999999574</v>
      </c>
      <c r="N167">
        <f t="shared" si="22"/>
        <v>0.99999999999997868</v>
      </c>
      <c r="O167">
        <f t="shared" si="23"/>
        <v>-0.99999999999997868</v>
      </c>
      <c r="P167">
        <f t="shared" si="24"/>
        <v>-0.99999999999997868</v>
      </c>
      <c r="Q167">
        <f t="shared" si="25"/>
        <v>-3.0000000000000249</v>
      </c>
      <c r="R167">
        <f t="shared" si="26"/>
        <v>-3.0000000000000249</v>
      </c>
    </row>
    <row r="168" spans="1:18">
      <c r="A168" s="9">
        <v>36951</v>
      </c>
      <c r="B168">
        <v>4.91</v>
      </c>
      <c r="C168">
        <v>5.05</v>
      </c>
      <c r="D168">
        <v>5.22</v>
      </c>
      <c r="E168">
        <v>5.35</v>
      </c>
      <c r="F168">
        <v>5.46</v>
      </c>
      <c r="G168">
        <v>5.62</v>
      </c>
      <c r="H168">
        <v>5.76</v>
      </c>
      <c r="I168">
        <v>6.07</v>
      </c>
      <c r="K168">
        <f t="shared" si="19"/>
        <v>-3.0000000000000249</v>
      </c>
      <c r="L168">
        <f t="shared" si="20"/>
        <v>-3.0000000000000249</v>
      </c>
      <c r="M168">
        <f t="shared" si="21"/>
        <v>-4.9999999999999822</v>
      </c>
      <c r="N168">
        <f t="shared" si="22"/>
        <v>-6.0000000000000497</v>
      </c>
      <c r="O168">
        <f t="shared" si="23"/>
        <v>-4.9999999999999822</v>
      </c>
      <c r="P168">
        <f t="shared" si="24"/>
        <v>-7.0000000000000284</v>
      </c>
      <c r="Q168">
        <f t="shared" si="25"/>
        <v>-8.0000000000000071</v>
      </c>
      <c r="R168">
        <f t="shared" si="26"/>
        <v>-9.9999999999999645</v>
      </c>
    </row>
    <row r="169" spans="1:18">
      <c r="A169" s="9">
        <v>36952</v>
      </c>
      <c r="B169">
        <v>4.93</v>
      </c>
      <c r="C169">
        <v>5.07</v>
      </c>
      <c r="D169">
        <v>5.26</v>
      </c>
      <c r="E169">
        <v>5.39</v>
      </c>
      <c r="F169">
        <v>5.5</v>
      </c>
      <c r="G169">
        <v>5.66</v>
      </c>
      <c r="H169">
        <v>5.8</v>
      </c>
      <c r="I169">
        <v>6.1</v>
      </c>
      <c r="K169">
        <f t="shared" si="19"/>
        <v>1.9999999999999574</v>
      </c>
      <c r="L169">
        <f t="shared" si="20"/>
        <v>2.0000000000000462</v>
      </c>
      <c r="M169">
        <f t="shared" si="21"/>
        <v>4.0000000000000036</v>
      </c>
      <c r="N169">
        <f t="shared" si="22"/>
        <v>4.0000000000000036</v>
      </c>
      <c r="O169">
        <f t="shared" si="23"/>
        <v>4.0000000000000036</v>
      </c>
      <c r="P169">
        <f t="shared" si="24"/>
        <v>4.0000000000000036</v>
      </c>
      <c r="Q169">
        <f t="shared" si="25"/>
        <v>4.0000000000000036</v>
      </c>
      <c r="R169">
        <f t="shared" si="26"/>
        <v>2.9999999999999361</v>
      </c>
    </row>
    <row r="170" spans="1:18">
      <c r="A170" s="9">
        <v>36955</v>
      </c>
      <c r="B170">
        <v>4.96</v>
      </c>
      <c r="C170">
        <v>5.13</v>
      </c>
      <c r="D170">
        <v>5.32</v>
      </c>
      <c r="E170">
        <v>5.46</v>
      </c>
      <c r="F170">
        <v>5.58</v>
      </c>
      <c r="G170">
        <v>5.74</v>
      </c>
      <c r="H170">
        <v>5.9</v>
      </c>
      <c r="I170">
        <v>6.19</v>
      </c>
      <c r="K170">
        <f t="shared" si="19"/>
        <v>3.0000000000000249</v>
      </c>
      <c r="L170">
        <f t="shared" si="20"/>
        <v>5.9999999999999609</v>
      </c>
      <c r="M170">
        <f t="shared" si="21"/>
        <v>6.0000000000000497</v>
      </c>
      <c r="N170">
        <f t="shared" si="22"/>
        <v>7.0000000000000284</v>
      </c>
      <c r="O170">
        <f t="shared" si="23"/>
        <v>8.0000000000000071</v>
      </c>
      <c r="P170">
        <f t="shared" si="24"/>
        <v>8.0000000000000071</v>
      </c>
      <c r="Q170">
        <f t="shared" si="25"/>
        <v>10.000000000000053</v>
      </c>
      <c r="R170">
        <f t="shared" si="26"/>
        <v>9.0000000000000746</v>
      </c>
    </row>
    <row r="171" spans="1:18">
      <c r="A171" s="9">
        <v>36956</v>
      </c>
      <c r="B171">
        <v>4.96</v>
      </c>
      <c r="C171">
        <v>5.13</v>
      </c>
      <c r="D171">
        <v>5.32</v>
      </c>
      <c r="E171">
        <v>5.47</v>
      </c>
      <c r="F171">
        <v>5.59</v>
      </c>
      <c r="G171">
        <v>5.75</v>
      </c>
      <c r="H171">
        <v>5.9</v>
      </c>
      <c r="I171">
        <v>6.16</v>
      </c>
      <c r="K171">
        <f t="shared" si="19"/>
        <v>0</v>
      </c>
      <c r="L171">
        <f t="shared" si="20"/>
        <v>0</v>
      </c>
      <c r="M171">
        <f t="shared" si="21"/>
        <v>0</v>
      </c>
      <c r="N171">
        <f t="shared" si="22"/>
        <v>0.99999999999997868</v>
      </c>
      <c r="O171">
        <f t="shared" si="23"/>
        <v>0.99999999999997868</v>
      </c>
      <c r="P171">
        <f t="shared" si="24"/>
        <v>0.99999999999997868</v>
      </c>
      <c r="Q171">
        <f t="shared" si="25"/>
        <v>0</v>
      </c>
      <c r="R171">
        <f t="shared" si="26"/>
        <v>-3.0000000000000249</v>
      </c>
    </row>
    <row r="172" spans="1:18">
      <c r="A172" s="9">
        <v>36957</v>
      </c>
      <c r="B172">
        <v>4.92</v>
      </c>
      <c r="C172">
        <v>5.09</v>
      </c>
      <c r="D172">
        <v>5.28</v>
      </c>
      <c r="E172">
        <v>5.43</v>
      </c>
      <c r="F172">
        <v>5.54</v>
      </c>
      <c r="G172">
        <v>5.71</v>
      </c>
      <c r="H172">
        <v>5.87</v>
      </c>
      <c r="I172">
        <v>6.15</v>
      </c>
      <c r="K172">
        <f t="shared" si="19"/>
        <v>-4.0000000000000036</v>
      </c>
      <c r="L172">
        <f t="shared" si="20"/>
        <v>-4.0000000000000036</v>
      </c>
      <c r="M172">
        <f t="shared" si="21"/>
        <v>-4.0000000000000036</v>
      </c>
      <c r="N172">
        <f t="shared" si="22"/>
        <v>-4.0000000000000036</v>
      </c>
      <c r="O172">
        <f t="shared" si="23"/>
        <v>-4.9999999999999822</v>
      </c>
      <c r="P172">
        <f t="shared" si="24"/>
        <v>-4.0000000000000036</v>
      </c>
      <c r="Q172">
        <f t="shared" si="25"/>
        <v>-3.0000000000000249</v>
      </c>
      <c r="R172">
        <f t="shared" si="26"/>
        <v>-0.99999999999997868</v>
      </c>
    </row>
    <row r="173" spans="1:18">
      <c r="A173" s="9">
        <v>36958</v>
      </c>
      <c r="B173">
        <v>4.8600000000000003</v>
      </c>
      <c r="C173">
        <v>5.01</v>
      </c>
      <c r="D173">
        <v>5.21</v>
      </c>
      <c r="E173">
        <v>5.35</v>
      </c>
      <c r="F173">
        <v>5.47</v>
      </c>
      <c r="G173">
        <v>5.64</v>
      </c>
      <c r="H173">
        <v>5.79</v>
      </c>
      <c r="I173">
        <v>6.07</v>
      </c>
      <c r="K173">
        <f t="shared" si="19"/>
        <v>-5.9999999999999609</v>
      </c>
      <c r="L173">
        <f t="shared" si="20"/>
        <v>-8.0000000000000071</v>
      </c>
      <c r="M173">
        <f t="shared" si="21"/>
        <v>-7.0000000000000284</v>
      </c>
      <c r="N173">
        <f t="shared" si="22"/>
        <v>-8.0000000000000071</v>
      </c>
      <c r="O173">
        <f t="shared" si="23"/>
        <v>-7.0000000000000284</v>
      </c>
      <c r="P173">
        <f t="shared" si="24"/>
        <v>-7.0000000000000284</v>
      </c>
      <c r="Q173">
        <f t="shared" si="25"/>
        <v>-8.0000000000000071</v>
      </c>
      <c r="R173">
        <f t="shared" si="26"/>
        <v>-8.0000000000000071</v>
      </c>
    </row>
    <row r="174" spans="1:18">
      <c r="A174" s="9">
        <v>36959</v>
      </c>
      <c r="B174">
        <v>4.91</v>
      </c>
      <c r="C174">
        <v>5.08</v>
      </c>
      <c r="D174">
        <v>5.27</v>
      </c>
      <c r="E174">
        <v>5.42</v>
      </c>
      <c r="F174">
        <v>5.54</v>
      </c>
      <c r="G174">
        <v>5.71</v>
      </c>
      <c r="H174">
        <v>5.85</v>
      </c>
      <c r="I174">
        <v>6.11</v>
      </c>
      <c r="K174">
        <f t="shared" si="19"/>
        <v>4.9999999999999822</v>
      </c>
      <c r="L174">
        <f t="shared" si="20"/>
        <v>7.0000000000000284</v>
      </c>
      <c r="M174">
        <f t="shared" si="21"/>
        <v>5.9999999999999609</v>
      </c>
      <c r="N174">
        <f t="shared" si="22"/>
        <v>7.0000000000000284</v>
      </c>
      <c r="O174">
        <f t="shared" si="23"/>
        <v>7.0000000000000284</v>
      </c>
      <c r="P174">
        <f t="shared" si="24"/>
        <v>7.0000000000000284</v>
      </c>
      <c r="Q174">
        <f t="shared" si="25"/>
        <v>5.9999999999999609</v>
      </c>
      <c r="R174">
        <f t="shared" si="26"/>
        <v>4.0000000000000036</v>
      </c>
    </row>
    <row r="175" spans="1:18">
      <c r="A175" s="9">
        <v>36962</v>
      </c>
      <c r="B175">
        <v>4.8899999999999997</v>
      </c>
      <c r="C175">
        <v>5.05</v>
      </c>
      <c r="D175">
        <v>5.26</v>
      </c>
      <c r="E175">
        <v>5.41</v>
      </c>
      <c r="F175">
        <v>5.53</v>
      </c>
      <c r="G175">
        <v>5.71</v>
      </c>
      <c r="H175">
        <v>5.86</v>
      </c>
      <c r="I175">
        <v>6.12</v>
      </c>
      <c r="K175">
        <f t="shared" si="19"/>
        <v>-2.0000000000000462</v>
      </c>
      <c r="L175">
        <f t="shared" si="20"/>
        <v>-3.0000000000000249</v>
      </c>
      <c r="M175">
        <f t="shared" si="21"/>
        <v>-0.99999999999997868</v>
      </c>
      <c r="N175">
        <f t="shared" si="22"/>
        <v>-0.99999999999997868</v>
      </c>
      <c r="O175">
        <f t="shared" si="23"/>
        <v>-0.99999999999997868</v>
      </c>
      <c r="P175">
        <f t="shared" si="24"/>
        <v>0</v>
      </c>
      <c r="Q175">
        <f t="shared" si="25"/>
        <v>1.0000000000000675</v>
      </c>
      <c r="R175">
        <f t="shared" si="26"/>
        <v>0.99999999999997868</v>
      </c>
    </row>
    <row r="176" spans="1:18">
      <c r="A176" s="9">
        <v>36963</v>
      </c>
      <c r="B176">
        <v>4.88</v>
      </c>
      <c r="C176">
        <v>5.05</v>
      </c>
      <c r="D176">
        <v>5.27</v>
      </c>
      <c r="E176">
        <v>5.43</v>
      </c>
      <c r="F176">
        <v>5.56</v>
      </c>
      <c r="G176">
        <v>5.74</v>
      </c>
      <c r="H176">
        <v>5.9</v>
      </c>
      <c r="I176">
        <v>6.18</v>
      </c>
      <c r="K176">
        <f t="shared" si="19"/>
        <v>-0.99999999999997868</v>
      </c>
      <c r="L176">
        <f t="shared" si="20"/>
        <v>0</v>
      </c>
      <c r="M176">
        <f t="shared" si="21"/>
        <v>0.99999999999997868</v>
      </c>
      <c r="N176">
        <f t="shared" si="22"/>
        <v>1.9999999999999574</v>
      </c>
      <c r="O176">
        <f t="shared" si="23"/>
        <v>2.9999999999999361</v>
      </c>
      <c r="P176">
        <f t="shared" si="24"/>
        <v>3.0000000000000249</v>
      </c>
      <c r="Q176">
        <f t="shared" si="25"/>
        <v>4.0000000000000036</v>
      </c>
      <c r="R176">
        <f t="shared" si="26"/>
        <v>5.9999999999999609</v>
      </c>
    </row>
    <row r="177" spans="1:18">
      <c r="A177" s="9">
        <v>36964</v>
      </c>
      <c r="B177">
        <v>4.8</v>
      </c>
      <c r="C177">
        <v>4.99</v>
      </c>
      <c r="D177">
        <v>5.2</v>
      </c>
      <c r="E177">
        <v>5.37</v>
      </c>
      <c r="F177">
        <v>5.5</v>
      </c>
      <c r="G177">
        <v>5.69</v>
      </c>
      <c r="H177">
        <v>5.86</v>
      </c>
      <c r="I177">
        <v>6.14</v>
      </c>
      <c r="K177">
        <f t="shared" si="19"/>
        <v>-8.0000000000000071</v>
      </c>
      <c r="L177">
        <f t="shared" si="20"/>
        <v>-5.9999999999999609</v>
      </c>
      <c r="M177">
        <f t="shared" si="21"/>
        <v>-6.9999999999999396</v>
      </c>
      <c r="N177">
        <f t="shared" si="22"/>
        <v>-5.9999999999999609</v>
      </c>
      <c r="O177">
        <f t="shared" si="23"/>
        <v>-5.9999999999999609</v>
      </c>
      <c r="P177">
        <f t="shared" si="24"/>
        <v>-4.9999999999999822</v>
      </c>
      <c r="Q177">
        <f t="shared" si="25"/>
        <v>-4.0000000000000036</v>
      </c>
      <c r="R177">
        <f t="shared" si="26"/>
        <v>-4.0000000000000036</v>
      </c>
    </row>
    <row r="178" spans="1:18">
      <c r="A178" s="9">
        <v>36965</v>
      </c>
      <c r="B178">
        <v>4.72</v>
      </c>
      <c r="C178">
        <v>4.9000000000000004</v>
      </c>
      <c r="D178">
        <v>5.12</v>
      </c>
      <c r="E178">
        <v>5.29</v>
      </c>
      <c r="F178">
        <v>5.42</v>
      </c>
      <c r="G178">
        <v>5.62</v>
      </c>
      <c r="H178">
        <v>5.8</v>
      </c>
      <c r="I178">
        <v>6.12</v>
      </c>
      <c r="K178">
        <f t="shared" si="19"/>
        <v>-8.0000000000000071</v>
      </c>
      <c r="L178">
        <f t="shared" si="20"/>
        <v>-8.9999999999999858</v>
      </c>
      <c r="M178">
        <f t="shared" si="21"/>
        <v>-8.0000000000000071</v>
      </c>
      <c r="N178">
        <f t="shared" si="22"/>
        <v>-8.0000000000000071</v>
      </c>
      <c r="O178">
        <f t="shared" si="23"/>
        <v>-8.0000000000000071</v>
      </c>
      <c r="P178">
        <f t="shared" si="24"/>
        <v>-7.0000000000000284</v>
      </c>
      <c r="Q178">
        <f t="shared" si="25"/>
        <v>-6.0000000000000497</v>
      </c>
      <c r="R178">
        <f t="shared" si="26"/>
        <v>-1.9999999999999574</v>
      </c>
    </row>
    <row r="179" spans="1:18">
      <c r="A179" s="9">
        <v>36966</v>
      </c>
      <c r="B179">
        <v>4.6500000000000004</v>
      </c>
      <c r="C179">
        <v>4.83</v>
      </c>
      <c r="D179">
        <v>5.0599999999999996</v>
      </c>
      <c r="E179">
        <v>5.22</v>
      </c>
      <c r="F179">
        <v>5.34</v>
      </c>
      <c r="G179">
        <v>5.53</v>
      </c>
      <c r="H179">
        <v>5.7</v>
      </c>
      <c r="I179">
        <v>6.06</v>
      </c>
      <c r="K179">
        <f t="shared" si="19"/>
        <v>-6.9999999999999396</v>
      </c>
      <c r="L179">
        <f t="shared" si="20"/>
        <v>-7.0000000000000284</v>
      </c>
      <c r="M179">
        <f t="shared" si="21"/>
        <v>-6.0000000000000497</v>
      </c>
      <c r="N179">
        <f t="shared" si="22"/>
        <v>-7.0000000000000284</v>
      </c>
      <c r="O179">
        <f t="shared" si="23"/>
        <v>-8.0000000000000071</v>
      </c>
      <c r="P179">
        <f t="shared" si="24"/>
        <v>-8.9999999999999858</v>
      </c>
      <c r="Q179">
        <f t="shared" si="25"/>
        <v>-9.9999999999999645</v>
      </c>
      <c r="R179">
        <f t="shared" si="26"/>
        <v>-6.0000000000000497</v>
      </c>
    </row>
    <row r="180" spans="1:18">
      <c r="A180" s="9">
        <v>36969</v>
      </c>
      <c r="B180">
        <v>4.7</v>
      </c>
      <c r="C180">
        <v>4.9000000000000004</v>
      </c>
      <c r="D180">
        <v>5.12</v>
      </c>
      <c r="E180">
        <v>5.28</v>
      </c>
      <c r="F180">
        <v>5.4</v>
      </c>
      <c r="G180">
        <v>5.59</v>
      </c>
      <c r="H180">
        <v>5.76</v>
      </c>
      <c r="I180">
        <v>6.09</v>
      </c>
      <c r="K180">
        <f t="shared" si="19"/>
        <v>4.9999999999999822</v>
      </c>
      <c r="L180">
        <f t="shared" si="20"/>
        <v>7.0000000000000284</v>
      </c>
      <c r="M180">
        <f t="shared" si="21"/>
        <v>6.0000000000000497</v>
      </c>
      <c r="N180">
        <f t="shared" si="22"/>
        <v>6.0000000000000497</v>
      </c>
      <c r="O180">
        <f t="shared" si="23"/>
        <v>6.0000000000000497</v>
      </c>
      <c r="P180">
        <f t="shared" si="24"/>
        <v>5.9999999999999609</v>
      </c>
      <c r="Q180">
        <f t="shared" si="25"/>
        <v>5.9999999999999609</v>
      </c>
      <c r="R180">
        <f t="shared" si="26"/>
        <v>3.0000000000000249</v>
      </c>
    </row>
    <row r="181" spans="1:18">
      <c r="A181" s="9">
        <v>36970</v>
      </c>
      <c r="B181">
        <v>4.7300000000000004</v>
      </c>
      <c r="C181">
        <v>4.93</v>
      </c>
      <c r="D181">
        <v>5.15</v>
      </c>
      <c r="E181">
        <v>5.31</v>
      </c>
      <c r="F181">
        <v>5.43</v>
      </c>
      <c r="G181">
        <v>5.62</v>
      </c>
      <c r="H181">
        <v>5.79</v>
      </c>
      <c r="I181">
        <v>6.11</v>
      </c>
      <c r="K181">
        <f t="shared" si="19"/>
        <v>3.0000000000000249</v>
      </c>
      <c r="L181">
        <f t="shared" si="20"/>
        <v>2.9999999999999361</v>
      </c>
      <c r="M181">
        <f t="shared" si="21"/>
        <v>3.0000000000000249</v>
      </c>
      <c r="N181">
        <f t="shared" si="22"/>
        <v>2.9999999999999361</v>
      </c>
      <c r="O181">
        <f t="shared" si="23"/>
        <v>2.9999999999999361</v>
      </c>
      <c r="P181">
        <f t="shared" si="24"/>
        <v>3.0000000000000249</v>
      </c>
      <c r="Q181">
        <f t="shared" si="25"/>
        <v>3.0000000000000249</v>
      </c>
      <c r="R181">
        <f t="shared" si="26"/>
        <v>2.0000000000000462</v>
      </c>
    </row>
    <row r="182" spans="1:18">
      <c r="A182" s="9">
        <v>36971</v>
      </c>
      <c r="B182">
        <v>4.6100000000000003</v>
      </c>
      <c r="C182">
        <v>4.79</v>
      </c>
      <c r="D182">
        <v>5.01</v>
      </c>
      <c r="E182">
        <v>5.18</v>
      </c>
      <c r="F182">
        <v>5.31</v>
      </c>
      <c r="G182">
        <v>5.5</v>
      </c>
      <c r="H182">
        <v>5.69</v>
      </c>
      <c r="I182">
        <v>6.06</v>
      </c>
      <c r="K182">
        <f t="shared" si="19"/>
        <v>-12.000000000000011</v>
      </c>
      <c r="L182">
        <f t="shared" si="20"/>
        <v>-13.999999999999968</v>
      </c>
      <c r="M182">
        <f t="shared" si="21"/>
        <v>-14.000000000000057</v>
      </c>
      <c r="N182">
        <f t="shared" si="22"/>
        <v>-12.999999999999989</v>
      </c>
      <c r="O182">
        <f t="shared" si="23"/>
        <v>-12.000000000000011</v>
      </c>
      <c r="P182">
        <f t="shared" si="24"/>
        <v>-12.000000000000011</v>
      </c>
      <c r="Q182">
        <f t="shared" si="25"/>
        <v>-9.9999999999999645</v>
      </c>
      <c r="R182">
        <f t="shared" si="26"/>
        <v>-5.0000000000000711</v>
      </c>
    </row>
    <row r="183" spans="1:18">
      <c r="A183" s="9">
        <v>36972</v>
      </c>
      <c r="B183">
        <v>4.5599999999999996</v>
      </c>
      <c r="C183">
        <v>4.7300000000000004</v>
      </c>
      <c r="D183">
        <v>4.95</v>
      </c>
      <c r="E183">
        <v>5.13</v>
      </c>
      <c r="F183">
        <v>5.25</v>
      </c>
      <c r="G183">
        <v>5.45</v>
      </c>
      <c r="H183">
        <v>5.65</v>
      </c>
      <c r="I183">
        <v>6.01</v>
      </c>
      <c r="K183">
        <f t="shared" si="19"/>
        <v>-5.0000000000000711</v>
      </c>
      <c r="L183">
        <f t="shared" si="20"/>
        <v>-5.9999999999999609</v>
      </c>
      <c r="M183">
        <f t="shared" si="21"/>
        <v>-5.9999999999999609</v>
      </c>
      <c r="N183">
        <f t="shared" si="22"/>
        <v>-4.9999999999999822</v>
      </c>
      <c r="O183">
        <f t="shared" si="23"/>
        <v>-5.9999999999999609</v>
      </c>
      <c r="P183">
        <f t="shared" si="24"/>
        <v>-4.9999999999999822</v>
      </c>
      <c r="Q183">
        <f t="shared" si="25"/>
        <v>-4.0000000000000036</v>
      </c>
      <c r="R183">
        <f t="shared" si="26"/>
        <v>-4.9999999999999822</v>
      </c>
    </row>
    <row r="184" spans="1:18">
      <c r="A184" s="9">
        <v>36973</v>
      </c>
      <c r="B184">
        <v>4.5999999999999996</v>
      </c>
      <c r="C184">
        <v>4.78</v>
      </c>
      <c r="D184">
        <v>5.01</v>
      </c>
      <c r="E184">
        <v>5.18</v>
      </c>
      <c r="F184">
        <v>5.32</v>
      </c>
      <c r="G184">
        <v>5.52</v>
      </c>
      <c r="H184">
        <v>5.71</v>
      </c>
      <c r="I184">
        <v>6.08</v>
      </c>
      <c r="K184">
        <f t="shared" si="19"/>
        <v>4.0000000000000036</v>
      </c>
      <c r="L184">
        <f t="shared" si="20"/>
        <v>4.9999999999999822</v>
      </c>
      <c r="M184">
        <f t="shared" si="21"/>
        <v>5.9999999999999609</v>
      </c>
      <c r="N184">
        <f t="shared" si="22"/>
        <v>4.9999999999999822</v>
      </c>
      <c r="O184">
        <f t="shared" si="23"/>
        <v>7.0000000000000284</v>
      </c>
      <c r="P184">
        <f t="shared" si="24"/>
        <v>6.9999999999999396</v>
      </c>
      <c r="Q184">
        <f t="shared" si="25"/>
        <v>5.9999999999999609</v>
      </c>
      <c r="R184">
        <f t="shared" si="26"/>
        <v>7.0000000000000284</v>
      </c>
    </row>
    <row r="185" spans="1:18">
      <c r="A185" s="9">
        <v>36976</v>
      </c>
      <c r="B185">
        <v>4.66</v>
      </c>
      <c r="C185">
        <v>4.84</v>
      </c>
      <c r="D185">
        <v>5.08</v>
      </c>
      <c r="E185">
        <v>5.26</v>
      </c>
      <c r="F185">
        <v>5.4</v>
      </c>
      <c r="G185">
        <v>5.61</v>
      </c>
      <c r="H185">
        <v>5.8</v>
      </c>
      <c r="I185">
        <v>6.16</v>
      </c>
      <c r="K185">
        <f t="shared" si="19"/>
        <v>6.0000000000000497</v>
      </c>
      <c r="L185">
        <f t="shared" si="20"/>
        <v>5.9999999999999609</v>
      </c>
      <c r="M185">
        <f t="shared" si="21"/>
        <v>7.0000000000000284</v>
      </c>
      <c r="N185">
        <f t="shared" si="22"/>
        <v>8.0000000000000071</v>
      </c>
      <c r="O185">
        <f t="shared" si="23"/>
        <v>8.0000000000000071</v>
      </c>
      <c r="P185">
        <f t="shared" si="24"/>
        <v>9.0000000000000746</v>
      </c>
      <c r="Q185">
        <f t="shared" si="25"/>
        <v>8.9999999999999858</v>
      </c>
      <c r="R185">
        <f t="shared" si="26"/>
        <v>8.0000000000000071</v>
      </c>
    </row>
    <row r="186" spans="1:18">
      <c r="A186" s="9">
        <v>36977</v>
      </c>
      <c r="B186">
        <v>4.71</v>
      </c>
      <c r="C186">
        <v>4.93</v>
      </c>
      <c r="D186">
        <v>5.17</v>
      </c>
      <c r="E186">
        <v>5.35</v>
      </c>
      <c r="F186">
        <v>5.5</v>
      </c>
      <c r="G186">
        <v>5.72</v>
      </c>
      <c r="H186">
        <v>5.9</v>
      </c>
      <c r="I186">
        <v>6.24</v>
      </c>
      <c r="K186">
        <f t="shared" si="19"/>
        <v>4.9999999999999822</v>
      </c>
      <c r="L186">
        <f t="shared" si="20"/>
        <v>8.9999999999999858</v>
      </c>
      <c r="M186">
        <f t="shared" si="21"/>
        <v>8.9999999999999858</v>
      </c>
      <c r="N186">
        <f t="shared" si="22"/>
        <v>8.9999999999999858</v>
      </c>
      <c r="O186">
        <f t="shared" si="23"/>
        <v>9.9999999999999645</v>
      </c>
      <c r="P186">
        <f t="shared" si="24"/>
        <v>10.999999999999943</v>
      </c>
      <c r="Q186">
        <f t="shared" si="25"/>
        <v>10.000000000000053</v>
      </c>
      <c r="R186">
        <f t="shared" si="26"/>
        <v>8.0000000000000071</v>
      </c>
    </row>
    <row r="187" spans="1:18">
      <c r="A187" s="9">
        <v>36978</v>
      </c>
      <c r="B187">
        <v>4.71</v>
      </c>
      <c r="C187">
        <v>4.93</v>
      </c>
      <c r="D187">
        <v>5.17</v>
      </c>
      <c r="E187">
        <v>5.36</v>
      </c>
      <c r="F187">
        <v>5.5</v>
      </c>
      <c r="G187">
        <v>5.72</v>
      </c>
      <c r="H187">
        <v>5.91</v>
      </c>
      <c r="I187">
        <v>6.27</v>
      </c>
      <c r="K187">
        <f t="shared" si="19"/>
        <v>0</v>
      </c>
      <c r="L187">
        <f t="shared" si="20"/>
        <v>0</v>
      </c>
      <c r="M187">
        <f t="shared" si="21"/>
        <v>0</v>
      </c>
      <c r="N187">
        <f t="shared" si="22"/>
        <v>1.0000000000000675</v>
      </c>
      <c r="O187">
        <f t="shared" si="23"/>
        <v>0</v>
      </c>
      <c r="P187">
        <f t="shared" si="24"/>
        <v>0</v>
      </c>
      <c r="Q187">
        <f t="shared" si="25"/>
        <v>0.99999999999997868</v>
      </c>
      <c r="R187">
        <f t="shared" si="26"/>
        <v>2.9999999999999361</v>
      </c>
    </row>
    <row r="188" spans="1:18">
      <c r="A188" s="9">
        <v>36979</v>
      </c>
      <c r="B188">
        <v>4.6900000000000004</v>
      </c>
      <c r="C188">
        <v>4.92</v>
      </c>
      <c r="D188">
        <v>5.17</v>
      </c>
      <c r="E188">
        <v>5.36</v>
      </c>
      <c r="F188">
        <v>5.51</v>
      </c>
      <c r="G188">
        <v>5.74</v>
      </c>
      <c r="H188">
        <v>5.93</v>
      </c>
      <c r="I188">
        <v>6.31</v>
      </c>
      <c r="K188">
        <f t="shared" si="19"/>
        <v>-1.9999999999999574</v>
      </c>
      <c r="L188">
        <f t="shared" si="20"/>
        <v>-0.99999999999997868</v>
      </c>
      <c r="M188">
        <f t="shared" si="21"/>
        <v>0</v>
      </c>
      <c r="N188">
        <f t="shared" si="22"/>
        <v>0</v>
      </c>
      <c r="O188">
        <f t="shared" si="23"/>
        <v>0.99999999999997868</v>
      </c>
      <c r="P188">
        <f t="shared" si="24"/>
        <v>2.0000000000000462</v>
      </c>
      <c r="Q188">
        <f t="shared" si="25"/>
        <v>1.9999999999999574</v>
      </c>
      <c r="R188">
        <f t="shared" si="26"/>
        <v>4.0000000000000036</v>
      </c>
    </row>
    <row r="189" spans="1:18">
      <c r="A189" s="9">
        <v>36980</v>
      </c>
      <c r="B189">
        <v>4.5999999999999996</v>
      </c>
      <c r="C189">
        <v>4.8</v>
      </c>
      <c r="D189">
        <v>5.07</v>
      </c>
      <c r="E189">
        <v>5.27</v>
      </c>
      <c r="F189">
        <v>5.42</v>
      </c>
      <c r="G189">
        <v>5.65</v>
      </c>
      <c r="H189">
        <v>5.86</v>
      </c>
      <c r="I189">
        <v>6.28</v>
      </c>
      <c r="K189">
        <f t="shared" si="19"/>
        <v>-9.0000000000000746</v>
      </c>
      <c r="L189">
        <f t="shared" si="20"/>
        <v>-12.000000000000011</v>
      </c>
      <c r="M189">
        <f t="shared" si="21"/>
        <v>-9.9999999999999645</v>
      </c>
      <c r="N189">
        <f t="shared" si="22"/>
        <v>-9.0000000000000746</v>
      </c>
      <c r="O189">
        <f t="shared" si="23"/>
        <v>-8.9999999999999858</v>
      </c>
      <c r="P189">
        <f t="shared" si="24"/>
        <v>-8.9999999999999858</v>
      </c>
      <c r="Q189">
        <f t="shared" si="25"/>
        <v>-6.9999999999999396</v>
      </c>
      <c r="R189">
        <f t="shared" si="26"/>
        <v>-2.9999999999999361</v>
      </c>
    </row>
    <row r="190" spans="1:18">
      <c r="A190" s="9">
        <v>36983</v>
      </c>
      <c r="B190">
        <v>4.6399999999999997</v>
      </c>
      <c r="C190">
        <v>4.8600000000000003</v>
      </c>
      <c r="D190">
        <v>5.13</v>
      </c>
      <c r="E190">
        <v>5.32</v>
      </c>
      <c r="F190">
        <v>5.47</v>
      </c>
      <c r="G190">
        <v>5.7</v>
      </c>
      <c r="H190">
        <v>5.91</v>
      </c>
      <c r="I190">
        <v>6.31</v>
      </c>
      <c r="K190">
        <f t="shared" si="19"/>
        <v>4.0000000000000036</v>
      </c>
      <c r="L190">
        <f t="shared" si="20"/>
        <v>6.0000000000000497</v>
      </c>
      <c r="M190">
        <f t="shared" si="21"/>
        <v>5.9999999999999609</v>
      </c>
      <c r="N190">
        <f t="shared" si="22"/>
        <v>5.0000000000000711</v>
      </c>
      <c r="O190">
        <f t="shared" si="23"/>
        <v>4.9999999999999822</v>
      </c>
      <c r="P190">
        <f t="shared" si="24"/>
        <v>4.9999999999999822</v>
      </c>
      <c r="Q190">
        <f t="shared" si="25"/>
        <v>4.9999999999999822</v>
      </c>
      <c r="R190">
        <f t="shared" si="26"/>
        <v>2.9999999999999361</v>
      </c>
    </row>
    <row r="191" spans="1:18">
      <c r="A191" s="9">
        <v>36984</v>
      </c>
      <c r="B191">
        <v>4.5999999999999996</v>
      </c>
      <c r="C191">
        <v>4.8099999999999996</v>
      </c>
      <c r="D191">
        <v>5.08</v>
      </c>
      <c r="E191">
        <v>5.27</v>
      </c>
      <c r="F191">
        <v>5.43</v>
      </c>
      <c r="G191">
        <v>5.66</v>
      </c>
      <c r="H191">
        <v>5.89</v>
      </c>
      <c r="I191">
        <v>6.31</v>
      </c>
      <c r="K191">
        <f t="shared" si="19"/>
        <v>-4.0000000000000036</v>
      </c>
      <c r="L191">
        <f t="shared" si="20"/>
        <v>-5.0000000000000711</v>
      </c>
      <c r="M191">
        <f t="shared" si="21"/>
        <v>-4.9999999999999822</v>
      </c>
      <c r="N191">
        <f t="shared" si="22"/>
        <v>-5.0000000000000711</v>
      </c>
      <c r="O191">
        <f t="shared" si="23"/>
        <v>-4.0000000000000036</v>
      </c>
      <c r="P191">
        <f t="shared" si="24"/>
        <v>-4.0000000000000036</v>
      </c>
      <c r="Q191">
        <f t="shared" si="25"/>
        <v>-2.0000000000000462</v>
      </c>
      <c r="R191">
        <f t="shared" si="26"/>
        <v>0</v>
      </c>
    </row>
    <row r="192" spans="1:18">
      <c r="A192" s="9">
        <v>36985</v>
      </c>
      <c r="B192">
        <v>4.5599999999999996</v>
      </c>
      <c r="C192">
        <v>4.78</v>
      </c>
      <c r="D192">
        <v>5.05</v>
      </c>
      <c r="E192">
        <v>5.25</v>
      </c>
      <c r="F192">
        <v>5.4</v>
      </c>
      <c r="G192">
        <v>5.63</v>
      </c>
      <c r="H192">
        <v>5.87</v>
      </c>
      <c r="I192">
        <v>6.31</v>
      </c>
      <c r="K192">
        <f t="shared" si="19"/>
        <v>-4.0000000000000036</v>
      </c>
      <c r="L192">
        <f t="shared" si="20"/>
        <v>-2.9999999999999361</v>
      </c>
      <c r="M192">
        <f t="shared" si="21"/>
        <v>-3.0000000000000249</v>
      </c>
      <c r="N192">
        <f t="shared" si="22"/>
        <v>-1.9999999999999574</v>
      </c>
      <c r="O192">
        <f t="shared" si="23"/>
        <v>-2.9999999999999361</v>
      </c>
      <c r="P192">
        <f t="shared" si="24"/>
        <v>-3.0000000000000249</v>
      </c>
      <c r="Q192">
        <f t="shared" si="25"/>
        <v>-1.9999999999999574</v>
      </c>
      <c r="R192">
        <f t="shared" si="26"/>
        <v>0</v>
      </c>
    </row>
    <row r="193" spans="1:18">
      <c r="A193" s="9">
        <v>36986</v>
      </c>
      <c r="B193">
        <v>4.55</v>
      </c>
      <c r="C193">
        <v>4.78</v>
      </c>
      <c r="D193">
        <v>5.0599999999999996</v>
      </c>
      <c r="E193">
        <v>5.25</v>
      </c>
      <c r="F193">
        <v>5.41</v>
      </c>
      <c r="G193">
        <v>5.64</v>
      </c>
      <c r="H193">
        <v>5.87</v>
      </c>
      <c r="I193">
        <v>6.31</v>
      </c>
      <c r="K193">
        <f t="shared" si="19"/>
        <v>-0.99999999999997868</v>
      </c>
      <c r="L193">
        <f t="shared" si="20"/>
        <v>0</v>
      </c>
      <c r="M193">
        <f t="shared" si="21"/>
        <v>0.99999999999997868</v>
      </c>
      <c r="N193">
        <f t="shared" si="22"/>
        <v>0</v>
      </c>
      <c r="O193">
        <f t="shared" si="23"/>
        <v>0.99999999999997868</v>
      </c>
      <c r="P193">
        <f t="shared" si="24"/>
        <v>0.99999999999997868</v>
      </c>
      <c r="Q193">
        <f t="shared" si="25"/>
        <v>0</v>
      </c>
      <c r="R193">
        <f t="shared" si="26"/>
        <v>0</v>
      </c>
    </row>
    <row r="194" spans="1:18">
      <c r="A194" s="9">
        <v>36987</v>
      </c>
      <c r="B194">
        <v>4.49</v>
      </c>
      <c r="C194">
        <v>4.71</v>
      </c>
      <c r="D194">
        <v>4.9800000000000004</v>
      </c>
      <c r="E194">
        <v>5.18</v>
      </c>
      <c r="F194">
        <v>5.33</v>
      </c>
      <c r="G194">
        <v>5.56</v>
      </c>
      <c r="H194">
        <v>5.8</v>
      </c>
      <c r="I194">
        <v>6.27</v>
      </c>
      <c r="K194">
        <f t="shared" si="19"/>
        <v>-5.9999999999999609</v>
      </c>
      <c r="L194">
        <f t="shared" si="20"/>
        <v>-7.0000000000000284</v>
      </c>
      <c r="M194">
        <f t="shared" si="21"/>
        <v>-7.9999999999999183</v>
      </c>
      <c r="N194">
        <f t="shared" si="22"/>
        <v>-7.0000000000000284</v>
      </c>
      <c r="O194">
        <f t="shared" si="23"/>
        <v>-8.0000000000000071</v>
      </c>
      <c r="P194">
        <f t="shared" si="24"/>
        <v>-8.0000000000000071</v>
      </c>
      <c r="Q194">
        <f t="shared" si="25"/>
        <v>-7.0000000000000284</v>
      </c>
      <c r="R194">
        <f t="shared" si="26"/>
        <v>-4.0000000000000036</v>
      </c>
    </row>
    <row r="195" spans="1:18">
      <c r="A195" s="9">
        <v>36990</v>
      </c>
      <c r="B195">
        <v>4.4800000000000004</v>
      </c>
      <c r="C195">
        <v>4.7</v>
      </c>
      <c r="D195">
        <v>4.9800000000000004</v>
      </c>
      <c r="E195">
        <v>5.18</v>
      </c>
      <c r="F195">
        <v>5.34</v>
      </c>
      <c r="G195">
        <v>5.58</v>
      </c>
      <c r="H195">
        <v>5.83</v>
      </c>
      <c r="I195">
        <v>6.29</v>
      </c>
      <c r="K195">
        <f t="shared" si="19"/>
        <v>-0.99999999999997868</v>
      </c>
      <c r="L195">
        <f t="shared" si="20"/>
        <v>-0.99999999999997868</v>
      </c>
      <c r="M195">
        <f t="shared" si="21"/>
        <v>0</v>
      </c>
      <c r="N195">
        <f t="shared" si="22"/>
        <v>0</v>
      </c>
      <c r="O195">
        <f t="shared" si="23"/>
        <v>0.99999999999997868</v>
      </c>
      <c r="P195">
        <f t="shared" si="24"/>
        <v>2.0000000000000462</v>
      </c>
      <c r="Q195">
        <f t="shared" si="25"/>
        <v>3.0000000000000249</v>
      </c>
      <c r="R195">
        <f t="shared" si="26"/>
        <v>2.0000000000000462</v>
      </c>
    </row>
    <row r="196" spans="1:18">
      <c r="A196" s="9">
        <v>36991</v>
      </c>
      <c r="B196">
        <v>4.53</v>
      </c>
      <c r="C196">
        <v>4.76</v>
      </c>
      <c r="D196">
        <v>5.03</v>
      </c>
      <c r="E196">
        <v>5.24</v>
      </c>
      <c r="F196">
        <v>5.4</v>
      </c>
      <c r="G196">
        <v>5.66</v>
      </c>
      <c r="H196">
        <v>5.9</v>
      </c>
      <c r="I196">
        <v>6.37</v>
      </c>
      <c r="K196">
        <f t="shared" si="19"/>
        <v>4.9999999999999822</v>
      </c>
      <c r="L196">
        <f t="shared" si="20"/>
        <v>5.9999999999999609</v>
      </c>
      <c r="M196">
        <f t="shared" si="21"/>
        <v>4.9999999999999822</v>
      </c>
      <c r="N196">
        <f t="shared" si="22"/>
        <v>6.0000000000000497</v>
      </c>
      <c r="O196">
        <f t="shared" si="23"/>
        <v>6.0000000000000497</v>
      </c>
      <c r="P196">
        <f t="shared" si="24"/>
        <v>8.0000000000000071</v>
      </c>
      <c r="Q196">
        <f t="shared" si="25"/>
        <v>7.0000000000000284</v>
      </c>
      <c r="R196">
        <f t="shared" si="26"/>
        <v>8.0000000000000071</v>
      </c>
    </row>
    <row r="197" spans="1:18">
      <c r="A197" s="9">
        <v>36992</v>
      </c>
      <c r="B197">
        <v>4.6500000000000004</v>
      </c>
      <c r="C197">
        <v>4.9000000000000004</v>
      </c>
      <c r="D197">
        <v>5.19</v>
      </c>
      <c r="E197">
        <v>5.39</v>
      </c>
      <c r="F197">
        <v>5.55</v>
      </c>
      <c r="G197">
        <v>5.79</v>
      </c>
      <c r="H197">
        <v>6.01</v>
      </c>
      <c r="I197">
        <v>6.4</v>
      </c>
      <c r="K197">
        <f t="shared" ref="K197:K260" si="27">(B197-B196)*100</f>
        <v>12.000000000000011</v>
      </c>
      <c r="L197">
        <f t="shared" ref="L197:L260" si="28">(C197-C196)*100</f>
        <v>14.000000000000057</v>
      </c>
      <c r="M197">
        <f t="shared" ref="M197:M260" si="29">(D197-D196)*100</f>
        <v>16.000000000000014</v>
      </c>
      <c r="N197">
        <f t="shared" ref="N197:N260" si="30">(E197-E196)*100</f>
        <v>14.999999999999947</v>
      </c>
      <c r="O197">
        <f t="shared" ref="O197:O260" si="31">(F197-F196)*100</f>
        <v>14.999999999999947</v>
      </c>
      <c r="P197">
        <f t="shared" ref="P197:P260" si="32">(G197-G196)*100</f>
        <v>12.999999999999989</v>
      </c>
      <c r="Q197">
        <f t="shared" ref="Q197:Q260" si="33">(H197-H196)*100</f>
        <v>10.999999999999943</v>
      </c>
      <c r="R197">
        <f t="shared" ref="R197:R260" si="34">(I197-I196)*100</f>
        <v>3.0000000000000249</v>
      </c>
    </row>
    <row r="198" spans="1:18">
      <c r="A198" s="9">
        <v>36993</v>
      </c>
      <c r="B198">
        <v>4.62</v>
      </c>
      <c r="C198">
        <v>4.87</v>
      </c>
      <c r="D198">
        <v>5.16</v>
      </c>
      <c r="E198">
        <v>5.36</v>
      </c>
      <c r="F198">
        <v>5.52</v>
      </c>
      <c r="G198">
        <v>5.76</v>
      </c>
      <c r="H198">
        <v>6.01</v>
      </c>
      <c r="I198">
        <v>6.41</v>
      </c>
      <c r="K198">
        <f t="shared" si="27"/>
        <v>-3.0000000000000249</v>
      </c>
      <c r="L198">
        <f t="shared" si="28"/>
        <v>-3.0000000000000249</v>
      </c>
      <c r="M198">
        <f t="shared" si="29"/>
        <v>-3.0000000000000249</v>
      </c>
      <c r="N198">
        <f t="shared" si="30"/>
        <v>-2.9999999999999361</v>
      </c>
      <c r="O198">
        <f t="shared" si="31"/>
        <v>-3.0000000000000249</v>
      </c>
      <c r="P198">
        <f t="shared" si="32"/>
        <v>-3.0000000000000249</v>
      </c>
      <c r="Q198">
        <f t="shared" si="33"/>
        <v>0</v>
      </c>
      <c r="R198">
        <f t="shared" si="34"/>
        <v>0.99999999999997868</v>
      </c>
    </row>
    <row r="199" spans="1:18">
      <c r="A199" s="9">
        <v>36997</v>
      </c>
      <c r="B199">
        <v>4.7</v>
      </c>
      <c r="C199">
        <v>4.97</v>
      </c>
      <c r="D199">
        <v>5.27</v>
      </c>
      <c r="E199">
        <v>5.47</v>
      </c>
      <c r="F199">
        <v>5.64</v>
      </c>
      <c r="G199">
        <v>5.86</v>
      </c>
      <c r="H199">
        <v>6.08</v>
      </c>
      <c r="I199">
        <v>6.42</v>
      </c>
      <c r="K199">
        <f t="shared" si="27"/>
        <v>8.0000000000000071</v>
      </c>
      <c r="L199">
        <f t="shared" si="28"/>
        <v>9.9999999999999645</v>
      </c>
      <c r="M199">
        <f t="shared" si="29"/>
        <v>10.999999999999943</v>
      </c>
      <c r="N199">
        <f t="shared" si="30"/>
        <v>10.999999999999943</v>
      </c>
      <c r="O199">
        <f t="shared" si="31"/>
        <v>12.000000000000011</v>
      </c>
      <c r="P199">
        <f t="shared" si="32"/>
        <v>10.000000000000053</v>
      </c>
      <c r="Q199">
        <f t="shared" si="33"/>
        <v>7.0000000000000284</v>
      </c>
      <c r="R199">
        <f t="shared" si="34"/>
        <v>0.99999999999997868</v>
      </c>
    </row>
    <row r="200" spans="1:18">
      <c r="A200" s="9">
        <v>36998</v>
      </c>
      <c r="B200">
        <v>4.76</v>
      </c>
      <c r="C200">
        <v>5.03</v>
      </c>
      <c r="D200">
        <v>5.32</v>
      </c>
      <c r="E200">
        <v>5.52</v>
      </c>
      <c r="F200">
        <v>5.67</v>
      </c>
      <c r="G200">
        <v>5.91</v>
      </c>
      <c r="H200">
        <v>6.13</v>
      </c>
      <c r="I200">
        <v>6.48</v>
      </c>
      <c r="K200">
        <f t="shared" si="27"/>
        <v>5.9999999999999609</v>
      </c>
      <c r="L200">
        <f t="shared" si="28"/>
        <v>6.0000000000000497</v>
      </c>
      <c r="M200">
        <f t="shared" si="29"/>
        <v>5.0000000000000711</v>
      </c>
      <c r="N200">
        <f t="shared" si="30"/>
        <v>4.9999999999999822</v>
      </c>
      <c r="O200">
        <f t="shared" si="31"/>
        <v>3.0000000000000249</v>
      </c>
      <c r="P200">
        <f t="shared" si="32"/>
        <v>4.9999999999999822</v>
      </c>
      <c r="Q200">
        <f t="shared" si="33"/>
        <v>4.9999999999999822</v>
      </c>
      <c r="R200">
        <f t="shared" si="34"/>
        <v>6.0000000000000497</v>
      </c>
    </row>
    <row r="201" spans="1:18">
      <c r="A201" s="9">
        <v>36999</v>
      </c>
      <c r="B201">
        <v>4.62</v>
      </c>
      <c r="C201">
        <v>4.9400000000000004</v>
      </c>
      <c r="D201">
        <v>5.23</v>
      </c>
      <c r="E201">
        <v>5.47</v>
      </c>
      <c r="F201">
        <v>5.64</v>
      </c>
      <c r="G201">
        <v>5.89</v>
      </c>
      <c r="H201">
        <v>6.14</v>
      </c>
      <c r="I201">
        <v>6.5</v>
      </c>
      <c r="K201">
        <f t="shared" si="27"/>
        <v>-13.999999999999968</v>
      </c>
      <c r="L201">
        <f t="shared" si="28"/>
        <v>-8.9999999999999858</v>
      </c>
      <c r="M201">
        <f t="shared" si="29"/>
        <v>-8.9999999999999858</v>
      </c>
      <c r="N201">
        <f t="shared" si="30"/>
        <v>-4.9999999999999822</v>
      </c>
      <c r="O201">
        <f t="shared" si="31"/>
        <v>-3.0000000000000249</v>
      </c>
      <c r="P201">
        <f t="shared" si="32"/>
        <v>-2.0000000000000462</v>
      </c>
      <c r="Q201">
        <f t="shared" si="33"/>
        <v>0.99999999999997868</v>
      </c>
      <c r="R201">
        <f t="shared" si="34"/>
        <v>1.9999999999999574</v>
      </c>
    </row>
    <row r="202" spans="1:18">
      <c r="A202" s="9">
        <v>37000</v>
      </c>
      <c r="B202">
        <v>4.42</v>
      </c>
      <c r="C202">
        <v>4.7699999999999996</v>
      </c>
      <c r="D202">
        <v>5.0999999999999996</v>
      </c>
      <c r="E202">
        <v>5.32</v>
      </c>
      <c r="F202">
        <v>5.5</v>
      </c>
      <c r="G202">
        <v>5.76</v>
      </c>
      <c r="H202">
        <v>6.03</v>
      </c>
      <c r="I202">
        <v>6.45</v>
      </c>
      <c r="K202">
        <f t="shared" si="27"/>
        <v>-20.000000000000018</v>
      </c>
      <c r="L202">
        <f t="shared" si="28"/>
        <v>-17.000000000000082</v>
      </c>
      <c r="M202">
        <f t="shared" si="29"/>
        <v>-13.000000000000078</v>
      </c>
      <c r="N202">
        <f t="shared" si="30"/>
        <v>-14.999999999999947</v>
      </c>
      <c r="O202">
        <f t="shared" si="31"/>
        <v>-13.999999999999968</v>
      </c>
      <c r="P202">
        <f t="shared" si="32"/>
        <v>-12.999999999999989</v>
      </c>
      <c r="Q202">
        <f t="shared" si="33"/>
        <v>-10.999999999999943</v>
      </c>
      <c r="R202">
        <f t="shared" si="34"/>
        <v>-4.9999999999999822</v>
      </c>
    </row>
    <row r="203" spans="1:18">
      <c r="A203" s="9">
        <v>37001</v>
      </c>
      <c r="B203">
        <v>4.4000000000000004</v>
      </c>
      <c r="C203">
        <v>4.7699999999999996</v>
      </c>
      <c r="D203">
        <v>5.12</v>
      </c>
      <c r="E203">
        <v>5.35</v>
      </c>
      <c r="F203">
        <v>5.53</v>
      </c>
      <c r="G203">
        <v>5.79</v>
      </c>
      <c r="H203">
        <v>6.06</v>
      </c>
      <c r="I203">
        <v>6.48</v>
      </c>
      <c r="K203">
        <f t="shared" si="27"/>
        <v>-1.9999999999999574</v>
      </c>
      <c r="L203">
        <f t="shared" si="28"/>
        <v>0</v>
      </c>
      <c r="M203">
        <f t="shared" si="29"/>
        <v>2.0000000000000462</v>
      </c>
      <c r="N203">
        <f t="shared" si="30"/>
        <v>2.9999999999999361</v>
      </c>
      <c r="O203">
        <f t="shared" si="31"/>
        <v>3.0000000000000249</v>
      </c>
      <c r="P203">
        <f t="shared" si="32"/>
        <v>3.0000000000000249</v>
      </c>
      <c r="Q203">
        <f t="shared" si="33"/>
        <v>2.9999999999999361</v>
      </c>
      <c r="R203">
        <f t="shared" si="34"/>
        <v>3.0000000000000249</v>
      </c>
    </row>
    <row r="204" spans="1:18">
      <c r="A204" s="9">
        <v>37004</v>
      </c>
      <c r="B204">
        <v>4.34</v>
      </c>
      <c r="C204">
        <v>4.7300000000000004</v>
      </c>
      <c r="D204">
        <v>5.07</v>
      </c>
      <c r="E204">
        <v>5.3</v>
      </c>
      <c r="F204">
        <v>5.48</v>
      </c>
      <c r="G204">
        <v>5.76</v>
      </c>
      <c r="H204">
        <v>6.03</v>
      </c>
      <c r="I204">
        <v>6.49</v>
      </c>
      <c r="K204">
        <f t="shared" si="27"/>
        <v>-6.0000000000000497</v>
      </c>
      <c r="L204">
        <f t="shared" si="28"/>
        <v>-3.9999999999999147</v>
      </c>
      <c r="M204">
        <f t="shared" si="29"/>
        <v>-4.9999999999999822</v>
      </c>
      <c r="N204">
        <f t="shared" si="30"/>
        <v>-4.9999999999999822</v>
      </c>
      <c r="O204">
        <f t="shared" si="31"/>
        <v>-4.9999999999999822</v>
      </c>
      <c r="P204">
        <f t="shared" si="32"/>
        <v>-3.0000000000000249</v>
      </c>
      <c r="Q204">
        <f t="shared" si="33"/>
        <v>-2.9999999999999361</v>
      </c>
      <c r="R204">
        <f t="shared" si="34"/>
        <v>0.99999999999997868</v>
      </c>
    </row>
    <row r="205" spans="1:18">
      <c r="A205" s="9">
        <v>37005</v>
      </c>
      <c r="B205">
        <v>4.3499999999999996</v>
      </c>
      <c r="C205">
        <v>4.74</v>
      </c>
      <c r="D205">
        <v>5.09</v>
      </c>
      <c r="E205">
        <v>5.33</v>
      </c>
      <c r="F205">
        <v>5.51</v>
      </c>
      <c r="G205">
        <v>5.79</v>
      </c>
      <c r="H205">
        <v>6.07</v>
      </c>
      <c r="I205">
        <v>6.52</v>
      </c>
      <c r="K205">
        <f t="shared" si="27"/>
        <v>0.99999999999997868</v>
      </c>
      <c r="L205">
        <f t="shared" si="28"/>
        <v>0.99999999999997868</v>
      </c>
      <c r="M205">
        <f t="shared" si="29"/>
        <v>1.9999999999999574</v>
      </c>
      <c r="N205">
        <f t="shared" si="30"/>
        <v>3.0000000000000249</v>
      </c>
      <c r="O205">
        <f t="shared" si="31"/>
        <v>2.9999999999999361</v>
      </c>
      <c r="P205">
        <f t="shared" si="32"/>
        <v>3.0000000000000249</v>
      </c>
      <c r="Q205">
        <f t="shared" si="33"/>
        <v>4.0000000000000036</v>
      </c>
      <c r="R205">
        <f t="shared" si="34"/>
        <v>2.9999999999999361</v>
      </c>
    </row>
    <row r="206" spans="1:18">
      <c r="A206" s="9">
        <v>37006</v>
      </c>
      <c r="B206">
        <v>4.34</v>
      </c>
      <c r="C206">
        <v>4.7300000000000004</v>
      </c>
      <c r="D206">
        <v>5.07</v>
      </c>
      <c r="E206">
        <v>5.31</v>
      </c>
      <c r="F206">
        <v>5.49</v>
      </c>
      <c r="G206">
        <v>5.78</v>
      </c>
      <c r="H206">
        <v>6.05</v>
      </c>
      <c r="I206">
        <v>6.49</v>
      </c>
      <c r="K206">
        <f t="shared" si="27"/>
        <v>-0.99999999999997868</v>
      </c>
      <c r="L206">
        <f t="shared" si="28"/>
        <v>-0.99999999999997868</v>
      </c>
      <c r="M206">
        <f t="shared" si="29"/>
        <v>-1.9999999999999574</v>
      </c>
      <c r="N206">
        <f t="shared" si="30"/>
        <v>-2.0000000000000462</v>
      </c>
      <c r="O206">
        <f t="shared" si="31"/>
        <v>-1.9999999999999574</v>
      </c>
      <c r="P206">
        <f t="shared" si="32"/>
        <v>-0.99999999999997868</v>
      </c>
      <c r="Q206">
        <f t="shared" si="33"/>
        <v>-2.0000000000000462</v>
      </c>
      <c r="R206">
        <f t="shared" si="34"/>
        <v>-2.9999999999999361</v>
      </c>
    </row>
    <row r="207" spans="1:18">
      <c r="A207" s="9">
        <v>37007</v>
      </c>
      <c r="B207">
        <v>4.37</v>
      </c>
      <c r="C207">
        <v>4.7699999999999996</v>
      </c>
      <c r="D207">
        <v>5.1100000000000003</v>
      </c>
      <c r="E207">
        <v>5.35</v>
      </c>
      <c r="F207">
        <v>5.52</v>
      </c>
      <c r="G207">
        <v>5.8</v>
      </c>
      <c r="H207">
        <v>6.06</v>
      </c>
      <c r="I207">
        <v>6.47</v>
      </c>
      <c r="K207">
        <f t="shared" si="27"/>
        <v>3.0000000000000249</v>
      </c>
      <c r="L207">
        <f t="shared" si="28"/>
        <v>3.9999999999999147</v>
      </c>
      <c r="M207">
        <f t="shared" si="29"/>
        <v>4.0000000000000036</v>
      </c>
      <c r="N207">
        <f t="shared" si="30"/>
        <v>4.0000000000000036</v>
      </c>
      <c r="O207">
        <f t="shared" si="31"/>
        <v>2.9999999999999361</v>
      </c>
      <c r="P207">
        <f t="shared" si="32"/>
        <v>1.9999999999999574</v>
      </c>
      <c r="Q207">
        <f t="shared" si="33"/>
        <v>0.99999999999997868</v>
      </c>
      <c r="R207">
        <f t="shared" si="34"/>
        <v>-2.0000000000000462</v>
      </c>
    </row>
    <row r="208" spans="1:18">
      <c r="A208" s="9">
        <v>37008</v>
      </c>
      <c r="B208">
        <v>4.4000000000000004</v>
      </c>
      <c r="C208">
        <v>4.8</v>
      </c>
      <c r="D208">
        <v>5.14</v>
      </c>
      <c r="E208">
        <v>5.38</v>
      </c>
      <c r="F208">
        <v>5.56</v>
      </c>
      <c r="G208">
        <v>5.83</v>
      </c>
      <c r="H208">
        <v>6.09</v>
      </c>
      <c r="I208">
        <v>6.5</v>
      </c>
      <c r="K208">
        <f t="shared" si="27"/>
        <v>3.0000000000000249</v>
      </c>
      <c r="L208">
        <f t="shared" si="28"/>
        <v>3.0000000000000249</v>
      </c>
      <c r="M208">
        <f t="shared" si="29"/>
        <v>2.9999999999999361</v>
      </c>
      <c r="N208">
        <f t="shared" si="30"/>
        <v>3.0000000000000249</v>
      </c>
      <c r="O208">
        <f t="shared" si="31"/>
        <v>4.0000000000000036</v>
      </c>
      <c r="P208">
        <f t="shared" si="32"/>
        <v>3.0000000000000249</v>
      </c>
      <c r="Q208">
        <f t="shared" si="33"/>
        <v>3.0000000000000249</v>
      </c>
      <c r="R208">
        <f t="shared" si="34"/>
        <v>3.0000000000000249</v>
      </c>
    </row>
    <row r="209" spans="1:18">
      <c r="A209" s="9">
        <v>37011</v>
      </c>
      <c r="B209">
        <v>4.47</v>
      </c>
      <c r="C209">
        <v>4.88</v>
      </c>
      <c r="D209">
        <v>5.22</v>
      </c>
      <c r="E209">
        <v>5.46</v>
      </c>
      <c r="F209">
        <v>5.64</v>
      </c>
      <c r="G209">
        <v>5.9</v>
      </c>
      <c r="H209">
        <v>6.16</v>
      </c>
      <c r="I209">
        <v>6.52</v>
      </c>
      <c r="K209">
        <f t="shared" si="27"/>
        <v>6.9999999999999396</v>
      </c>
      <c r="L209">
        <f t="shared" si="28"/>
        <v>8.0000000000000071</v>
      </c>
      <c r="M209">
        <f t="shared" si="29"/>
        <v>8.0000000000000071</v>
      </c>
      <c r="N209">
        <f t="shared" si="30"/>
        <v>8.0000000000000071</v>
      </c>
      <c r="O209">
        <f t="shared" si="31"/>
        <v>8.0000000000000071</v>
      </c>
      <c r="P209">
        <f t="shared" si="32"/>
        <v>7.0000000000000284</v>
      </c>
      <c r="Q209">
        <f t="shared" si="33"/>
        <v>7.0000000000000284</v>
      </c>
      <c r="R209">
        <f t="shared" si="34"/>
        <v>1.9999999999999574</v>
      </c>
    </row>
    <row r="210" spans="1:18">
      <c r="A210" s="9">
        <v>37012</v>
      </c>
      <c r="B210">
        <v>4.41</v>
      </c>
      <c r="C210">
        <v>4.83</v>
      </c>
      <c r="D210">
        <v>5.18</v>
      </c>
      <c r="E210">
        <v>5.42</v>
      </c>
      <c r="F210">
        <v>5.6</v>
      </c>
      <c r="G210">
        <v>5.86</v>
      </c>
      <c r="H210">
        <v>6.12</v>
      </c>
      <c r="I210">
        <v>6.48</v>
      </c>
      <c r="K210">
        <f t="shared" si="27"/>
        <v>-5.9999999999999609</v>
      </c>
      <c r="L210">
        <f t="shared" si="28"/>
        <v>-4.9999999999999822</v>
      </c>
      <c r="M210">
        <f t="shared" si="29"/>
        <v>-4.0000000000000036</v>
      </c>
      <c r="N210">
        <f t="shared" si="30"/>
        <v>-4.0000000000000036</v>
      </c>
      <c r="O210">
        <f t="shared" si="31"/>
        <v>-4.0000000000000036</v>
      </c>
      <c r="P210">
        <f t="shared" si="32"/>
        <v>-4.0000000000000036</v>
      </c>
      <c r="Q210">
        <f t="shared" si="33"/>
        <v>-4.0000000000000036</v>
      </c>
      <c r="R210">
        <f t="shared" si="34"/>
        <v>-3.9999999999999147</v>
      </c>
    </row>
    <row r="211" spans="1:18">
      <c r="A211" s="9">
        <v>37013</v>
      </c>
      <c r="B211">
        <v>4.3899999999999997</v>
      </c>
      <c r="C211">
        <v>4.82</v>
      </c>
      <c r="D211">
        <v>5.16</v>
      </c>
      <c r="E211">
        <v>5.4</v>
      </c>
      <c r="F211">
        <v>5.58</v>
      </c>
      <c r="G211">
        <v>5.84</v>
      </c>
      <c r="H211">
        <v>6.09</v>
      </c>
      <c r="I211">
        <v>6.46</v>
      </c>
      <c r="K211">
        <f t="shared" si="27"/>
        <v>-2.0000000000000462</v>
      </c>
      <c r="L211">
        <f t="shared" si="28"/>
        <v>-0.99999999999997868</v>
      </c>
      <c r="M211">
        <f t="shared" si="29"/>
        <v>-1.9999999999999574</v>
      </c>
      <c r="N211">
        <f t="shared" si="30"/>
        <v>-1.9999999999999574</v>
      </c>
      <c r="O211">
        <f t="shared" si="31"/>
        <v>-1.9999999999999574</v>
      </c>
      <c r="P211">
        <f t="shared" si="32"/>
        <v>-2.0000000000000462</v>
      </c>
      <c r="Q211">
        <f t="shared" si="33"/>
        <v>-3.0000000000000249</v>
      </c>
      <c r="R211">
        <f t="shared" si="34"/>
        <v>-2.0000000000000462</v>
      </c>
    </row>
    <row r="212" spans="1:18">
      <c r="A212" s="9">
        <v>37014</v>
      </c>
      <c r="B212">
        <v>4.3899999999999997</v>
      </c>
      <c r="C212">
        <v>4.8</v>
      </c>
      <c r="D212">
        <v>5.13</v>
      </c>
      <c r="E212">
        <v>5.35</v>
      </c>
      <c r="F212">
        <v>5.51</v>
      </c>
      <c r="G212">
        <v>5.76</v>
      </c>
      <c r="H212">
        <v>6</v>
      </c>
      <c r="I212">
        <v>6.36</v>
      </c>
      <c r="K212">
        <f t="shared" si="27"/>
        <v>0</v>
      </c>
      <c r="L212">
        <f t="shared" si="28"/>
        <v>-2.0000000000000462</v>
      </c>
      <c r="M212">
        <f t="shared" si="29"/>
        <v>-3.0000000000000249</v>
      </c>
      <c r="N212">
        <f t="shared" si="30"/>
        <v>-5.0000000000000711</v>
      </c>
      <c r="O212">
        <f t="shared" si="31"/>
        <v>-7.0000000000000284</v>
      </c>
      <c r="P212">
        <f t="shared" si="32"/>
        <v>-8.0000000000000071</v>
      </c>
      <c r="Q212">
        <f t="shared" si="33"/>
        <v>-8.9999999999999858</v>
      </c>
      <c r="R212">
        <f t="shared" si="34"/>
        <v>-9.9999999999999645</v>
      </c>
    </row>
    <row r="213" spans="1:18">
      <c r="A213" s="9">
        <v>37015</v>
      </c>
      <c r="B213">
        <v>4.28</v>
      </c>
      <c r="C213">
        <v>4.68</v>
      </c>
      <c r="D213">
        <v>5.0199999999999996</v>
      </c>
      <c r="E213">
        <v>5.24</v>
      </c>
      <c r="F213">
        <v>5.42</v>
      </c>
      <c r="G213">
        <v>5.68</v>
      </c>
      <c r="H213">
        <v>5.95</v>
      </c>
      <c r="I213">
        <v>6.37</v>
      </c>
      <c r="K213">
        <f t="shared" si="27"/>
        <v>-10.999999999999943</v>
      </c>
      <c r="L213">
        <f t="shared" si="28"/>
        <v>-12.000000000000011</v>
      </c>
      <c r="M213">
        <f t="shared" si="29"/>
        <v>-11.000000000000032</v>
      </c>
      <c r="N213">
        <f t="shared" si="30"/>
        <v>-10.999999999999943</v>
      </c>
      <c r="O213">
        <f t="shared" si="31"/>
        <v>-8.9999999999999858</v>
      </c>
      <c r="P213">
        <f t="shared" si="32"/>
        <v>-8.0000000000000071</v>
      </c>
      <c r="Q213">
        <f t="shared" si="33"/>
        <v>-4.9999999999999822</v>
      </c>
      <c r="R213">
        <f t="shared" si="34"/>
        <v>0.99999999999997868</v>
      </c>
    </row>
    <row r="214" spans="1:18">
      <c r="A214" s="9">
        <v>37018</v>
      </c>
      <c r="B214">
        <v>4.26</v>
      </c>
      <c r="C214">
        <v>4.68</v>
      </c>
      <c r="D214">
        <v>5.04</v>
      </c>
      <c r="E214">
        <v>5.29</v>
      </c>
      <c r="F214">
        <v>5.48</v>
      </c>
      <c r="G214">
        <v>5.73</v>
      </c>
      <c r="H214">
        <v>6</v>
      </c>
      <c r="I214">
        <v>6.39</v>
      </c>
      <c r="K214">
        <f t="shared" si="27"/>
        <v>-2.0000000000000462</v>
      </c>
      <c r="L214">
        <f t="shared" si="28"/>
        <v>0</v>
      </c>
      <c r="M214">
        <f t="shared" si="29"/>
        <v>2.0000000000000462</v>
      </c>
      <c r="N214">
        <f t="shared" si="30"/>
        <v>4.9999999999999822</v>
      </c>
      <c r="O214">
        <f t="shared" si="31"/>
        <v>6.0000000000000497</v>
      </c>
      <c r="P214">
        <f t="shared" si="32"/>
        <v>5.0000000000000711</v>
      </c>
      <c r="Q214">
        <f t="shared" si="33"/>
        <v>4.9999999999999822</v>
      </c>
      <c r="R214">
        <f t="shared" si="34"/>
        <v>1.9999999999999574</v>
      </c>
    </row>
    <row r="215" spans="1:18">
      <c r="A215" s="9">
        <v>37019</v>
      </c>
      <c r="B215">
        <v>4.1900000000000004</v>
      </c>
      <c r="C215">
        <v>4.6100000000000003</v>
      </c>
      <c r="D215">
        <v>4.9800000000000004</v>
      </c>
      <c r="E215">
        <v>5.23</v>
      </c>
      <c r="F215">
        <v>5.42</v>
      </c>
      <c r="G215">
        <v>5.69</v>
      </c>
      <c r="H215">
        <v>5.97</v>
      </c>
      <c r="I215">
        <v>6.37</v>
      </c>
      <c r="K215">
        <f t="shared" si="27"/>
        <v>-6.9999999999999396</v>
      </c>
      <c r="L215">
        <f t="shared" si="28"/>
        <v>-6.9999999999999396</v>
      </c>
      <c r="M215">
        <f t="shared" si="29"/>
        <v>-5.9999999999999609</v>
      </c>
      <c r="N215">
        <f t="shared" si="30"/>
        <v>-5.9999999999999609</v>
      </c>
      <c r="O215">
        <f t="shared" si="31"/>
        <v>-6.0000000000000497</v>
      </c>
      <c r="P215">
        <f t="shared" si="32"/>
        <v>-4.0000000000000036</v>
      </c>
      <c r="Q215">
        <f t="shared" si="33"/>
        <v>-3.0000000000000249</v>
      </c>
      <c r="R215">
        <f t="shared" si="34"/>
        <v>-1.9999999999999574</v>
      </c>
    </row>
    <row r="216" spans="1:18">
      <c r="A216" s="9">
        <v>37020</v>
      </c>
      <c r="B216">
        <v>4.18</v>
      </c>
      <c r="C216">
        <v>4.6100000000000003</v>
      </c>
      <c r="D216">
        <v>4.99</v>
      </c>
      <c r="E216">
        <v>5.25</v>
      </c>
      <c r="F216">
        <v>5.44</v>
      </c>
      <c r="G216">
        <v>5.71</v>
      </c>
      <c r="H216">
        <v>5.99</v>
      </c>
      <c r="I216">
        <v>6.38</v>
      </c>
      <c r="K216">
        <f t="shared" si="27"/>
        <v>-1.0000000000000675</v>
      </c>
      <c r="L216">
        <f t="shared" si="28"/>
        <v>0</v>
      </c>
      <c r="M216">
        <f t="shared" si="29"/>
        <v>0.99999999999997868</v>
      </c>
      <c r="N216">
        <f t="shared" si="30"/>
        <v>1.9999999999999574</v>
      </c>
      <c r="O216">
        <f t="shared" si="31"/>
        <v>2.0000000000000462</v>
      </c>
      <c r="P216">
        <f t="shared" si="32"/>
        <v>1.9999999999999574</v>
      </c>
      <c r="Q216">
        <f t="shared" si="33"/>
        <v>2.0000000000000462</v>
      </c>
      <c r="R216">
        <f t="shared" si="34"/>
        <v>0.99999999999997868</v>
      </c>
    </row>
    <row r="217" spans="1:18">
      <c r="A217" s="9">
        <v>37021</v>
      </c>
      <c r="B217">
        <v>4.22</v>
      </c>
      <c r="C217">
        <v>4.66</v>
      </c>
      <c r="D217">
        <v>5.03</v>
      </c>
      <c r="E217">
        <v>5.28</v>
      </c>
      <c r="F217">
        <v>5.47</v>
      </c>
      <c r="G217">
        <v>5.73</v>
      </c>
      <c r="H217">
        <v>5.99</v>
      </c>
      <c r="I217">
        <v>6.39</v>
      </c>
      <c r="K217">
        <f t="shared" si="27"/>
        <v>4.0000000000000036</v>
      </c>
      <c r="L217">
        <f t="shared" si="28"/>
        <v>4.9999999999999822</v>
      </c>
      <c r="M217">
        <f t="shared" si="29"/>
        <v>4.0000000000000036</v>
      </c>
      <c r="N217">
        <f t="shared" si="30"/>
        <v>3.0000000000000249</v>
      </c>
      <c r="O217">
        <f t="shared" si="31"/>
        <v>2.9999999999999361</v>
      </c>
      <c r="P217">
        <f t="shared" si="32"/>
        <v>2.0000000000000462</v>
      </c>
      <c r="Q217">
        <f t="shared" si="33"/>
        <v>0</v>
      </c>
      <c r="R217">
        <f t="shared" si="34"/>
        <v>0.99999999999997868</v>
      </c>
    </row>
    <row r="218" spans="1:18">
      <c r="A218" s="9">
        <v>37022</v>
      </c>
      <c r="B218">
        <v>4.3099999999999996</v>
      </c>
      <c r="C218">
        <v>4.79</v>
      </c>
      <c r="D218">
        <v>5.2</v>
      </c>
      <c r="E218">
        <v>5.47</v>
      </c>
      <c r="F218">
        <v>5.67</v>
      </c>
      <c r="G218">
        <v>5.93</v>
      </c>
      <c r="H218">
        <v>6.21</v>
      </c>
      <c r="I218">
        <v>6.56</v>
      </c>
      <c r="K218">
        <f t="shared" si="27"/>
        <v>8.9999999999999858</v>
      </c>
      <c r="L218">
        <f t="shared" si="28"/>
        <v>12.999999999999989</v>
      </c>
      <c r="M218">
        <f t="shared" si="29"/>
        <v>16.999999999999993</v>
      </c>
      <c r="N218">
        <f t="shared" si="30"/>
        <v>18.99999999999995</v>
      </c>
      <c r="O218">
        <f t="shared" si="31"/>
        <v>20.000000000000018</v>
      </c>
      <c r="P218">
        <f t="shared" si="32"/>
        <v>19.999999999999929</v>
      </c>
      <c r="Q218">
        <f t="shared" si="33"/>
        <v>21.999999999999975</v>
      </c>
      <c r="R218">
        <f t="shared" si="34"/>
        <v>16.999999999999993</v>
      </c>
    </row>
    <row r="219" spans="1:18">
      <c r="A219" s="9">
        <v>37025</v>
      </c>
      <c r="B219">
        <v>4.3099999999999996</v>
      </c>
      <c r="C219">
        <v>4.8099999999999996</v>
      </c>
      <c r="D219">
        <v>5.23</v>
      </c>
      <c r="E219">
        <v>5.5</v>
      </c>
      <c r="F219">
        <v>5.7</v>
      </c>
      <c r="G219">
        <v>5.97</v>
      </c>
      <c r="H219">
        <v>6.24</v>
      </c>
      <c r="I219">
        <v>6.58</v>
      </c>
      <c r="K219">
        <f t="shared" si="27"/>
        <v>0</v>
      </c>
      <c r="L219">
        <f t="shared" si="28"/>
        <v>1.9999999999999574</v>
      </c>
      <c r="M219">
        <f t="shared" si="29"/>
        <v>3.0000000000000249</v>
      </c>
      <c r="N219">
        <f t="shared" si="30"/>
        <v>3.0000000000000249</v>
      </c>
      <c r="O219">
        <f t="shared" si="31"/>
        <v>3.0000000000000249</v>
      </c>
      <c r="P219">
        <f t="shared" si="32"/>
        <v>4.0000000000000036</v>
      </c>
      <c r="Q219">
        <f t="shared" si="33"/>
        <v>3.0000000000000249</v>
      </c>
      <c r="R219">
        <f t="shared" si="34"/>
        <v>2.0000000000000462</v>
      </c>
    </row>
    <row r="220" spans="1:18">
      <c r="A220" s="9">
        <v>37026</v>
      </c>
      <c r="B220">
        <v>4.33</v>
      </c>
      <c r="C220">
        <v>4.8600000000000003</v>
      </c>
      <c r="D220">
        <v>5.28</v>
      </c>
      <c r="E220">
        <v>5.55</v>
      </c>
      <c r="F220">
        <v>5.75</v>
      </c>
      <c r="G220">
        <v>6.02</v>
      </c>
      <c r="H220">
        <v>6.27</v>
      </c>
      <c r="I220">
        <v>6.58</v>
      </c>
      <c r="K220">
        <f t="shared" si="27"/>
        <v>2.0000000000000462</v>
      </c>
      <c r="L220">
        <f t="shared" si="28"/>
        <v>5.0000000000000711</v>
      </c>
      <c r="M220">
        <f t="shared" si="29"/>
        <v>4.9999999999999822</v>
      </c>
      <c r="N220">
        <f t="shared" si="30"/>
        <v>4.9999999999999822</v>
      </c>
      <c r="O220">
        <f t="shared" si="31"/>
        <v>4.9999999999999822</v>
      </c>
      <c r="P220">
        <f t="shared" si="32"/>
        <v>4.9999999999999822</v>
      </c>
      <c r="Q220">
        <f t="shared" si="33"/>
        <v>2.9999999999999361</v>
      </c>
      <c r="R220">
        <f t="shared" si="34"/>
        <v>0</v>
      </c>
    </row>
    <row r="221" spans="1:18">
      <c r="A221" s="9">
        <v>37027</v>
      </c>
      <c r="B221">
        <v>4.22</v>
      </c>
      <c r="C221">
        <v>4.7699999999999996</v>
      </c>
      <c r="D221">
        <v>5.22</v>
      </c>
      <c r="E221">
        <v>5.51</v>
      </c>
      <c r="F221">
        <v>5.73</v>
      </c>
      <c r="G221">
        <v>6.02</v>
      </c>
      <c r="H221">
        <v>6.29</v>
      </c>
      <c r="I221">
        <v>6.59</v>
      </c>
      <c r="K221">
        <f t="shared" si="27"/>
        <v>-11.000000000000032</v>
      </c>
      <c r="L221">
        <f t="shared" si="28"/>
        <v>-9.0000000000000746</v>
      </c>
      <c r="M221">
        <f t="shared" si="29"/>
        <v>-6.0000000000000497</v>
      </c>
      <c r="N221">
        <f t="shared" si="30"/>
        <v>-4.0000000000000036</v>
      </c>
      <c r="O221">
        <f t="shared" si="31"/>
        <v>-1.9999999999999574</v>
      </c>
      <c r="P221">
        <f t="shared" si="32"/>
        <v>0</v>
      </c>
      <c r="Q221">
        <f t="shared" si="33"/>
        <v>2.0000000000000462</v>
      </c>
      <c r="R221">
        <f t="shared" si="34"/>
        <v>0.99999999999997868</v>
      </c>
    </row>
    <row r="222" spans="1:18">
      <c r="A222" s="9">
        <v>37028</v>
      </c>
      <c r="B222">
        <v>4.29</v>
      </c>
      <c r="C222">
        <v>4.84</v>
      </c>
      <c r="D222">
        <v>5.27</v>
      </c>
      <c r="E222">
        <v>5.55</v>
      </c>
      <c r="F222">
        <v>5.74</v>
      </c>
      <c r="G222">
        <v>6.01</v>
      </c>
      <c r="H222">
        <v>6.25</v>
      </c>
      <c r="I222">
        <v>6.52</v>
      </c>
      <c r="K222">
        <f t="shared" si="27"/>
        <v>7.0000000000000284</v>
      </c>
      <c r="L222">
        <f t="shared" si="28"/>
        <v>7.0000000000000284</v>
      </c>
      <c r="M222">
        <f t="shared" si="29"/>
        <v>4.9999999999999822</v>
      </c>
      <c r="N222">
        <f t="shared" si="30"/>
        <v>4.0000000000000036</v>
      </c>
      <c r="O222">
        <f t="shared" si="31"/>
        <v>0.99999999999997868</v>
      </c>
      <c r="P222">
        <f t="shared" si="32"/>
        <v>-0.99999999999997868</v>
      </c>
      <c r="Q222">
        <f t="shared" si="33"/>
        <v>-4.0000000000000036</v>
      </c>
      <c r="R222">
        <f t="shared" si="34"/>
        <v>-7.0000000000000284</v>
      </c>
    </row>
    <row r="223" spans="1:18">
      <c r="A223" s="9">
        <v>37029</v>
      </c>
      <c r="B223">
        <v>4.34</v>
      </c>
      <c r="C223">
        <v>4.9000000000000004</v>
      </c>
      <c r="D223">
        <v>5.29</v>
      </c>
      <c r="E223">
        <v>5.54</v>
      </c>
      <c r="F223">
        <v>5.71</v>
      </c>
      <c r="G223">
        <v>5.95</v>
      </c>
      <c r="H223">
        <v>6.16</v>
      </c>
      <c r="I223">
        <v>6.46</v>
      </c>
      <c r="K223">
        <f t="shared" si="27"/>
        <v>4.9999999999999822</v>
      </c>
      <c r="L223">
        <f t="shared" si="28"/>
        <v>6.0000000000000497</v>
      </c>
      <c r="M223">
        <f t="shared" si="29"/>
        <v>2.0000000000000462</v>
      </c>
      <c r="N223">
        <f t="shared" si="30"/>
        <v>-0.99999999999997868</v>
      </c>
      <c r="O223">
        <f t="shared" si="31"/>
        <v>-3.0000000000000249</v>
      </c>
      <c r="P223">
        <f t="shared" si="32"/>
        <v>-5.9999999999999609</v>
      </c>
      <c r="Q223">
        <f t="shared" si="33"/>
        <v>-8.9999999999999858</v>
      </c>
      <c r="R223">
        <f t="shared" si="34"/>
        <v>-5.9999999999999609</v>
      </c>
    </row>
    <row r="224" spans="1:18">
      <c r="A224" s="9">
        <v>37032</v>
      </c>
      <c r="B224">
        <v>4.3600000000000003</v>
      </c>
      <c r="C224">
        <v>4.92</v>
      </c>
      <c r="D224">
        <v>5.31</v>
      </c>
      <c r="E224">
        <v>5.56</v>
      </c>
      <c r="F224">
        <v>5.74</v>
      </c>
      <c r="G224">
        <v>5.98</v>
      </c>
      <c r="H224">
        <v>6.2</v>
      </c>
      <c r="I224">
        <v>6.51</v>
      </c>
      <c r="K224">
        <f t="shared" si="27"/>
        <v>2.0000000000000462</v>
      </c>
      <c r="L224">
        <f t="shared" si="28"/>
        <v>1.9999999999999574</v>
      </c>
      <c r="M224">
        <f t="shared" si="29"/>
        <v>1.9999999999999574</v>
      </c>
      <c r="N224">
        <f t="shared" si="30"/>
        <v>1.9999999999999574</v>
      </c>
      <c r="O224">
        <f t="shared" si="31"/>
        <v>3.0000000000000249</v>
      </c>
      <c r="P224">
        <f t="shared" si="32"/>
        <v>3.0000000000000249</v>
      </c>
      <c r="Q224">
        <f t="shared" si="33"/>
        <v>4.0000000000000036</v>
      </c>
      <c r="R224">
        <f t="shared" si="34"/>
        <v>4.9999999999999822</v>
      </c>
    </row>
    <row r="225" spans="1:18">
      <c r="A225" s="9">
        <v>37033</v>
      </c>
      <c r="B225">
        <v>4.33</v>
      </c>
      <c r="C225">
        <v>4.88</v>
      </c>
      <c r="D225">
        <v>5.28</v>
      </c>
      <c r="E225">
        <v>5.52</v>
      </c>
      <c r="F225">
        <v>5.69</v>
      </c>
      <c r="G225">
        <v>5.93</v>
      </c>
      <c r="H225">
        <v>6.14</v>
      </c>
      <c r="I225">
        <v>6.47</v>
      </c>
      <c r="K225">
        <f t="shared" si="27"/>
        <v>-3.0000000000000249</v>
      </c>
      <c r="L225">
        <f t="shared" si="28"/>
        <v>-4.0000000000000036</v>
      </c>
      <c r="M225">
        <f t="shared" si="29"/>
        <v>-2.9999999999999361</v>
      </c>
      <c r="N225">
        <f t="shared" si="30"/>
        <v>-4.0000000000000036</v>
      </c>
      <c r="O225">
        <f t="shared" si="31"/>
        <v>-4.9999999999999822</v>
      </c>
      <c r="P225">
        <f t="shared" si="32"/>
        <v>-5.0000000000000711</v>
      </c>
      <c r="Q225">
        <f t="shared" si="33"/>
        <v>-6.0000000000000497</v>
      </c>
      <c r="R225">
        <f t="shared" si="34"/>
        <v>-4.0000000000000036</v>
      </c>
    </row>
    <row r="226" spans="1:18">
      <c r="A226" s="9">
        <v>37034</v>
      </c>
      <c r="B226">
        <v>4.3099999999999996</v>
      </c>
      <c r="C226">
        <v>4.8499999999999996</v>
      </c>
      <c r="D226">
        <v>5.25</v>
      </c>
      <c r="E226">
        <v>5.5</v>
      </c>
      <c r="F226">
        <v>5.68</v>
      </c>
      <c r="G226">
        <v>5.93</v>
      </c>
      <c r="H226">
        <v>6.16</v>
      </c>
      <c r="I226">
        <v>6.49</v>
      </c>
      <c r="K226">
        <f t="shared" si="27"/>
        <v>-2.0000000000000462</v>
      </c>
      <c r="L226">
        <f t="shared" si="28"/>
        <v>-3.0000000000000249</v>
      </c>
      <c r="M226">
        <f t="shared" si="29"/>
        <v>-3.0000000000000249</v>
      </c>
      <c r="N226">
        <f t="shared" si="30"/>
        <v>-1.9999999999999574</v>
      </c>
      <c r="O226">
        <f t="shared" si="31"/>
        <v>-1.0000000000000675</v>
      </c>
      <c r="P226">
        <f t="shared" si="32"/>
        <v>0</v>
      </c>
      <c r="Q226">
        <f t="shared" si="33"/>
        <v>2.0000000000000462</v>
      </c>
      <c r="R226">
        <f t="shared" si="34"/>
        <v>2.0000000000000462</v>
      </c>
    </row>
    <row r="227" spans="1:18">
      <c r="A227" s="9">
        <v>37035</v>
      </c>
      <c r="B227">
        <v>4.2699999999999996</v>
      </c>
      <c r="C227">
        <v>4.8099999999999996</v>
      </c>
      <c r="D227">
        <v>5.22</v>
      </c>
      <c r="E227">
        <v>5.49</v>
      </c>
      <c r="F227">
        <v>5.67</v>
      </c>
      <c r="G227">
        <v>5.93</v>
      </c>
      <c r="H227">
        <v>6.18</v>
      </c>
      <c r="I227">
        <v>6.54</v>
      </c>
      <c r="K227">
        <f t="shared" si="27"/>
        <v>-4.0000000000000036</v>
      </c>
      <c r="L227">
        <f t="shared" si="28"/>
        <v>-4.0000000000000036</v>
      </c>
      <c r="M227">
        <f t="shared" si="29"/>
        <v>-3.0000000000000249</v>
      </c>
      <c r="N227">
        <f t="shared" si="30"/>
        <v>-0.99999999999997868</v>
      </c>
      <c r="O227">
        <f t="shared" si="31"/>
        <v>-0.99999999999997868</v>
      </c>
      <c r="P227">
        <f t="shared" si="32"/>
        <v>0</v>
      </c>
      <c r="Q227">
        <f t="shared" si="33"/>
        <v>1.9999999999999574</v>
      </c>
      <c r="R227">
        <f t="shared" si="34"/>
        <v>4.9999999999999822</v>
      </c>
    </row>
    <row r="228" spans="1:18">
      <c r="A228" s="9">
        <v>37036</v>
      </c>
      <c r="B228">
        <v>4.3</v>
      </c>
      <c r="C228">
        <v>4.8899999999999997</v>
      </c>
      <c r="D228">
        <v>5.31</v>
      </c>
      <c r="E228">
        <v>5.58</v>
      </c>
      <c r="F228">
        <v>5.77</v>
      </c>
      <c r="G228">
        <v>6.03</v>
      </c>
      <c r="H228">
        <v>6.28</v>
      </c>
      <c r="I228">
        <v>6.57</v>
      </c>
      <c r="K228">
        <f t="shared" si="27"/>
        <v>3.0000000000000249</v>
      </c>
      <c r="L228">
        <f t="shared" si="28"/>
        <v>8.0000000000000071</v>
      </c>
      <c r="M228">
        <f t="shared" si="29"/>
        <v>8.9999999999999858</v>
      </c>
      <c r="N228">
        <f t="shared" si="30"/>
        <v>8.9999999999999858</v>
      </c>
      <c r="O228">
        <f t="shared" si="31"/>
        <v>9.9999999999999645</v>
      </c>
      <c r="P228">
        <f t="shared" si="32"/>
        <v>10.000000000000053</v>
      </c>
      <c r="Q228">
        <f t="shared" si="33"/>
        <v>10.000000000000053</v>
      </c>
      <c r="R228">
        <f t="shared" si="34"/>
        <v>3.0000000000000249</v>
      </c>
    </row>
    <row r="229" spans="1:18">
      <c r="A229" s="9">
        <v>37040</v>
      </c>
      <c r="B229">
        <v>4.25</v>
      </c>
      <c r="C229">
        <v>4.8499999999999996</v>
      </c>
      <c r="D229">
        <v>5.28</v>
      </c>
      <c r="E229">
        <v>5.56</v>
      </c>
      <c r="F229">
        <v>5.75</v>
      </c>
      <c r="G229">
        <v>6.02</v>
      </c>
      <c r="H229">
        <v>6.27</v>
      </c>
      <c r="I229">
        <v>6.57</v>
      </c>
      <c r="K229">
        <f t="shared" si="27"/>
        <v>-4.9999999999999822</v>
      </c>
      <c r="L229">
        <f t="shared" si="28"/>
        <v>-4.0000000000000036</v>
      </c>
      <c r="M229">
        <f t="shared" si="29"/>
        <v>-2.9999999999999361</v>
      </c>
      <c r="N229">
        <f t="shared" si="30"/>
        <v>-2.0000000000000462</v>
      </c>
      <c r="O229">
        <f t="shared" si="31"/>
        <v>-1.9999999999999574</v>
      </c>
      <c r="P229">
        <f t="shared" si="32"/>
        <v>-1.0000000000000675</v>
      </c>
      <c r="Q229">
        <f t="shared" si="33"/>
        <v>-1.0000000000000675</v>
      </c>
      <c r="R229">
        <f t="shared" si="34"/>
        <v>0</v>
      </c>
    </row>
    <row r="230" spans="1:18">
      <c r="A230" s="9">
        <v>37041</v>
      </c>
      <c r="B230">
        <v>4.26</v>
      </c>
      <c r="C230">
        <v>4.88</v>
      </c>
      <c r="D230">
        <v>5.32</v>
      </c>
      <c r="E230">
        <v>5.6</v>
      </c>
      <c r="F230">
        <v>5.8</v>
      </c>
      <c r="G230">
        <v>6.07</v>
      </c>
      <c r="H230">
        <v>6.31</v>
      </c>
      <c r="I230">
        <v>6.61</v>
      </c>
      <c r="K230">
        <f t="shared" si="27"/>
        <v>0.99999999999997868</v>
      </c>
      <c r="L230">
        <f t="shared" si="28"/>
        <v>3.0000000000000249</v>
      </c>
      <c r="M230">
        <f t="shared" si="29"/>
        <v>4.0000000000000036</v>
      </c>
      <c r="N230">
        <f t="shared" si="30"/>
        <v>4.0000000000000036</v>
      </c>
      <c r="O230">
        <f t="shared" si="31"/>
        <v>4.9999999999999822</v>
      </c>
      <c r="P230">
        <f t="shared" si="32"/>
        <v>5.0000000000000711</v>
      </c>
      <c r="Q230">
        <f t="shared" si="33"/>
        <v>4.0000000000000036</v>
      </c>
      <c r="R230">
        <f t="shared" si="34"/>
        <v>4.0000000000000036</v>
      </c>
    </row>
    <row r="231" spans="1:18">
      <c r="A231" s="9">
        <v>37042</v>
      </c>
      <c r="B231">
        <v>4.21</v>
      </c>
      <c r="C231">
        <v>4.79</v>
      </c>
      <c r="D231">
        <v>5.22</v>
      </c>
      <c r="E231">
        <v>5.5</v>
      </c>
      <c r="F231">
        <v>5.7</v>
      </c>
      <c r="G231">
        <v>5.96</v>
      </c>
      <c r="H231">
        <v>6.21</v>
      </c>
      <c r="I231">
        <v>6.55</v>
      </c>
      <c r="K231">
        <f t="shared" si="27"/>
        <v>-4.9999999999999822</v>
      </c>
      <c r="L231">
        <f t="shared" si="28"/>
        <v>-8.9999999999999858</v>
      </c>
      <c r="M231">
        <f t="shared" si="29"/>
        <v>-10.000000000000053</v>
      </c>
      <c r="N231">
        <f t="shared" si="30"/>
        <v>-9.9999999999999645</v>
      </c>
      <c r="O231">
        <f t="shared" si="31"/>
        <v>-9.9999999999999645</v>
      </c>
      <c r="P231">
        <f t="shared" si="32"/>
        <v>-11.000000000000032</v>
      </c>
      <c r="Q231">
        <f t="shared" si="33"/>
        <v>-9.9999999999999645</v>
      </c>
      <c r="R231">
        <f t="shared" si="34"/>
        <v>-6.0000000000000497</v>
      </c>
    </row>
    <row r="232" spans="1:18">
      <c r="A232" s="9">
        <v>37043</v>
      </c>
      <c r="B232">
        <v>4.1500000000000004</v>
      </c>
      <c r="C232">
        <v>4.71</v>
      </c>
      <c r="D232">
        <v>5.15</v>
      </c>
      <c r="E232">
        <v>5.43</v>
      </c>
      <c r="F232">
        <v>5.63</v>
      </c>
      <c r="G232">
        <v>5.89</v>
      </c>
      <c r="H232">
        <v>6.12</v>
      </c>
      <c r="I232">
        <v>6.44</v>
      </c>
      <c r="K232">
        <f t="shared" si="27"/>
        <v>-5.9999999999999609</v>
      </c>
      <c r="L232">
        <f t="shared" si="28"/>
        <v>-8.0000000000000071</v>
      </c>
      <c r="M232">
        <f t="shared" si="29"/>
        <v>-6.9999999999999396</v>
      </c>
      <c r="N232">
        <f t="shared" si="30"/>
        <v>-7.0000000000000284</v>
      </c>
      <c r="O232">
        <f t="shared" si="31"/>
        <v>-7.0000000000000284</v>
      </c>
      <c r="P232">
        <f t="shared" si="32"/>
        <v>-7.0000000000000284</v>
      </c>
      <c r="Q232">
        <f t="shared" si="33"/>
        <v>-8.9999999999999858</v>
      </c>
      <c r="R232">
        <f t="shared" si="34"/>
        <v>-10.999999999999943</v>
      </c>
    </row>
    <row r="233" spans="1:18">
      <c r="A233" s="9">
        <v>37046</v>
      </c>
      <c r="B233">
        <v>4.1900000000000004</v>
      </c>
      <c r="C233">
        <v>4.76</v>
      </c>
      <c r="D233">
        <v>5.18</v>
      </c>
      <c r="E233">
        <v>5.46</v>
      </c>
      <c r="F233">
        <v>5.65</v>
      </c>
      <c r="G233">
        <v>5.9</v>
      </c>
      <c r="H233">
        <v>6.11</v>
      </c>
      <c r="I233">
        <v>6.42</v>
      </c>
      <c r="K233">
        <f t="shared" si="27"/>
        <v>4.0000000000000036</v>
      </c>
      <c r="L233">
        <f t="shared" si="28"/>
        <v>4.9999999999999822</v>
      </c>
      <c r="M233">
        <f t="shared" si="29"/>
        <v>2.9999999999999361</v>
      </c>
      <c r="N233">
        <f t="shared" si="30"/>
        <v>3.0000000000000249</v>
      </c>
      <c r="O233">
        <f t="shared" si="31"/>
        <v>2.0000000000000462</v>
      </c>
      <c r="P233">
        <f t="shared" si="32"/>
        <v>1.0000000000000675</v>
      </c>
      <c r="Q233">
        <f t="shared" si="33"/>
        <v>-0.99999999999997868</v>
      </c>
      <c r="R233">
        <f t="shared" si="34"/>
        <v>-2.0000000000000462</v>
      </c>
    </row>
    <row r="234" spans="1:18">
      <c r="A234" s="9">
        <v>37047</v>
      </c>
      <c r="B234">
        <v>4.17</v>
      </c>
      <c r="C234">
        <v>4.72</v>
      </c>
      <c r="D234">
        <v>5.14</v>
      </c>
      <c r="E234">
        <v>5.41</v>
      </c>
      <c r="F234">
        <v>5.6</v>
      </c>
      <c r="G234">
        <v>5.85</v>
      </c>
      <c r="H234">
        <v>6.06</v>
      </c>
      <c r="I234">
        <v>6.4</v>
      </c>
      <c r="K234">
        <f t="shared" si="27"/>
        <v>-2.0000000000000462</v>
      </c>
      <c r="L234">
        <f t="shared" si="28"/>
        <v>-4.0000000000000036</v>
      </c>
      <c r="M234">
        <f t="shared" si="29"/>
        <v>-4.0000000000000036</v>
      </c>
      <c r="N234">
        <f t="shared" si="30"/>
        <v>-4.9999999999999822</v>
      </c>
      <c r="O234">
        <f t="shared" si="31"/>
        <v>-5.0000000000000711</v>
      </c>
      <c r="P234">
        <f t="shared" si="32"/>
        <v>-5.0000000000000711</v>
      </c>
      <c r="Q234">
        <f t="shared" si="33"/>
        <v>-5.0000000000000711</v>
      </c>
      <c r="R234">
        <f t="shared" si="34"/>
        <v>-1.9999999999999574</v>
      </c>
    </row>
    <row r="235" spans="1:18">
      <c r="A235" s="9">
        <v>37048</v>
      </c>
      <c r="B235">
        <v>4.18</v>
      </c>
      <c r="C235">
        <v>4.7300000000000004</v>
      </c>
      <c r="D235">
        <v>5.16</v>
      </c>
      <c r="E235">
        <v>5.42</v>
      </c>
      <c r="F235">
        <v>5.61</v>
      </c>
      <c r="G235">
        <v>5.85</v>
      </c>
      <c r="H235">
        <v>6.06</v>
      </c>
      <c r="I235">
        <v>6.4</v>
      </c>
      <c r="K235">
        <f t="shared" si="27"/>
        <v>0.99999999999997868</v>
      </c>
      <c r="L235">
        <f t="shared" si="28"/>
        <v>1.0000000000000675</v>
      </c>
      <c r="M235">
        <f t="shared" si="29"/>
        <v>2.0000000000000462</v>
      </c>
      <c r="N235">
        <f t="shared" si="30"/>
        <v>0.99999999999997868</v>
      </c>
      <c r="O235">
        <f t="shared" si="31"/>
        <v>1.0000000000000675</v>
      </c>
      <c r="P235">
        <f t="shared" si="32"/>
        <v>0</v>
      </c>
      <c r="Q235">
        <f t="shared" si="33"/>
        <v>0</v>
      </c>
      <c r="R235">
        <f t="shared" si="34"/>
        <v>0</v>
      </c>
    </row>
    <row r="236" spans="1:18">
      <c r="A236" s="9">
        <v>37049</v>
      </c>
      <c r="B236">
        <v>4.1500000000000004</v>
      </c>
      <c r="C236">
        <v>4.7</v>
      </c>
      <c r="D236">
        <v>5.12</v>
      </c>
      <c r="E236">
        <v>5.4</v>
      </c>
      <c r="F236">
        <v>5.59</v>
      </c>
      <c r="G236">
        <v>5.84</v>
      </c>
      <c r="H236">
        <v>6.05</v>
      </c>
      <c r="I236">
        <v>6.42</v>
      </c>
      <c r="K236">
        <f t="shared" si="27"/>
        <v>-2.9999999999999361</v>
      </c>
      <c r="L236">
        <f t="shared" si="28"/>
        <v>-3.0000000000000249</v>
      </c>
      <c r="M236">
        <f t="shared" si="29"/>
        <v>-4.0000000000000036</v>
      </c>
      <c r="N236">
        <f t="shared" si="30"/>
        <v>-1.9999999999999574</v>
      </c>
      <c r="O236">
        <f t="shared" si="31"/>
        <v>-2.0000000000000462</v>
      </c>
      <c r="P236">
        <f t="shared" si="32"/>
        <v>-0.99999999999997868</v>
      </c>
      <c r="Q236">
        <f t="shared" si="33"/>
        <v>-0.99999999999997868</v>
      </c>
      <c r="R236">
        <f t="shared" si="34"/>
        <v>1.9999999999999574</v>
      </c>
    </row>
    <row r="237" spans="1:18">
      <c r="A237" s="9">
        <v>37050</v>
      </c>
      <c r="B237">
        <v>4.1500000000000004</v>
      </c>
      <c r="C237">
        <v>4.72</v>
      </c>
      <c r="D237">
        <v>5.16</v>
      </c>
      <c r="E237">
        <v>5.44</v>
      </c>
      <c r="F237">
        <v>5.64</v>
      </c>
      <c r="G237">
        <v>5.89</v>
      </c>
      <c r="H237">
        <v>6.11</v>
      </c>
      <c r="I237">
        <v>6.46</v>
      </c>
      <c r="K237">
        <f t="shared" si="27"/>
        <v>0</v>
      </c>
      <c r="L237">
        <f t="shared" si="28"/>
        <v>1.9999999999999574</v>
      </c>
      <c r="M237">
        <f t="shared" si="29"/>
        <v>4.0000000000000036</v>
      </c>
      <c r="N237">
        <f t="shared" si="30"/>
        <v>4.0000000000000036</v>
      </c>
      <c r="O237">
        <f t="shared" si="31"/>
        <v>4.9999999999999822</v>
      </c>
      <c r="P237">
        <f t="shared" si="32"/>
        <v>4.9999999999999822</v>
      </c>
      <c r="Q237">
        <f t="shared" si="33"/>
        <v>6.0000000000000497</v>
      </c>
      <c r="R237">
        <f t="shared" si="34"/>
        <v>4.0000000000000036</v>
      </c>
    </row>
    <row r="238" spans="1:18">
      <c r="A238" s="9">
        <v>37053</v>
      </c>
      <c r="B238">
        <v>4.12</v>
      </c>
      <c r="C238">
        <v>4.7</v>
      </c>
      <c r="D238">
        <v>5.14</v>
      </c>
      <c r="E238">
        <v>5.43</v>
      </c>
      <c r="F238">
        <v>5.62</v>
      </c>
      <c r="G238">
        <v>5.87</v>
      </c>
      <c r="H238">
        <v>6.09</v>
      </c>
      <c r="I238">
        <v>6.43</v>
      </c>
      <c r="K238">
        <f t="shared" si="27"/>
        <v>-3.0000000000000249</v>
      </c>
      <c r="L238">
        <f t="shared" si="28"/>
        <v>-1.9999999999999574</v>
      </c>
      <c r="M238">
        <f t="shared" si="29"/>
        <v>-2.0000000000000462</v>
      </c>
      <c r="N238">
        <f t="shared" si="30"/>
        <v>-1.0000000000000675</v>
      </c>
      <c r="O238">
        <f t="shared" si="31"/>
        <v>-1.9999999999999574</v>
      </c>
      <c r="P238">
        <f t="shared" si="32"/>
        <v>-1.9999999999999574</v>
      </c>
      <c r="Q238">
        <f t="shared" si="33"/>
        <v>-2.0000000000000462</v>
      </c>
      <c r="R238">
        <f t="shared" si="34"/>
        <v>-3.0000000000000249</v>
      </c>
    </row>
    <row r="239" spans="1:18">
      <c r="A239" s="9">
        <v>37054</v>
      </c>
      <c r="B239">
        <v>4.1100000000000003</v>
      </c>
      <c r="C239">
        <v>4.67</v>
      </c>
      <c r="D239">
        <v>5.09</v>
      </c>
      <c r="E239">
        <v>5.37</v>
      </c>
      <c r="F239">
        <v>5.57</v>
      </c>
      <c r="G239">
        <v>5.82</v>
      </c>
      <c r="H239">
        <v>6.04</v>
      </c>
      <c r="I239">
        <v>6.4</v>
      </c>
      <c r="K239">
        <f t="shared" si="27"/>
        <v>-0.99999999999997868</v>
      </c>
      <c r="L239">
        <f t="shared" si="28"/>
        <v>-3.0000000000000249</v>
      </c>
      <c r="M239">
        <f t="shared" si="29"/>
        <v>-4.9999999999999822</v>
      </c>
      <c r="N239">
        <f t="shared" si="30"/>
        <v>-5.9999999999999609</v>
      </c>
      <c r="O239">
        <f t="shared" si="31"/>
        <v>-4.9999999999999822</v>
      </c>
      <c r="P239">
        <f t="shared" si="32"/>
        <v>-4.9999999999999822</v>
      </c>
      <c r="Q239">
        <f t="shared" si="33"/>
        <v>-4.9999999999999822</v>
      </c>
      <c r="R239">
        <f t="shared" si="34"/>
        <v>-2.9999999999999361</v>
      </c>
    </row>
    <row r="240" spans="1:18">
      <c r="A240" s="9">
        <v>37055</v>
      </c>
      <c r="B240">
        <v>4.12</v>
      </c>
      <c r="C240">
        <v>4.68</v>
      </c>
      <c r="D240">
        <v>5.1100000000000003</v>
      </c>
      <c r="E240">
        <v>5.39</v>
      </c>
      <c r="F240">
        <v>5.59</v>
      </c>
      <c r="G240">
        <v>5.85</v>
      </c>
      <c r="H240">
        <v>6.06</v>
      </c>
      <c r="I240">
        <v>6.4</v>
      </c>
      <c r="K240">
        <f t="shared" si="27"/>
        <v>0.99999999999997868</v>
      </c>
      <c r="L240">
        <f t="shared" si="28"/>
        <v>0.99999999999997868</v>
      </c>
      <c r="M240">
        <f t="shared" si="29"/>
        <v>2.0000000000000462</v>
      </c>
      <c r="N240">
        <f t="shared" si="30"/>
        <v>1.9999999999999574</v>
      </c>
      <c r="O240">
        <f t="shared" si="31"/>
        <v>1.9999999999999574</v>
      </c>
      <c r="P240">
        <f t="shared" si="32"/>
        <v>2.9999999999999361</v>
      </c>
      <c r="Q240">
        <f t="shared" si="33"/>
        <v>1.9999999999999574</v>
      </c>
      <c r="R240">
        <f t="shared" si="34"/>
        <v>0</v>
      </c>
    </row>
    <row r="241" spans="1:18">
      <c r="A241" s="9">
        <v>37056</v>
      </c>
      <c r="B241">
        <v>4.04</v>
      </c>
      <c r="C241">
        <v>4.58</v>
      </c>
      <c r="D241">
        <v>5.01</v>
      </c>
      <c r="E241">
        <v>5.3</v>
      </c>
      <c r="F241">
        <v>5.5</v>
      </c>
      <c r="G241">
        <v>5.77</v>
      </c>
      <c r="H241">
        <v>6.01</v>
      </c>
      <c r="I241">
        <v>6.36</v>
      </c>
      <c r="K241">
        <f t="shared" si="27"/>
        <v>-8.0000000000000071</v>
      </c>
      <c r="L241">
        <f t="shared" si="28"/>
        <v>-9.9999999999999645</v>
      </c>
      <c r="M241">
        <f t="shared" si="29"/>
        <v>-10.000000000000053</v>
      </c>
      <c r="N241">
        <f t="shared" si="30"/>
        <v>-8.9999999999999858</v>
      </c>
      <c r="O241">
        <f t="shared" si="31"/>
        <v>-8.9999999999999858</v>
      </c>
      <c r="P241">
        <f t="shared" si="32"/>
        <v>-8.0000000000000071</v>
      </c>
      <c r="Q241">
        <f t="shared" si="33"/>
        <v>-4.9999999999999822</v>
      </c>
      <c r="R241">
        <f t="shared" si="34"/>
        <v>-4.0000000000000036</v>
      </c>
    </row>
    <row r="242" spans="1:18">
      <c r="A242" s="9">
        <v>37057</v>
      </c>
      <c r="B242">
        <v>4.0199999999999996</v>
      </c>
      <c r="C242">
        <v>4.5599999999999996</v>
      </c>
      <c r="D242">
        <v>5.01</v>
      </c>
      <c r="E242">
        <v>5.31</v>
      </c>
      <c r="F242">
        <v>5.52</v>
      </c>
      <c r="G242">
        <v>5.81</v>
      </c>
      <c r="H242">
        <v>6.06</v>
      </c>
      <c r="I242">
        <v>6.43</v>
      </c>
      <c r="K242">
        <f t="shared" si="27"/>
        <v>-2.0000000000000462</v>
      </c>
      <c r="L242">
        <f t="shared" si="28"/>
        <v>-2.0000000000000462</v>
      </c>
      <c r="M242">
        <f t="shared" si="29"/>
        <v>0</v>
      </c>
      <c r="N242">
        <f t="shared" si="30"/>
        <v>0.99999999999997868</v>
      </c>
      <c r="O242">
        <f t="shared" si="31"/>
        <v>1.9999999999999574</v>
      </c>
      <c r="P242">
        <f t="shared" si="32"/>
        <v>4.0000000000000036</v>
      </c>
      <c r="Q242">
        <f t="shared" si="33"/>
        <v>4.9999999999999822</v>
      </c>
      <c r="R242">
        <f t="shared" si="34"/>
        <v>6.9999999999999396</v>
      </c>
    </row>
    <row r="243" spans="1:18">
      <c r="A243" s="9">
        <v>37060</v>
      </c>
      <c r="B243">
        <v>3.97</v>
      </c>
      <c r="C243">
        <v>4.54</v>
      </c>
      <c r="D243">
        <v>5.01</v>
      </c>
      <c r="E243">
        <v>5.32</v>
      </c>
      <c r="F243">
        <v>5.54</v>
      </c>
      <c r="G243">
        <v>5.83</v>
      </c>
      <c r="H243">
        <v>6.08</v>
      </c>
      <c r="I243">
        <v>6.44</v>
      </c>
      <c r="K243">
        <f t="shared" si="27"/>
        <v>-4.9999999999999378</v>
      </c>
      <c r="L243">
        <f t="shared" si="28"/>
        <v>-1.9999999999999574</v>
      </c>
      <c r="M243">
        <f t="shared" si="29"/>
        <v>0</v>
      </c>
      <c r="N243">
        <f t="shared" si="30"/>
        <v>1.0000000000000675</v>
      </c>
      <c r="O243">
        <f t="shared" si="31"/>
        <v>2.0000000000000462</v>
      </c>
      <c r="P243">
        <f t="shared" si="32"/>
        <v>2.0000000000000462</v>
      </c>
      <c r="Q243">
        <f t="shared" si="33"/>
        <v>2.0000000000000462</v>
      </c>
      <c r="R243">
        <f t="shared" si="34"/>
        <v>1.0000000000000675</v>
      </c>
    </row>
    <row r="244" spans="1:18">
      <c r="A244" s="9">
        <v>37061</v>
      </c>
      <c r="B244">
        <v>3.97</v>
      </c>
      <c r="C244">
        <v>4.57</v>
      </c>
      <c r="D244">
        <v>5.05</v>
      </c>
      <c r="E244">
        <v>5.36</v>
      </c>
      <c r="F244">
        <v>5.59</v>
      </c>
      <c r="G244">
        <v>5.89</v>
      </c>
      <c r="H244">
        <v>6.14</v>
      </c>
      <c r="I244">
        <v>6.49</v>
      </c>
      <c r="K244">
        <f t="shared" si="27"/>
        <v>0</v>
      </c>
      <c r="L244">
        <f t="shared" si="28"/>
        <v>3.0000000000000249</v>
      </c>
      <c r="M244">
        <f t="shared" si="29"/>
        <v>4.0000000000000036</v>
      </c>
      <c r="N244">
        <f t="shared" si="30"/>
        <v>4.0000000000000036</v>
      </c>
      <c r="O244">
        <f t="shared" si="31"/>
        <v>4.9999999999999822</v>
      </c>
      <c r="P244">
        <f t="shared" si="32"/>
        <v>5.9999999999999609</v>
      </c>
      <c r="Q244">
        <f t="shared" si="33"/>
        <v>5.9999999999999609</v>
      </c>
      <c r="R244">
        <f t="shared" si="34"/>
        <v>4.9999999999999822</v>
      </c>
    </row>
    <row r="245" spans="1:18">
      <c r="A245" s="9">
        <v>37062</v>
      </c>
      <c r="B245">
        <v>3.95</v>
      </c>
      <c r="C245">
        <v>4.53</v>
      </c>
      <c r="D245">
        <v>5</v>
      </c>
      <c r="E245">
        <v>5.32</v>
      </c>
      <c r="F245">
        <v>5.54</v>
      </c>
      <c r="G245">
        <v>5.83</v>
      </c>
      <c r="H245">
        <v>6.08</v>
      </c>
      <c r="I245">
        <v>6.45</v>
      </c>
      <c r="K245">
        <f t="shared" si="27"/>
        <v>-2.0000000000000018</v>
      </c>
      <c r="L245">
        <f t="shared" si="28"/>
        <v>-4.0000000000000036</v>
      </c>
      <c r="M245">
        <f t="shared" si="29"/>
        <v>-4.9999999999999822</v>
      </c>
      <c r="N245">
        <f t="shared" si="30"/>
        <v>-4.0000000000000036</v>
      </c>
      <c r="O245">
        <f t="shared" si="31"/>
        <v>-4.9999999999999822</v>
      </c>
      <c r="P245">
        <f t="shared" si="32"/>
        <v>-5.9999999999999609</v>
      </c>
      <c r="Q245">
        <f t="shared" si="33"/>
        <v>-5.9999999999999609</v>
      </c>
      <c r="R245">
        <f t="shared" si="34"/>
        <v>-4.0000000000000036</v>
      </c>
    </row>
    <row r="246" spans="1:18">
      <c r="A246" s="9">
        <v>37063</v>
      </c>
      <c r="B246">
        <v>3.93</v>
      </c>
      <c r="C246">
        <v>4.51</v>
      </c>
      <c r="D246">
        <v>4.97</v>
      </c>
      <c r="E246">
        <v>5.28</v>
      </c>
      <c r="F246">
        <v>5.49</v>
      </c>
      <c r="G246">
        <v>5.78</v>
      </c>
      <c r="H246">
        <v>6.02</v>
      </c>
      <c r="I246">
        <v>6.38</v>
      </c>
      <c r="K246">
        <f t="shared" si="27"/>
        <v>-2.0000000000000018</v>
      </c>
      <c r="L246">
        <f t="shared" si="28"/>
        <v>-2.0000000000000462</v>
      </c>
      <c r="M246">
        <f t="shared" si="29"/>
        <v>-3.0000000000000249</v>
      </c>
      <c r="N246">
        <f t="shared" si="30"/>
        <v>-4.0000000000000036</v>
      </c>
      <c r="O246">
        <f t="shared" si="31"/>
        <v>-4.9999999999999822</v>
      </c>
      <c r="P246">
        <f t="shared" si="32"/>
        <v>-4.9999999999999822</v>
      </c>
      <c r="Q246">
        <f t="shared" si="33"/>
        <v>-6.0000000000000497</v>
      </c>
      <c r="R246">
        <f t="shared" si="34"/>
        <v>-7.0000000000000284</v>
      </c>
    </row>
    <row r="247" spans="1:18">
      <c r="A247" s="9">
        <v>37064</v>
      </c>
      <c r="B247">
        <v>3.94</v>
      </c>
      <c r="C247">
        <v>4.5199999999999996</v>
      </c>
      <c r="D247">
        <v>4.9800000000000004</v>
      </c>
      <c r="E247">
        <v>5.28</v>
      </c>
      <c r="F247">
        <v>5.48</v>
      </c>
      <c r="G247">
        <v>5.76</v>
      </c>
      <c r="H247">
        <v>6</v>
      </c>
      <c r="I247">
        <v>6.35</v>
      </c>
      <c r="K247">
        <f t="shared" si="27"/>
        <v>0.99999999999997868</v>
      </c>
      <c r="L247">
        <f t="shared" si="28"/>
        <v>0.99999999999997868</v>
      </c>
      <c r="M247">
        <f t="shared" si="29"/>
        <v>1.0000000000000675</v>
      </c>
      <c r="N247">
        <f t="shared" si="30"/>
        <v>0</v>
      </c>
      <c r="O247">
        <f t="shared" si="31"/>
        <v>-0.99999999999997868</v>
      </c>
      <c r="P247">
        <f t="shared" si="32"/>
        <v>-2.0000000000000462</v>
      </c>
      <c r="Q247">
        <f t="shared" si="33"/>
        <v>-1.9999999999999574</v>
      </c>
      <c r="R247">
        <f t="shared" si="34"/>
        <v>-3.0000000000000249</v>
      </c>
    </row>
    <row r="248" spans="1:18">
      <c r="A248" s="9">
        <v>37067</v>
      </c>
      <c r="B248">
        <v>3.91</v>
      </c>
      <c r="C248">
        <v>4.4800000000000004</v>
      </c>
      <c r="D248">
        <v>4.9400000000000004</v>
      </c>
      <c r="E248">
        <v>5.25</v>
      </c>
      <c r="F248">
        <v>5.46</v>
      </c>
      <c r="G248">
        <v>5.74</v>
      </c>
      <c r="H248">
        <v>5.98</v>
      </c>
      <c r="I248">
        <v>6.34</v>
      </c>
      <c r="K248">
        <f t="shared" si="27"/>
        <v>-2.9999999999999805</v>
      </c>
      <c r="L248">
        <f t="shared" si="28"/>
        <v>-3.9999999999999147</v>
      </c>
      <c r="M248">
        <f t="shared" si="29"/>
        <v>-4.0000000000000036</v>
      </c>
      <c r="N248">
        <f t="shared" si="30"/>
        <v>-3.0000000000000249</v>
      </c>
      <c r="O248">
        <f t="shared" si="31"/>
        <v>-2.0000000000000462</v>
      </c>
      <c r="P248">
        <f t="shared" si="32"/>
        <v>-1.9999999999999574</v>
      </c>
      <c r="Q248">
        <f t="shared" si="33"/>
        <v>-1.9999999999999574</v>
      </c>
      <c r="R248">
        <f t="shared" si="34"/>
        <v>-0.99999999999997868</v>
      </c>
    </row>
    <row r="249" spans="1:18">
      <c r="A249" s="9">
        <v>37068</v>
      </c>
      <c r="B249">
        <v>3.95</v>
      </c>
      <c r="C249">
        <v>4.54</v>
      </c>
      <c r="D249">
        <v>4.99</v>
      </c>
      <c r="E249">
        <v>5.3</v>
      </c>
      <c r="F249">
        <v>5.51</v>
      </c>
      <c r="G249">
        <v>5.79</v>
      </c>
      <c r="H249">
        <v>6.02</v>
      </c>
      <c r="I249">
        <v>6.37</v>
      </c>
      <c r="K249">
        <f t="shared" si="27"/>
        <v>4.0000000000000036</v>
      </c>
      <c r="L249">
        <f t="shared" si="28"/>
        <v>5.9999999999999609</v>
      </c>
      <c r="M249">
        <f t="shared" si="29"/>
        <v>4.9999999999999822</v>
      </c>
      <c r="N249">
        <f t="shared" si="30"/>
        <v>4.9999999999999822</v>
      </c>
      <c r="O249">
        <f t="shared" si="31"/>
        <v>4.9999999999999822</v>
      </c>
      <c r="P249">
        <f t="shared" si="32"/>
        <v>4.9999999999999822</v>
      </c>
      <c r="Q249">
        <f t="shared" si="33"/>
        <v>3.9999999999999147</v>
      </c>
      <c r="R249">
        <f t="shared" si="34"/>
        <v>3.0000000000000249</v>
      </c>
    </row>
    <row r="250" spans="1:18">
      <c r="A250" s="9">
        <v>37069</v>
      </c>
      <c r="B250">
        <v>3.93</v>
      </c>
      <c r="C250">
        <v>4.5199999999999996</v>
      </c>
      <c r="D250">
        <v>5</v>
      </c>
      <c r="E250">
        <v>5.32</v>
      </c>
      <c r="F250">
        <v>5.54</v>
      </c>
      <c r="G250">
        <v>5.83</v>
      </c>
      <c r="H250">
        <v>6.06</v>
      </c>
      <c r="I250">
        <v>6.39</v>
      </c>
      <c r="K250">
        <f t="shared" si="27"/>
        <v>-2.0000000000000018</v>
      </c>
      <c r="L250">
        <f t="shared" si="28"/>
        <v>-2.0000000000000462</v>
      </c>
      <c r="M250">
        <f t="shared" si="29"/>
        <v>0.99999999999997868</v>
      </c>
      <c r="N250">
        <f t="shared" si="30"/>
        <v>2.0000000000000462</v>
      </c>
      <c r="O250">
        <f t="shared" si="31"/>
        <v>3.0000000000000249</v>
      </c>
      <c r="P250">
        <f t="shared" si="32"/>
        <v>4.0000000000000036</v>
      </c>
      <c r="Q250">
        <f t="shared" si="33"/>
        <v>4.0000000000000036</v>
      </c>
      <c r="R250">
        <f t="shared" si="34"/>
        <v>1.9999999999999574</v>
      </c>
    </row>
    <row r="251" spans="1:18">
      <c r="A251" s="9">
        <v>37070</v>
      </c>
      <c r="B251">
        <v>4.12</v>
      </c>
      <c r="C251">
        <v>4.71</v>
      </c>
      <c r="D251">
        <v>5.16</v>
      </c>
      <c r="E251">
        <v>5.45</v>
      </c>
      <c r="F251">
        <v>5.65</v>
      </c>
      <c r="G251">
        <v>5.9</v>
      </c>
      <c r="H251">
        <v>6.09</v>
      </c>
      <c r="I251">
        <v>6.37</v>
      </c>
      <c r="K251">
        <f t="shared" si="27"/>
        <v>18.999999999999993</v>
      </c>
      <c r="L251">
        <f t="shared" si="28"/>
        <v>19.000000000000039</v>
      </c>
      <c r="M251">
        <f t="shared" si="29"/>
        <v>16.000000000000014</v>
      </c>
      <c r="N251">
        <f t="shared" si="30"/>
        <v>12.999999999999989</v>
      </c>
      <c r="O251">
        <f t="shared" si="31"/>
        <v>11.000000000000032</v>
      </c>
      <c r="P251">
        <f t="shared" si="32"/>
        <v>7.0000000000000284</v>
      </c>
      <c r="Q251">
        <f t="shared" si="33"/>
        <v>3.0000000000000249</v>
      </c>
      <c r="R251">
        <f t="shared" si="34"/>
        <v>-1.9999999999999574</v>
      </c>
    </row>
    <row r="252" spans="1:18">
      <c r="A252" s="9">
        <v>37071</v>
      </c>
      <c r="B252">
        <v>4.2300000000000004</v>
      </c>
      <c r="C252">
        <v>4.88</v>
      </c>
      <c r="D252">
        <v>5.35</v>
      </c>
      <c r="E252">
        <v>5.64</v>
      </c>
      <c r="F252">
        <v>5.85</v>
      </c>
      <c r="G252">
        <v>6.1</v>
      </c>
      <c r="H252">
        <v>6.31</v>
      </c>
      <c r="I252">
        <v>6.56</v>
      </c>
      <c r="K252">
        <f t="shared" si="27"/>
        <v>11.000000000000032</v>
      </c>
      <c r="L252">
        <f t="shared" si="28"/>
        <v>16.999999999999993</v>
      </c>
      <c r="M252">
        <f t="shared" si="29"/>
        <v>18.99999999999995</v>
      </c>
      <c r="N252">
        <f t="shared" si="30"/>
        <v>18.99999999999995</v>
      </c>
      <c r="O252">
        <f t="shared" si="31"/>
        <v>19.999999999999929</v>
      </c>
      <c r="P252">
        <f t="shared" si="32"/>
        <v>19.999999999999929</v>
      </c>
      <c r="Q252">
        <f t="shared" si="33"/>
        <v>21.999999999999975</v>
      </c>
      <c r="R252">
        <f t="shared" si="34"/>
        <v>18.99999999999995</v>
      </c>
    </row>
    <row r="253" spans="1:18">
      <c r="A253" s="9">
        <v>37074</v>
      </c>
      <c r="B253">
        <v>4.18</v>
      </c>
      <c r="C253">
        <v>4.8099999999999996</v>
      </c>
      <c r="D253">
        <v>5.28</v>
      </c>
      <c r="E253">
        <v>5.58</v>
      </c>
      <c r="F253">
        <v>5.79</v>
      </c>
      <c r="G253">
        <v>6.05</v>
      </c>
      <c r="H253">
        <v>6.27</v>
      </c>
      <c r="I253">
        <v>6.55</v>
      </c>
      <c r="K253">
        <f t="shared" si="27"/>
        <v>-5.0000000000000711</v>
      </c>
      <c r="L253">
        <f t="shared" si="28"/>
        <v>-7.0000000000000284</v>
      </c>
      <c r="M253">
        <f t="shared" si="29"/>
        <v>-6.9999999999999396</v>
      </c>
      <c r="N253">
        <f t="shared" si="30"/>
        <v>-5.9999999999999609</v>
      </c>
      <c r="O253">
        <f t="shared" si="31"/>
        <v>-5.9999999999999609</v>
      </c>
      <c r="P253">
        <f t="shared" si="32"/>
        <v>-4.9999999999999822</v>
      </c>
      <c r="Q253">
        <f t="shared" si="33"/>
        <v>-4.0000000000000036</v>
      </c>
      <c r="R253">
        <f t="shared" si="34"/>
        <v>-0.99999999999997868</v>
      </c>
    </row>
    <row r="254" spans="1:18">
      <c r="A254" s="9">
        <v>37075</v>
      </c>
      <c r="B254">
        <v>4.17</v>
      </c>
      <c r="C254">
        <v>4.8</v>
      </c>
      <c r="D254">
        <v>5.26</v>
      </c>
      <c r="E254">
        <v>5.56</v>
      </c>
      <c r="F254">
        <v>5.77</v>
      </c>
      <c r="G254">
        <v>6.03</v>
      </c>
      <c r="H254">
        <v>6.25</v>
      </c>
      <c r="I254">
        <v>6.54</v>
      </c>
      <c r="K254">
        <f t="shared" si="27"/>
        <v>-0.99999999999997868</v>
      </c>
      <c r="L254">
        <f t="shared" si="28"/>
        <v>-0.99999999999997868</v>
      </c>
      <c r="M254">
        <f t="shared" si="29"/>
        <v>-2.0000000000000462</v>
      </c>
      <c r="N254">
        <f t="shared" si="30"/>
        <v>-2.0000000000000462</v>
      </c>
      <c r="O254">
        <f t="shared" si="31"/>
        <v>-2.0000000000000462</v>
      </c>
      <c r="P254">
        <f t="shared" si="32"/>
        <v>-1.9999999999999574</v>
      </c>
      <c r="Q254">
        <f t="shared" si="33"/>
        <v>-1.9999999999999574</v>
      </c>
      <c r="R254">
        <f t="shared" si="34"/>
        <v>-0.99999999999997868</v>
      </c>
    </row>
    <row r="255" spans="1:18">
      <c r="A255" s="9">
        <v>37077</v>
      </c>
      <c r="B255">
        <v>4.17</v>
      </c>
      <c r="C255">
        <v>4.8099999999999996</v>
      </c>
      <c r="D255">
        <v>5.29</v>
      </c>
      <c r="E255">
        <v>5.59</v>
      </c>
      <c r="F255">
        <v>5.79</v>
      </c>
      <c r="G255">
        <v>6.05</v>
      </c>
      <c r="H255">
        <v>6.26</v>
      </c>
      <c r="I255">
        <v>6.54</v>
      </c>
      <c r="K255">
        <f t="shared" si="27"/>
        <v>0</v>
      </c>
      <c r="L255">
        <f t="shared" si="28"/>
        <v>0.99999999999997868</v>
      </c>
      <c r="M255">
        <f t="shared" si="29"/>
        <v>3.0000000000000249</v>
      </c>
      <c r="N255">
        <f t="shared" si="30"/>
        <v>3.0000000000000249</v>
      </c>
      <c r="O255">
        <f t="shared" si="31"/>
        <v>2.0000000000000462</v>
      </c>
      <c r="P255">
        <f t="shared" si="32"/>
        <v>1.9999999999999574</v>
      </c>
      <c r="Q255">
        <f t="shared" si="33"/>
        <v>0.99999999999997868</v>
      </c>
      <c r="R255">
        <f t="shared" si="34"/>
        <v>0</v>
      </c>
    </row>
    <row r="256" spans="1:18">
      <c r="A256" s="9">
        <v>37078</v>
      </c>
      <c r="B256">
        <v>4.1100000000000003</v>
      </c>
      <c r="C256">
        <v>4.74</v>
      </c>
      <c r="D256">
        <v>5.22</v>
      </c>
      <c r="E256">
        <v>5.53</v>
      </c>
      <c r="F256">
        <v>5.74</v>
      </c>
      <c r="G256">
        <v>6.01</v>
      </c>
      <c r="H256">
        <v>6.24</v>
      </c>
      <c r="I256">
        <v>6.53</v>
      </c>
      <c r="K256">
        <f t="shared" si="27"/>
        <v>-5.9999999999999609</v>
      </c>
      <c r="L256">
        <f t="shared" si="28"/>
        <v>-6.9999999999999396</v>
      </c>
      <c r="M256">
        <f t="shared" si="29"/>
        <v>-7.0000000000000284</v>
      </c>
      <c r="N256">
        <f t="shared" si="30"/>
        <v>-5.9999999999999609</v>
      </c>
      <c r="O256">
        <f t="shared" si="31"/>
        <v>-4.9999999999999822</v>
      </c>
      <c r="P256">
        <f t="shared" si="32"/>
        <v>-4.0000000000000036</v>
      </c>
      <c r="Q256">
        <f t="shared" si="33"/>
        <v>-1.9999999999999574</v>
      </c>
      <c r="R256">
        <f t="shared" si="34"/>
        <v>-0.99999999999997868</v>
      </c>
    </row>
    <row r="257" spans="1:18">
      <c r="A257" s="9">
        <v>37081</v>
      </c>
      <c r="B257">
        <v>4.08</v>
      </c>
      <c r="C257">
        <v>4.72</v>
      </c>
      <c r="D257">
        <v>5.2</v>
      </c>
      <c r="E257">
        <v>5.51</v>
      </c>
      <c r="F257">
        <v>5.73</v>
      </c>
      <c r="G257">
        <v>5.99</v>
      </c>
      <c r="H257">
        <v>6.21</v>
      </c>
      <c r="I257">
        <v>6.5</v>
      </c>
      <c r="K257">
        <f t="shared" si="27"/>
        <v>-3.0000000000000249</v>
      </c>
      <c r="L257">
        <f t="shared" si="28"/>
        <v>-2.0000000000000462</v>
      </c>
      <c r="M257">
        <f t="shared" si="29"/>
        <v>-1.9999999999999574</v>
      </c>
      <c r="N257">
        <f t="shared" si="30"/>
        <v>-2.0000000000000462</v>
      </c>
      <c r="O257">
        <f t="shared" si="31"/>
        <v>-0.99999999999997868</v>
      </c>
      <c r="P257">
        <f t="shared" si="32"/>
        <v>-1.9999999999999574</v>
      </c>
      <c r="Q257">
        <f t="shared" si="33"/>
        <v>-3.0000000000000249</v>
      </c>
      <c r="R257">
        <f t="shared" si="34"/>
        <v>-3.0000000000000249</v>
      </c>
    </row>
    <row r="258" spans="1:18">
      <c r="A258" s="9">
        <v>37082</v>
      </c>
      <c r="B258">
        <v>4.0599999999999996</v>
      </c>
      <c r="C258">
        <v>4.66</v>
      </c>
      <c r="D258">
        <v>5.14</v>
      </c>
      <c r="E258">
        <v>5.45</v>
      </c>
      <c r="F258">
        <v>5.67</v>
      </c>
      <c r="G258">
        <v>5.93</v>
      </c>
      <c r="H258">
        <v>6.16</v>
      </c>
      <c r="I258">
        <v>6.48</v>
      </c>
      <c r="K258">
        <f t="shared" si="27"/>
        <v>-2.0000000000000462</v>
      </c>
      <c r="L258">
        <f t="shared" si="28"/>
        <v>-5.9999999999999609</v>
      </c>
      <c r="M258">
        <f t="shared" si="29"/>
        <v>-6.0000000000000497</v>
      </c>
      <c r="N258">
        <f t="shared" si="30"/>
        <v>-5.9999999999999609</v>
      </c>
      <c r="O258">
        <f t="shared" si="31"/>
        <v>-6.0000000000000497</v>
      </c>
      <c r="P258">
        <f t="shared" si="32"/>
        <v>-6.0000000000000497</v>
      </c>
      <c r="Q258">
        <f t="shared" si="33"/>
        <v>-4.9999999999999822</v>
      </c>
      <c r="R258">
        <f t="shared" si="34"/>
        <v>-1.9999999999999574</v>
      </c>
    </row>
    <row r="259" spans="1:18">
      <c r="A259" s="9">
        <v>37083</v>
      </c>
      <c r="B259">
        <v>3.99</v>
      </c>
      <c r="C259">
        <v>4.6100000000000003</v>
      </c>
      <c r="D259">
        <v>5.09</v>
      </c>
      <c r="E259">
        <v>5.41</v>
      </c>
      <c r="F259">
        <v>5.62</v>
      </c>
      <c r="G259">
        <v>5.89</v>
      </c>
      <c r="H259">
        <v>6.12</v>
      </c>
      <c r="I259">
        <v>6.45</v>
      </c>
      <c r="K259">
        <f t="shared" si="27"/>
        <v>-6.9999999999999396</v>
      </c>
      <c r="L259">
        <f t="shared" si="28"/>
        <v>-4.9999999999999822</v>
      </c>
      <c r="M259">
        <f t="shared" si="29"/>
        <v>-4.9999999999999822</v>
      </c>
      <c r="N259">
        <f t="shared" si="30"/>
        <v>-4.0000000000000036</v>
      </c>
      <c r="O259">
        <f t="shared" si="31"/>
        <v>-4.9999999999999822</v>
      </c>
      <c r="P259">
        <f t="shared" si="32"/>
        <v>-4.0000000000000036</v>
      </c>
      <c r="Q259">
        <f t="shared" si="33"/>
        <v>-4.0000000000000036</v>
      </c>
      <c r="R259">
        <f t="shared" si="34"/>
        <v>-3.0000000000000249</v>
      </c>
    </row>
    <row r="260" spans="1:18">
      <c r="A260" s="9">
        <v>37084</v>
      </c>
      <c r="B260">
        <v>4.03</v>
      </c>
      <c r="C260">
        <v>4.66</v>
      </c>
      <c r="D260">
        <v>5.14</v>
      </c>
      <c r="E260">
        <v>5.45</v>
      </c>
      <c r="F260">
        <v>5.65</v>
      </c>
      <c r="G260">
        <v>5.92</v>
      </c>
      <c r="H260">
        <v>6.14</v>
      </c>
      <c r="I260">
        <v>6.47</v>
      </c>
      <c r="K260">
        <f t="shared" si="27"/>
        <v>4.0000000000000036</v>
      </c>
      <c r="L260">
        <f t="shared" si="28"/>
        <v>4.9999999999999822</v>
      </c>
      <c r="M260">
        <f t="shared" si="29"/>
        <v>4.9999999999999822</v>
      </c>
      <c r="N260">
        <f t="shared" si="30"/>
        <v>4.0000000000000036</v>
      </c>
      <c r="O260">
        <f t="shared" si="31"/>
        <v>3.0000000000000249</v>
      </c>
      <c r="P260">
        <f t="shared" si="32"/>
        <v>3.0000000000000249</v>
      </c>
      <c r="Q260">
        <f t="shared" si="33"/>
        <v>1.9999999999999574</v>
      </c>
      <c r="R260">
        <f t="shared" si="34"/>
        <v>1.9999999999999574</v>
      </c>
    </row>
    <row r="261" spans="1:18">
      <c r="A261" s="9">
        <v>37085</v>
      </c>
      <c r="B261">
        <v>4.04</v>
      </c>
      <c r="C261">
        <v>4.67</v>
      </c>
      <c r="D261">
        <v>5.14</v>
      </c>
      <c r="E261">
        <v>5.44</v>
      </c>
      <c r="F261">
        <v>5.65</v>
      </c>
      <c r="G261">
        <v>5.91</v>
      </c>
      <c r="H261">
        <v>6.12</v>
      </c>
      <c r="I261">
        <v>6.43</v>
      </c>
      <c r="K261">
        <f t="shared" ref="K261:K324" si="35">(B261-B260)*100</f>
        <v>0.99999999999997868</v>
      </c>
      <c r="L261">
        <f t="shared" ref="L261:L324" si="36">(C261-C260)*100</f>
        <v>0.99999999999997868</v>
      </c>
      <c r="M261">
        <f t="shared" ref="M261:M324" si="37">(D261-D260)*100</f>
        <v>0</v>
      </c>
      <c r="N261">
        <f t="shared" ref="N261:N324" si="38">(E261-E260)*100</f>
        <v>-0.99999999999997868</v>
      </c>
      <c r="O261">
        <f t="shared" ref="O261:O324" si="39">(F261-F260)*100</f>
        <v>0</v>
      </c>
      <c r="P261">
        <f t="shared" ref="P261:P324" si="40">(G261-G260)*100</f>
        <v>-0.99999999999997868</v>
      </c>
      <c r="Q261">
        <f t="shared" ref="Q261:Q324" si="41">(H261-H260)*100</f>
        <v>-1.9999999999999574</v>
      </c>
      <c r="R261">
        <f t="shared" ref="R261:R324" si="42">(I261-I260)*100</f>
        <v>-4.0000000000000036</v>
      </c>
    </row>
    <row r="262" spans="1:18">
      <c r="A262" s="9">
        <v>37088</v>
      </c>
      <c r="B262">
        <v>4.04</v>
      </c>
      <c r="C262">
        <v>4.6500000000000004</v>
      </c>
      <c r="D262">
        <v>5.12</v>
      </c>
      <c r="E262">
        <v>5.41</v>
      </c>
      <c r="F262">
        <v>5.61</v>
      </c>
      <c r="G262">
        <v>5.86</v>
      </c>
      <c r="H262">
        <v>6.07</v>
      </c>
      <c r="I262">
        <v>6.39</v>
      </c>
      <c r="K262">
        <f t="shared" si="35"/>
        <v>0</v>
      </c>
      <c r="L262">
        <f t="shared" si="36"/>
        <v>-1.9999999999999574</v>
      </c>
      <c r="M262">
        <f t="shared" si="37"/>
        <v>-1.9999999999999574</v>
      </c>
      <c r="N262">
        <f t="shared" si="38"/>
        <v>-3.0000000000000249</v>
      </c>
      <c r="O262">
        <f t="shared" si="39"/>
        <v>-4.0000000000000036</v>
      </c>
      <c r="P262">
        <f t="shared" si="40"/>
        <v>-4.9999999999999822</v>
      </c>
      <c r="Q262">
        <f t="shared" si="41"/>
        <v>-4.9999999999999822</v>
      </c>
      <c r="R262">
        <f t="shared" si="42"/>
        <v>-4.0000000000000036</v>
      </c>
    </row>
    <row r="263" spans="1:18">
      <c r="A263" s="9">
        <v>37089</v>
      </c>
      <c r="B263">
        <v>4.03</v>
      </c>
      <c r="C263">
        <v>4.6399999999999997</v>
      </c>
      <c r="D263">
        <v>5.09</v>
      </c>
      <c r="E263">
        <v>5.39</v>
      </c>
      <c r="F263">
        <v>5.58</v>
      </c>
      <c r="G263">
        <v>5.84</v>
      </c>
      <c r="H263">
        <v>6.04</v>
      </c>
      <c r="I263">
        <v>6.37</v>
      </c>
      <c r="K263">
        <f t="shared" si="35"/>
        <v>-0.99999999999997868</v>
      </c>
      <c r="L263">
        <f t="shared" si="36"/>
        <v>-1.0000000000000675</v>
      </c>
      <c r="M263">
        <f t="shared" si="37"/>
        <v>-3.0000000000000249</v>
      </c>
      <c r="N263">
        <f t="shared" si="38"/>
        <v>-2.0000000000000462</v>
      </c>
      <c r="O263">
        <f t="shared" si="39"/>
        <v>-3.0000000000000249</v>
      </c>
      <c r="P263">
        <f t="shared" si="40"/>
        <v>-2.0000000000000462</v>
      </c>
      <c r="Q263">
        <f t="shared" si="41"/>
        <v>-3.0000000000000249</v>
      </c>
      <c r="R263">
        <f t="shared" si="42"/>
        <v>-1.9999999999999574</v>
      </c>
    </row>
    <row r="264" spans="1:18">
      <c r="A264" s="9">
        <v>37090</v>
      </c>
      <c r="B264">
        <v>3.95</v>
      </c>
      <c r="C264">
        <v>4.53</v>
      </c>
      <c r="D264">
        <v>5</v>
      </c>
      <c r="E264">
        <v>5.3</v>
      </c>
      <c r="F264">
        <v>5.51</v>
      </c>
      <c r="G264">
        <v>5.77</v>
      </c>
      <c r="H264">
        <v>5.99</v>
      </c>
      <c r="I264">
        <v>6.31</v>
      </c>
      <c r="K264">
        <f t="shared" si="35"/>
        <v>-8.0000000000000071</v>
      </c>
      <c r="L264">
        <f t="shared" si="36"/>
        <v>-10.999999999999943</v>
      </c>
      <c r="M264">
        <f t="shared" si="37"/>
        <v>-8.9999999999999858</v>
      </c>
      <c r="N264">
        <f t="shared" si="38"/>
        <v>-8.9999999999999858</v>
      </c>
      <c r="O264">
        <f t="shared" si="39"/>
        <v>-7.0000000000000284</v>
      </c>
      <c r="P264">
        <f t="shared" si="40"/>
        <v>-7.0000000000000284</v>
      </c>
      <c r="Q264">
        <f t="shared" si="41"/>
        <v>-4.9999999999999822</v>
      </c>
      <c r="R264">
        <f t="shared" si="42"/>
        <v>-6.0000000000000497</v>
      </c>
    </row>
    <row r="265" spans="1:18">
      <c r="A265" s="9">
        <v>37091</v>
      </c>
      <c r="B265">
        <v>3.93</v>
      </c>
      <c r="C265">
        <v>4.51</v>
      </c>
      <c r="D265">
        <v>4.97</v>
      </c>
      <c r="E265">
        <v>5.27</v>
      </c>
      <c r="F265">
        <v>5.48</v>
      </c>
      <c r="G265">
        <v>5.73</v>
      </c>
      <c r="H265">
        <v>5.94</v>
      </c>
      <c r="I265">
        <v>6.28</v>
      </c>
      <c r="K265">
        <f t="shared" si="35"/>
        <v>-2.0000000000000018</v>
      </c>
      <c r="L265">
        <f t="shared" si="36"/>
        <v>-2.0000000000000462</v>
      </c>
      <c r="M265">
        <f t="shared" si="37"/>
        <v>-3.0000000000000249</v>
      </c>
      <c r="N265">
        <f t="shared" si="38"/>
        <v>-3.0000000000000249</v>
      </c>
      <c r="O265">
        <f t="shared" si="39"/>
        <v>-2.9999999999999361</v>
      </c>
      <c r="P265">
        <f t="shared" si="40"/>
        <v>-3.9999999999999147</v>
      </c>
      <c r="Q265">
        <f t="shared" si="41"/>
        <v>-4.9999999999999822</v>
      </c>
      <c r="R265">
        <f t="shared" si="42"/>
        <v>-2.9999999999999361</v>
      </c>
    </row>
    <row r="266" spans="1:18">
      <c r="A266" s="9">
        <v>37092</v>
      </c>
      <c r="B266">
        <v>3.9</v>
      </c>
      <c r="C266">
        <v>4.49</v>
      </c>
      <c r="D266">
        <v>4.96</v>
      </c>
      <c r="E266">
        <v>5.27</v>
      </c>
      <c r="F266">
        <v>5.48</v>
      </c>
      <c r="G266">
        <v>5.73</v>
      </c>
      <c r="H266">
        <v>5.93</v>
      </c>
      <c r="I266">
        <v>6.28</v>
      </c>
      <c r="K266">
        <f t="shared" si="35"/>
        <v>-3.0000000000000249</v>
      </c>
      <c r="L266">
        <f t="shared" si="36"/>
        <v>-1.9999999999999574</v>
      </c>
      <c r="M266">
        <f t="shared" si="37"/>
        <v>-0.99999999999997868</v>
      </c>
      <c r="N266">
        <f t="shared" si="38"/>
        <v>0</v>
      </c>
      <c r="O266">
        <f t="shared" si="39"/>
        <v>0</v>
      </c>
      <c r="P266">
        <f t="shared" si="40"/>
        <v>0</v>
      </c>
      <c r="Q266">
        <f t="shared" si="41"/>
        <v>-1.0000000000000675</v>
      </c>
      <c r="R266">
        <f t="shared" si="42"/>
        <v>0</v>
      </c>
    </row>
    <row r="267" spans="1:18">
      <c r="A267" s="9">
        <v>37095</v>
      </c>
      <c r="B267">
        <v>3.91</v>
      </c>
      <c r="C267">
        <v>4.49</v>
      </c>
      <c r="D267">
        <v>4.96</v>
      </c>
      <c r="E267">
        <v>5.26</v>
      </c>
      <c r="F267">
        <v>5.46</v>
      </c>
      <c r="G267">
        <v>5.72</v>
      </c>
      <c r="H267">
        <v>5.93</v>
      </c>
      <c r="I267">
        <v>6.28</v>
      </c>
      <c r="K267">
        <f t="shared" si="35"/>
        <v>1.0000000000000231</v>
      </c>
      <c r="L267">
        <f t="shared" si="36"/>
        <v>0</v>
      </c>
      <c r="M267">
        <f t="shared" si="37"/>
        <v>0</v>
      </c>
      <c r="N267">
        <f t="shared" si="38"/>
        <v>-0.99999999999997868</v>
      </c>
      <c r="O267">
        <f t="shared" si="39"/>
        <v>-2.0000000000000462</v>
      </c>
      <c r="P267">
        <f t="shared" si="40"/>
        <v>-1.0000000000000675</v>
      </c>
      <c r="Q267">
        <f t="shared" si="41"/>
        <v>0</v>
      </c>
      <c r="R267">
        <f t="shared" si="42"/>
        <v>0</v>
      </c>
    </row>
    <row r="268" spans="1:18">
      <c r="A268" s="9">
        <v>37096</v>
      </c>
      <c r="B268">
        <v>3.91</v>
      </c>
      <c r="C268">
        <v>4.4800000000000004</v>
      </c>
      <c r="D268">
        <v>4.95</v>
      </c>
      <c r="E268">
        <v>5.25</v>
      </c>
      <c r="F268">
        <v>5.46</v>
      </c>
      <c r="G268">
        <v>5.71</v>
      </c>
      <c r="H268">
        <v>5.92</v>
      </c>
      <c r="I268">
        <v>6.26</v>
      </c>
      <c r="K268">
        <f t="shared" si="35"/>
        <v>0</v>
      </c>
      <c r="L268">
        <f t="shared" si="36"/>
        <v>-0.99999999999997868</v>
      </c>
      <c r="M268">
        <f t="shared" si="37"/>
        <v>-0.99999999999997868</v>
      </c>
      <c r="N268">
        <f t="shared" si="38"/>
        <v>-0.99999999999997868</v>
      </c>
      <c r="O268">
        <f t="shared" si="39"/>
        <v>0</v>
      </c>
      <c r="P268">
        <f t="shared" si="40"/>
        <v>-0.99999999999997868</v>
      </c>
      <c r="Q268">
        <f t="shared" si="41"/>
        <v>-0.99999999999997868</v>
      </c>
      <c r="R268">
        <f t="shared" si="42"/>
        <v>-2.0000000000000462</v>
      </c>
    </row>
    <row r="269" spans="1:18">
      <c r="A269" s="9">
        <v>37097</v>
      </c>
      <c r="B269">
        <v>3.92</v>
      </c>
      <c r="C269">
        <v>4.49</v>
      </c>
      <c r="D269">
        <v>4.95</v>
      </c>
      <c r="E269">
        <v>5.26</v>
      </c>
      <c r="F269">
        <v>5.47</v>
      </c>
      <c r="G269">
        <v>5.73</v>
      </c>
      <c r="H269">
        <v>5.94</v>
      </c>
      <c r="I269">
        <v>6.28</v>
      </c>
      <c r="K269">
        <f t="shared" si="35"/>
        <v>0.99999999999997868</v>
      </c>
      <c r="L269">
        <f t="shared" si="36"/>
        <v>0.99999999999997868</v>
      </c>
      <c r="M269">
        <f t="shared" si="37"/>
        <v>0</v>
      </c>
      <c r="N269">
        <f t="shared" si="38"/>
        <v>0.99999999999997868</v>
      </c>
      <c r="O269">
        <f t="shared" si="39"/>
        <v>0.99999999999997868</v>
      </c>
      <c r="P269">
        <f t="shared" si="40"/>
        <v>2.0000000000000462</v>
      </c>
      <c r="Q269">
        <f t="shared" si="41"/>
        <v>2.0000000000000462</v>
      </c>
      <c r="R269">
        <f t="shared" si="42"/>
        <v>2.0000000000000462</v>
      </c>
    </row>
    <row r="270" spans="1:18">
      <c r="A270" s="9">
        <v>37098</v>
      </c>
      <c r="B270">
        <v>3.9</v>
      </c>
      <c r="C270">
        <v>4.46</v>
      </c>
      <c r="D270">
        <v>4.92</v>
      </c>
      <c r="E270">
        <v>5.24</v>
      </c>
      <c r="F270">
        <v>5.47</v>
      </c>
      <c r="G270">
        <v>5.75</v>
      </c>
      <c r="H270">
        <v>5.97</v>
      </c>
      <c r="I270">
        <v>6.32</v>
      </c>
      <c r="K270">
        <f t="shared" si="35"/>
        <v>-2.0000000000000018</v>
      </c>
      <c r="L270">
        <f t="shared" si="36"/>
        <v>-3.0000000000000249</v>
      </c>
      <c r="M270">
        <f t="shared" si="37"/>
        <v>-3.0000000000000249</v>
      </c>
      <c r="N270">
        <f t="shared" si="38"/>
        <v>-1.9999999999999574</v>
      </c>
      <c r="O270">
        <f t="shared" si="39"/>
        <v>0</v>
      </c>
      <c r="P270">
        <f t="shared" si="40"/>
        <v>1.9999999999999574</v>
      </c>
      <c r="Q270">
        <f t="shared" si="41"/>
        <v>2.9999999999999361</v>
      </c>
      <c r="R270">
        <f t="shared" si="42"/>
        <v>4.0000000000000036</v>
      </c>
    </row>
    <row r="271" spans="1:18">
      <c r="A271" s="9">
        <v>37099</v>
      </c>
      <c r="B271">
        <v>3.86</v>
      </c>
      <c r="C271">
        <v>4.38</v>
      </c>
      <c r="D271">
        <v>4.84</v>
      </c>
      <c r="E271">
        <v>5.17</v>
      </c>
      <c r="F271">
        <v>5.41</v>
      </c>
      <c r="G271">
        <v>5.68</v>
      </c>
      <c r="H271">
        <v>5.9</v>
      </c>
      <c r="I271">
        <v>6.26</v>
      </c>
      <c r="K271">
        <f t="shared" si="35"/>
        <v>-4.0000000000000036</v>
      </c>
      <c r="L271">
        <f t="shared" si="36"/>
        <v>-8.0000000000000071</v>
      </c>
      <c r="M271">
        <f t="shared" si="37"/>
        <v>-8.0000000000000071</v>
      </c>
      <c r="N271">
        <f t="shared" si="38"/>
        <v>-7.0000000000000284</v>
      </c>
      <c r="O271">
        <f t="shared" si="39"/>
        <v>-5.9999999999999609</v>
      </c>
      <c r="P271">
        <f t="shared" si="40"/>
        <v>-7.0000000000000284</v>
      </c>
      <c r="Q271">
        <f t="shared" si="41"/>
        <v>-6.9999999999999396</v>
      </c>
      <c r="R271">
        <f t="shared" si="42"/>
        <v>-6.0000000000000497</v>
      </c>
    </row>
    <row r="272" spans="1:18">
      <c r="A272" s="9">
        <v>37102</v>
      </c>
      <c r="B272">
        <v>3.84</v>
      </c>
      <c r="C272">
        <v>4.38</v>
      </c>
      <c r="D272">
        <v>4.84</v>
      </c>
      <c r="E272">
        <v>5.16</v>
      </c>
      <c r="F272">
        <v>5.39</v>
      </c>
      <c r="G272">
        <v>5.68</v>
      </c>
      <c r="H272">
        <v>5.91</v>
      </c>
      <c r="I272">
        <v>6.27</v>
      </c>
      <c r="K272">
        <f t="shared" si="35"/>
        <v>-2.0000000000000018</v>
      </c>
      <c r="L272">
        <f t="shared" si="36"/>
        <v>0</v>
      </c>
      <c r="M272">
        <f t="shared" si="37"/>
        <v>0</v>
      </c>
      <c r="N272">
        <f t="shared" si="38"/>
        <v>-0.99999999999997868</v>
      </c>
      <c r="O272">
        <f t="shared" si="39"/>
        <v>-2.0000000000000462</v>
      </c>
      <c r="P272">
        <f t="shared" si="40"/>
        <v>0</v>
      </c>
      <c r="Q272">
        <f t="shared" si="41"/>
        <v>0.99999999999997868</v>
      </c>
      <c r="R272">
        <f t="shared" si="42"/>
        <v>0.99999999999997868</v>
      </c>
    </row>
    <row r="273" spans="1:18">
      <c r="A273" s="9">
        <v>37103</v>
      </c>
      <c r="B273">
        <v>3.82</v>
      </c>
      <c r="C273">
        <v>4.32</v>
      </c>
      <c r="D273">
        <v>4.78</v>
      </c>
      <c r="E273">
        <v>5.0999999999999996</v>
      </c>
      <c r="F273">
        <v>5.32</v>
      </c>
      <c r="G273">
        <v>5.61</v>
      </c>
      <c r="H273">
        <v>5.85</v>
      </c>
      <c r="I273">
        <v>6.24</v>
      </c>
      <c r="K273">
        <f t="shared" si="35"/>
        <v>-2.0000000000000018</v>
      </c>
      <c r="L273">
        <f t="shared" si="36"/>
        <v>-5.9999999999999609</v>
      </c>
      <c r="M273">
        <f t="shared" si="37"/>
        <v>-5.9999999999999609</v>
      </c>
      <c r="N273">
        <f t="shared" si="38"/>
        <v>-6.0000000000000497</v>
      </c>
      <c r="O273">
        <f t="shared" si="39"/>
        <v>-6.9999999999999396</v>
      </c>
      <c r="P273">
        <f t="shared" si="40"/>
        <v>-6.9999999999999396</v>
      </c>
      <c r="Q273">
        <f t="shared" si="41"/>
        <v>-6.0000000000000497</v>
      </c>
      <c r="R273">
        <f t="shared" si="42"/>
        <v>-2.9999999999999361</v>
      </c>
    </row>
    <row r="274" spans="1:18">
      <c r="A274" s="9">
        <v>37104</v>
      </c>
      <c r="B274">
        <v>3.83</v>
      </c>
      <c r="C274">
        <v>4.3499999999999996</v>
      </c>
      <c r="D274">
        <v>4.8099999999999996</v>
      </c>
      <c r="E274">
        <v>5.13</v>
      </c>
      <c r="F274">
        <v>5.36</v>
      </c>
      <c r="G274">
        <v>5.65</v>
      </c>
      <c r="H274">
        <v>5.88</v>
      </c>
      <c r="I274">
        <v>6.25</v>
      </c>
      <c r="K274">
        <f t="shared" si="35"/>
        <v>1.0000000000000231</v>
      </c>
      <c r="L274">
        <f t="shared" si="36"/>
        <v>2.9999999999999361</v>
      </c>
      <c r="M274">
        <f t="shared" si="37"/>
        <v>2.9999999999999361</v>
      </c>
      <c r="N274">
        <f t="shared" si="38"/>
        <v>3.0000000000000249</v>
      </c>
      <c r="O274">
        <f t="shared" si="39"/>
        <v>4.0000000000000036</v>
      </c>
      <c r="P274">
        <f t="shared" si="40"/>
        <v>4.0000000000000036</v>
      </c>
      <c r="Q274">
        <f t="shared" si="41"/>
        <v>3.0000000000000249</v>
      </c>
      <c r="R274">
        <f t="shared" si="42"/>
        <v>0.99999999999997868</v>
      </c>
    </row>
    <row r="275" spans="1:18">
      <c r="A275" s="9">
        <v>37105</v>
      </c>
      <c r="B275">
        <v>3.84</v>
      </c>
      <c r="C275">
        <v>4.3899999999999997</v>
      </c>
      <c r="D275">
        <v>4.8499999999999996</v>
      </c>
      <c r="E275">
        <v>5.17</v>
      </c>
      <c r="F275">
        <v>5.4</v>
      </c>
      <c r="G275">
        <v>5.68</v>
      </c>
      <c r="H275">
        <v>5.91</v>
      </c>
      <c r="I275">
        <v>6.28</v>
      </c>
      <c r="K275">
        <f t="shared" si="35"/>
        <v>0.99999999999997868</v>
      </c>
      <c r="L275">
        <f t="shared" si="36"/>
        <v>4.0000000000000036</v>
      </c>
      <c r="M275">
        <f t="shared" si="37"/>
        <v>4.0000000000000036</v>
      </c>
      <c r="N275">
        <f t="shared" si="38"/>
        <v>4.0000000000000036</v>
      </c>
      <c r="O275">
        <f t="shared" si="39"/>
        <v>4.0000000000000036</v>
      </c>
      <c r="P275">
        <f t="shared" si="40"/>
        <v>2.9999999999999361</v>
      </c>
      <c r="Q275">
        <f t="shared" si="41"/>
        <v>3.0000000000000249</v>
      </c>
      <c r="R275">
        <f t="shared" si="42"/>
        <v>3.0000000000000249</v>
      </c>
    </row>
    <row r="276" spans="1:18">
      <c r="A276" s="9">
        <v>37106</v>
      </c>
      <c r="B276">
        <v>3.85</v>
      </c>
      <c r="C276">
        <v>4.4400000000000004</v>
      </c>
      <c r="D276">
        <v>4.91</v>
      </c>
      <c r="E276">
        <v>5.23</v>
      </c>
      <c r="F276">
        <v>5.47</v>
      </c>
      <c r="G276">
        <v>5.76</v>
      </c>
      <c r="H276">
        <v>5.98</v>
      </c>
      <c r="I276">
        <v>6.32</v>
      </c>
      <c r="K276">
        <f t="shared" si="35"/>
        <v>1.0000000000000231</v>
      </c>
      <c r="L276">
        <f t="shared" si="36"/>
        <v>5.0000000000000711</v>
      </c>
      <c r="M276">
        <f t="shared" si="37"/>
        <v>6.0000000000000497</v>
      </c>
      <c r="N276">
        <f t="shared" si="38"/>
        <v>6.0000000000000497</v>
      </c>
      <c r="O276">
        <f t="shared" si="39"/>
        <v>6.9999999999999396</v>
      </c>
      <c r="P276">
        <f t="shared" si="40"/>
        <v>8.0000000000000071</v>
      </c>
      <c r="Q276">
        <f t="shared" si="41"/>
        <v>7.0000000000000284</v>
      </c>
      <c r="R276">
        <f t="shared" si="42"/>
        <v>4.0000000000000036</v>
      </c>
    </row>
    <row r="277" spans="1:18">
      <c r="A277" s="9">
        <v>37109</v>
      </c>
      <c r="B277">
        <v>3.83</v>
      </c>
      <c r="C277">
        <v>4.4000000000000004</v>
      </c>
      <c r="D277">
        <v>4.88</v>
      </c>
      <c r="E277">
        <v>5.22</v>
      </c>
      <c r="F277">
        <v>5.46</v>
      </c>
      <c r="G277">
        <v>5.75</v>
      </c>
      <c r="H277">
        <v>5.98</v>
      </c>
      <c r="I277">
        <v>6.34</v>
      </c>
      <c r="K277">
        <f t="shared" si="35"/>
        <v>-2.0000000000000018</v>
      </c>
      <c r="L277">
        <f t="shared" si="36"/>
        <v>-4.0000000000000036</v>
      </c>
      <c r="M277">
        <f t="shared" si="37"/>
        <v>-3.0000000000000249</v>
      </c>
      <c r="N277">
        <f t="shared" si="38"/>
        <v>-1.0000000000000675</v>
      </c>
      <c r="O277">
        <f t="shared" si="39"/>
        <v>-0.99999999999997868</v>
      </c>
      <c r="P277">
        <f t="shared" si="40"/>
        <v>-0.99999999999997868</v>
      </c>
      <c r="Q277">
        <f t="shared" si="41"/>
        <v>0</v>
      </c>
      <c r="R277">
        <f t="shared" si="42"/>
        <v>1.9999999999999574</v>
      </c>
    </row>
    <row r="278" spans="1:18">
      <c r="A278" s="9">
        <v>37110</v>
      </c>
      <c r="B278">
        <v>3.83</v>
      </c>
      <c r="C278">
        <v>4.4000000000000004</v>
      </c>
      <c r="D278">
        <v>4.88</v>
      </c>
      <c r="E278">
        <v>5.21</v>
      </c>
      <c r="F278">
        <v>5.45</v>
      </c>
      <c r="G278">
        <v>5.73</v>
      </c>
      <c r="H278">
        <v>5.96</v>
      </c>
      <c r="I278">
        <v>6.31</v>
      </c>
      <c r="K278">
        <f t="shared" si="35"/>
        <v>0</v>
      </c>
      <c r="L278">
        <f t="shared" si="36"/>
        <v>0</v>
      </c>
      <c r="M278">
        <f t="shared" si="37"/>
        <v>0</v>
      </c>
      <c r="N278">
        <f t="shared" si="38"/>
        <v>-0.99999999999997868</v>
      </c>
      <c r="O278">
        <f t="shared" si="39"/>
        <v>-0.99999999999997868</v>
      </c>
      <c r="P278">
        <f t="shared" si="40"/>
        <v>-1.9999999999999574</v>
      </c>
      <c r="Q278">
        <f t="shared" si="41"/>
        <v>-2.0000000000000462</v>
      </c>
      <c r="R278">
        <f t="shared" si="42"/>
        <v>-3.0000000000000249</v>
      </c>
    </row>
    <row r="279" spans="1:18">
      <c r="A279" s="9">
        <v>37111</v>
      </c>
      <c r="B279">
        <v>3.82</v>
      </c>
      <c r="C279">
        <v>4.37</v>
      </c>
      <c r="D279">
        <v>4.8499999999999996</v>
      </c>
      <c r="E279">
        <v>5.19</v>
      </c>
      <c r="F279">
        <v>5.43</v>
      </c>
      <c r="G279">
        <v>5.72</v>
      </c>
      <c r="H279">
        <v>5.96</v>
      </c>
      <c r="I279">
        <v>6.31</v>
      </c>
      <c r="K279">
        <f t="shared" si="35"/>
        <v>-1.0000000000000231</v>
      </c>
      <c r="L279">
        <f t="shared" si="36"/>
        <v>-3.0000000000000249</v>
      </c>
      <c r="M279">
        <f t="shared" si="37"/>
        <v>-3.0000000000000249</v>
      </c>
      <c r="N279">
        <f t="shared" si="38"/>
        <v>-1.9999999999999574</v>
      </c>
      <c r="O279">
        <f t="shared" si="39"/>
        <v>-2.0000000000000462</v>
      </c>
      <c r="P279">
        <f t="shared" si="40"/>
        <v>-1.0000000000000675</v>
      </c>
      <c r="Q279">
        <f t="shared" si="41"/>
        <v>0</v>
      </c>
      <c r="R279">
        <f t="shared" si="42"/>
        <v>0</v>
      </c>
    </row>
    <row r="280" spans="1:18">
      <c r="A280" s="9">
        <v>37112</v>
      </c>
      <c r="B280">
        <v>3.73</v>
      </c>
      <c r="C280">
        <v>4.26</v>
      </c>
      <c r="D280">
        <v>4.7300000000000004</v>
      </c>
      <c r="E280">
        <v>5.0599999999999996</v>
      </c>
      <c r="F280">
        <v>5.3</v>
      </c>
      <c r="G280">
        <v>5.58</v>
      </c>
      <c r="H280">
        <v>5.82</v>
      </c>
      <c r="I280">
        <v>6.19</v>
      </c>
      <c r="K280">
        <f t="shared" si="35"/>
        <v>-8.9999999999999858</v>
      </c>
      <c r="L280">
        <f t="shared" si="36"/>
        <v>-11.000000000000032</v>
      </c>
      <c r="M280">
        <f t="shared" si="37"/>
        <v>-11.999999999999922</v>
      </c>
      <c r="N280">
        <f t="shared" si="38"/>
        <v>-13.000000000000078</v>
      </c>
      <c r="O280">
        <f t="shared" si="39"/>
        <v>-12.999999999999989</v>
      </c>
      <c r="P280">
        <f t="shared" si="40"/>
        <v>-13.999999999999968</v>
      </c>
      <c r="Q280">
        <f t="shared" si="41"/>
        <v>-13.999999999999968</v>
      </c>
      <c r="R280">
        <f t="shared" si="42"/>
        <v>-11.999999999999922</v>
      </c>
    </row>
    <row r="281" spans="1:18">
      <c r="A281" s="9">
        <v>37113</v>
      </c>
      <c r="B281">
        <v>3.7</v>
      </c>
      <c r="C281">
        <v>4.24</v>
      </c>
      <c r="D281">
        <v>4.7300000000000004</v>
      </c>
      <c r="E281">
        <v>5.07</v>
      </c>
      <c r="F281">
        <v>5.31</v>
      </c>
      <c r="G281">
        <v>5.6</v>
      </c>
      <c r="H281">
        <v>5.83</v>
      </c>
      <c r="I281">
        <v>6.19</v>
      </c>
      <c r="K281">
        <f t="shared" si="35"/>
        <v>-2.9999999999999805</v>
      </c>
      <c r="L281">
        <f t="shared" si="36"/>
        <v>-1.9999999999999574</v>
      </c>
      <c r="M281">
        <f t="shared" si="37"/>
        <v>0</v>
      </c>
      <c r="N281">
        <f t="shared" si="38"/>
        <v>1.0000000000000675</v>
      </c>
      <c r="O281">
        <f t="shared" si="39"/>
        <v>0.99999999999997868</v>
      </c>
      <c r="P281">
        <f t="shared" si="40"/>
        <v>1.9999999999999574</v>
      </c>
      <c r="Q281">
        <f t="shared" si="41"/>
        <v>0.99999999999997868</v>
      </c>
      <c r="R281">
        <f t="shared" si="42"/>
        <v>0</v>
      </c>
    </row>
    <row r="282" spans="1:18">
      <c r="A282" s="9">
        <v>37116</v>
      </c>
      <c r="B282">
        <v>3.69</v>
      </c>
      <c r="C282">
        <v>4.2</v>
      </c>
      <c r="D282">
        <v>4.68</v>
      </c>
      <c r="E282">
        <v>5.01</v>
      </c>
      <c r="F282">
        <v>5.24</v>
      </c>
      <c r="G282">
        <v>5.54</v>
      </c>
      <c r="H282">
        <v>5.78</v>
      </c>
      <c r="I282">
        <v>6.16</v>
      </c>
      <c r="K282">
        <f t="shared" si="35"/>
        <v>-1.0000000000000231</v>
      </c>
      <c r="L282">
        <f t="shared" si="36"/>
        <v>-4.0000000000000036</v>
      </c>
      <c r="M282">
        <f t="shared" si="37"/>
        <v>-5.0000000000000711</v>
      </c>
      <c r="N282">
        <f t="shared" si="38"/>
        <v>-6.0000000000000497</v>
      </c>
      <c r="O282">
        <f t="shared" si="39"/>
        <v>-6.9999999999999396</v>
      </c>
      <c r="P282">
        <f t="shared" si="40"/>
        <v>-5.9999999999999609</v>
      </c>
      <c r="Q282">
        <f t="shared" si="41"/>
        <v>-4.9999999999999822</v>
      </c>
      <c r="R282">
        <f t="shared" si="42"/>
        <v>-3.0000000000000249</v>
      </c>
    </row>
    <row r="283" spans="1:18">
      <c r="A283" s="9">
        <v>37117</v>
      </c>
      <c r="B283">
        <v>3.71</v>
      </c>
      <c r="C283">
        <v>4.25</v>
      </c>
      <c r="D283">
        <v>4.72</v>
      </c>
      <c r="E283">
        <v>5.05</v>
      </c>
      <c r="F283">
        <v>5.28</v>
      </c>
      <c r="G283">
        <v>5.57</v>
      </c>
      <c r="H283">
        <v>5.81</v>
      </c>
      <c r="I283">
        <v>6.2</v>
      </c>
      <c r="K283">
        <f t="shared" si="35"/>
        <v>2.0000000000000018</v>
      </c>
      <c r="L283">
        <f t="shared" si="36"/>
        <v>4.9999999999999822</v>
      </c>
      <c r="M283">
        <f t="shared" si="37"/>
        <v>4.0000000000000036</v>
      </c>
      <c r="N283">
        <f t="shared" si="38"/>
        <v>4.0000000000000036</v>
      </c>
      <c r="O283">
        <f t="shared" si="39"/>
        <v>4.0000000000000036</v>
      </c>
      <c r="P283">
        <f t="shared" si="40"/>
        <v>3.0000000000000249</v>
      </c>
      <c r="Q283">
        <f t="shared" si="41"/>
        <v>2.9999999999999361</v>
      </c>
      <c r="R283">
        <f t="shared" si="42"/>
        <v>4.0000000000000036</v>
      </c>
    </row>
    <row r="284" spans="1:18">
      <c r="A284" s="9">
        <v>37118</v>
      </c>
      <c r="B284">
        <v>3.77</v>
      </c>
      <c r="C284">
        <v>4.32</v>
      </c>
      <c r="D284">
        <v>4.78</v>
      </c>
      <c r="E284">
        <v>5.09</v>
      </c>
      <c r="F284">
        <v>5.32</v>
      </c>
      <c r="G284">
        <v>5.6</v>
      </c>
      <c r="H284">
        <v>5.82</v>
      </c>
      <c r="I284">
        <v>6.2</v>
      </c>
      <c r="K284">
        <f t="shared" si="35"/>
        <v>6.0000000000000053</v>
      </c>
      <c r="L284">
        <f t="shared" si="36"/>
        <v>7.0000000000000284</v>
      </c>
      <c r="M284">
        <f t="shared" si="37"/>
        <v>6.0000000000000497</v>
      </c>
      <c r="N284">
        <f t="shared" si="38"/>
        <v>4.0000000000000036</v>
      </c>
      <c r="O284">
        <f t="shared" si="39"/>
        <v>4.0000000000000036</v>
      </c>
      <c r="P284">
        <f t="shared" si="40"/>
        <v>2.9999999999999361</v>
      </c>
      <c r="Q284">
        <f t="shared" si="41"/>
        <v>1.0000000000000675</v>
      </c>
      <c r="R284">
        <f t="shared" si="42"/>
        <v>0</v>
      </c>
    </row>
    <row r="285" spans="1:18">
      <c r="A285" s="9">
        <v>37119</v>
      </c>
      <c r="B285">
        <v>3.76</v>
      </c>
      <c r="C285">
        <v>4.3099999999999996</v>
      </c>
      <c r="D285">
        <v>4.7699999999999996</v>
      </c>
      <c r="E285">
        <v>5.0999999999999996</v>
      </c>
      <c r="F285">
        <v>5.32</v>
      </c>
      <c r="G285">
        <v>5.59</v>
      </c>
      <c r="H285">
        <v>5.81</v>
      </c>
      <c r="I285">
        <v>6.2</v>
      </c>
      <c r="K285">
        <f t="shared" si="35"/>
        <v>-1.0000000000000231</v>
      </c>
      <c r="L285">
        <f t="shared" si="36"/>
        <v>-1.0000000000000675</v>
      </c>
      <c r="M285">
        <f t="shared" si="37"/>
        <v>-1.0000000000000675</v>
      </c>
      <c r="N285">
        <f t="shared" si="38"/>
        <v>0.99999999999997868</v>
      </c>
      <c r="O285">
        <f t="shared" si="39"/>
        <v>0</v>
      </c>
      <c r="P285">
        <f t="shared" si="40"/>
        <v>-0.99999999999997868</v>
      </c>
      <c r="Q285">
        <f t="shared" si="41"/>
        <v>-1.0000000000000675</v>
      </c>
      <c r="R285">
        <f t="shared" si="42"/>
        <v>0</v>
      </c>
    </row>
    <row r="286" spans="1:18">
      <c r="A286" s="9">
        <v>37120</v>
      </c>
      <c r="B286">
        <v>3.68</v>
      </c>
      <c r="C286">
        <v>4.22</v>
      </c>
      <c r="D286">
        <v>4.6900000000000004</v>
      </c>
      <c r="E286">
        <v>5</v>
      </c>
      <c r="F286">
        <v>5.22</v>
      </c>
      <c r="G286">
        <v>5.5</v>
      </c>
      <c r="H286">
        <v>5.73</v>
      </c>
      <c r="I286">
        <v>6.14</v>
      </c>
      <c r="K286">
        <f t="shared" si="35"/>
        <v>-7.9999999999999627</v>
      </c>
      <c r="L286">
        <f t="shared" si="36"/>
        <v>-8.9999999999999858</v>
      </c>
      <c r="M286">
        <f t="shared" si="37"/>
        <v>-7.9999999999999183</v>
      </c>
      <c r="N286">
        <f t="shared" si="38"/>
        <v>-9.9999999999999645</v>
      </c>
      <c r="O286">
        <f t="shared" si="39"/>
        <v>-10.000000000000053</v>
      </c>
      <c r="P286">
        <f t="shared" si="40"/>
        <v>-8.9999999999999858</v>
      </c>
      <c r="Q286">
        <f t="shared" si="41"/>
        <v>-7.9999999999999183</v>
      </c>
      <c r="R286">
        <f t="shared" si="42"/>
        <v>-6.0000000000000497</v>
      </c>
    </row>
    <row r="287" spans="1:18">
      <c r="A287" s="9">
        <v>37123</v>
      </c>
      <c r="B287">
        <v>3.71</v>
      </c>
      <c r="C287">
        <v>4.26</v>
      </c>
      <c r="D287">
        <v>4.7300000000000004</v>
      </c>
      <c r="E287">
        <v>5.05</v>
      </c>
      <c r="F287">
        <v>5.27</v>
      </c>
      <c r="G287">
        <v>5.55</v>
      </c>
      <c r="H287">
        <v>5.77</v>
      </c>
      <c r="I287">
        <v>6.17</v>
      </c>
      <c r="K287">
        <f t="shared" si="35"/>
        <v>2.9999999999999805</v>
      </c>
      <c r="L287">
        <f t="shared" si="36"/>
        <v>4.0000000000000036</v>
      </c>
      <c r="M287">
        <f t="shared" si="37"/>
        <v>4.0000000000000036</v>
      </c>
      <c r="N287">
        <f t="shared" si="38"/>
        <v>4.9999999999999822</v>
      </c>
      <c r="O287">
        <f t="shared" si="39"/>
        <v>4.9999999999999822</v>
      </c>
      <c r="P287">
        <f t="shared" si="40"/>
        <v>4.9999999999999822</v>
      </c>
      <c r="Q287">
        <f t="shared" si="41"/>
        <v>3.9999999999999147</v>
      </c>
      <c r="R287">
        <f t="shared" si="42"/>
        <v>3.0000000000000249</v>
      </c>
    </row>
    <row r="288" spans="1:18">
      <c r="A288" s="9">
        <v>37124</v>
      </c>
      <c r="B288">
        <v>3.72</v>
      </c>
      <c r="C288">
        <v>4.28</v>
      </c>
      <c r="D288">
        <v>4.75</v>
      </c>
      <c r="E288">
        <v>5.0599999999999996</v>
      </c>
      <c r="F288">
        <v>5.28</v>
      </c>
      <c r="G288">
        <v>5.55</v>
      </c>
      <c r="H288">
        <v>5.77</v>
      </c>
      <c r="I288">
        <v>6.15</v>
      </c>
      <c r="K288">
        <f t="shared" si="35"/>
        <v>1.0000000000000231</v>
      </c>
      <c r="L288">
        <f t="shared" si="36"/>
        <v>2.0000000000000462</v>
      </c>
      <c r="M288">
        <f t="shared" si="37"/>
        <v>1.9999999999999574</v>
      </c>
      <c r="N288">
        <f t="shared" si="38"/>
        <v>0.99999999999997868</v>
      </c>
      <c r="O288">
        <f t="shared" si="39"/>
        <v>1.0000000000000675</v>
      </c>
      <c r="P288">
        <f t="shared" si="40"/>
        <v>0</v>
      </c>
      <c r="Q288">
        <f t="shared" si="41"/>
        <v>0</v>
      </c>
      <c r="R288">
        <f t="shared" si="42"/>
        <v>-1.9999999999999574</v>
      </c>
    </row>
    <row r="289" spans="1:18">
      <c r="A289" s="9">
        <v>37125</v>
      </c>
      <c r="B289">
        <v>3.68</v>
      </c>
      <c r="C289">
        <v>4.24</v>
      </c>
      <c r="D289">
        <v>4.71</v>
      </c>
      <c r="E289">
        <v>5.03</v>
      </c>
      <c r="F289">
        <v>5.25</v>
      </c>
      <c r="G289">
        <v>5.54</v>
      </c>
      <c r="H289">
        <v>5.77</v>
      </c>
      <c r="I289">
        <v>6.16</v>
      </c>
      <c r="K289">
        <f t="shared" si="35"/>
        <v>-4.0000000000000036</v>
      </c>
      <c r="L289">
        <f t="shared" si="36"/>
        <v>-4.0000000000000036</v>
      </c>
      <c r="M289">
        <f t="shared" si="37"/>
        <v>-4.0000000000000036</v>
      </c>
      <c r="N289">
        <f t="shared" si="38"/>
        <v>-2.9999999999999361</v>
      </c>
      <c r="O289">
        <f t="shared" si="39"/>
        <v>-3.0000000000000249</v>
      </c>
      <c r="P289">
        <f t="shared" si="40"/>
        <v>-0.99999999999997868</v>
      </c>
      <c r="Q289">
        <f t="shared" si="41"/>
        <v>0</v>
      </c>
      <c r="R289">
        <f t="shared" si="42"/>
        <v>0.99999999999997868</v>
      </c>
    </row>
    <row r="290" spans="1:18">
      <c r="A290" s="9">
        <v>37126</v>
      </c>
      <c r="B290">
        <v>3.68</v>
      </c>
      <c r="C290">
        <v>4.24</v>
      </c>
      <c r="D290">
        <v>4.7</v>
      </c>
      <c r="E290">
        <v>5.01</v>
      </c>
      <c r="F290">
        <v>5.22</v>
      </c>
      <c r="G290">
        <v>5.5</v>
      </c>
      <c r="H290">
        <v>5.74</v>
      </c>
      <c r="I290">
        <v>6.11</v>
      </c>
      <c r="K290">
        <f t="shared" si="35"/>
        <v>0</v>
      </c>
      <c r="L290">
        <f t="shared" si="36"/>
        <v>0</v>
      </c>
      <c r="M290">
        <f t="shared" si="37"/>
        <v>-0.99999999999997868</v>
      </c>
      <c r="N290">
        <f t="shared" si="38"/>
        <v>-2.0000000000000462</v>
      </c>
      <c r="O290">
        <f t="shared" si="39"/>
        <v>-3.0000000000000249</v>
      </c>
      <c r="P290">
        <f t="shared" si="40"/>
        <v>-4.0000000000000036</v>
      </c>
      <c r="Q290">
        <f t="shared" si="41"/>
        <v>-2.9999999999999361</v>
      </c>
      <c r="R290">
        <f t="shared" si="42"/>
        <v>-4.9999999999999822</v>
      </c>
    </row>
    <row r="291" spans="1:18">
      <c r="A291" s="9">
        <v>37127</v>
      </c>
      <c r="B291">
        <v>3.72</v>
      </c>
      <c r="C291">
        <v>4.28</v>
      </c>
      <c r="D291">
        <v>4.75</v>
      </c>
      <c r="E291">
        <v>5.05</v>
      </c>
      <c r="F291">
        <v>5.26</v>
      </c>
      <c r="G291">
        <v>5.55</v>
      </c>
      <c r="H291">
        <v>5.79</v>
      </c>
      <c r="I291">
        <v>6.14</v>
      </c>
      <c r="K291">
        <f t="shared" si="35"/>
        <v>4.0000000000000036</v>
      </c>
      <c r="L291">
        <f t="shared" si="36"/>
        <v>4.0000000000000036</v>
      </c>
      <c r="M291">
        <f t="shared" si="37"/>
        <v>4.9999999999999822</v>
      </c>
      <c r="N291">
        <f t="shared" si="38"/>
        <v>4.0000000000000036</v>
      </c>
      <c r="O291">
        <f t="shared" si="39"/>
        <v>4.0000000000000036</v>
      </c>
      <c r="P291">
        <f t="shared" si="40"/>
        <v>4.9999999999999822</v>
      </c>
      <c r="Q291">
        <f t="shared" si="41"/>
        <v>4.9999999999999822</v>
      </c>
      <c r="R291">
        <f t="shared" si="42"/>
        <v>2.9999999999999361</v>
      </c>
    </row>
    <row r="292" spans="1:18">
      <c r="A292" s="9">
        <v>37130</v>
      </c>
      <c r="B292">
        <v>3.72</v>
      </c>
      <c r="C292">
        <v>4.28</v>
      </c>
      <c r="D292">
        <v>4.74</v>
      </c>
      <c r="E292">
        <v>5.04</v>
      </c>
      <c r="F292">
        <v>5.25</v>
      </c>
      <c r="G292">
        <v>5.54</v>
      </c>
      <c r="H292">
        <v>5.77</v>
      </c>
      <c r="I292">
        <v>6.14</v>
      </c>
      <c r="K292">
        <f t="shared" si="35"/>
        <v>0</v>
      </c>
      <c r="L292">
        <f t="shared" si="36"/>
        <v>0</v>
      </c>
      <c r="M292">
        <f t="shared" si="37"/>
        <v>-0.99999999999997868</v>
      </c>
      <c r="N292">
        <f t="shared" si="38"/>
        <v>-0.99999999999997868</v>
      </c>
      <c r="O292">
        <f t="shared" si="39"/>
        <v>-0.99999999999997868</v>
      </c>
      <c r="P292">
        <f t="shared" si="40"/>
        <v>-0.99999999999997868</v>
      </c>
      <c r="Q292">
        <f t="shared" si="41"/>
        <v>-2.0000000000000462</v>
      </c>
      <c r="R292">
        <f t="shared" si="42"/>
        <v>0</v>
      </c>
    </row>
    <row r="293" spans="1:18">
      <c r="A293" s="9">
        <v>37131</v>
      </c>
      <c r="B293">
        <v>3.65</v>
      </c>
      <c r="C293">
        <v>4.1900000000000004</v>
      </c>
      <c r="D293">
        <v>4.6500000000000004</v>
      </c>
      <c r="E293">
        <v>4.95</v>
      </c>
      <c r="F293">
        <v>5.16</v>
      </c>
      <c r="G293">
        <v>5.44</v>
      </c>
      <c r="H293">
        <v>5.68</v>
      </c>
      <c r="I293">
        <v>6.09</v>
      </c>
      <c r="K293">
        <f t="shared" si="35"/>
        <v>-7.0000000000000284</v>
      </c>
      <c r="L293">
        <f t="shared" si="36"/>
        <v>-8.9999999999999858</v>
      </c>
      <c r="M293">
        <f t="shared" si="37"/>
        <v>-8.9999999999999858</v>
      </c>
      <c r="N293">
        <f t="shared" si="38"/>
        <v>-8.9999999999999858</v>
      </c>
      <c r="O293">
        <f t="shared" si="39"/>
        <v>-8.9999999999999858</v>
      </c>
      <c r="P293">
        <f t="shared" si="40"/>
        <v>-9.9999999999999645</v>
      </c>
      <c r="Q293">
        <f t="shared" si="41"/>
        <v>-8.9999999999999858</v>
      </c>
      <c r="R293">
        <f t="shared" si="42"/>
        <v>-4.9999999999999822</v>
      </c>
    </row>
    <row r="294" spans="1:18">
      <c r="A294" s="9">
        <v>37132</v>
      </c>
      <c r="B294">
        <v>3.61</v>
      </c>
      <c r="C294">
        <v>4.1399999999999997</v>
      </c>
      <c r="D294">
        <v>4.5999999999999996</v>
      </c>
      <c r="E294">
        <v>4.9000000000000004</v>
      </c>
      <c r="F294">
        <v>5.1100000000000003</v>
      </c>
      <c r="G294">
        <v>5.38</v>
      </c>
      <c r="H294">
        <v>5.6</v>
      </c>
      <c r="I294">
        <v>6.02</v>
      </c>
      <c r="K294">
        <f t="shared" si="35"/>
        <v>-4.0000000000000036</v>
      </c>
      <c r="L294">
        <f t="shared" si="36"/>
        <v>-5.0000000000000711</v>
      </c>
      <c r="M294">
        <f t="shared" si="37"/>
        <v>-5.0000000000000711</v>
      </c>
      <c r="N294">
        <f t="shared" si="38"/>
        <v>-4.9999999999999822</v>
      </c>
      <c r="O294">
        <f t="shared" si="39"/>
        <v>-4.9999999999999822</v>
      </c>
      <c r="P294">
        <f t="shared" si="40"/>
        <v>-6.0000000000000497</v>
      </c>
      <c r="Q294">
        <f t="shared" si="41"/>
        <v>-8.0000000000000071</v>
      </c>
      <c r="R294">
        <f t="shared" si="42"/>
        <v>-7.0000000000000284</v>
      </c>
    </row>
    <row r="295" spans="1:18">
      <c r="A295" s="9">
        <v>37133</v>
      </c>
      <c r="B295">
        <v>3.59</v>
      </c>
      <c r="C295">
        <v>4.0999999999999996</v>
      </c>
      <c r="D295">
        <v>4.5599999999999996</v>
      </c>
      <c r="E295">
        <v>4.87</v>
      </c>
      <c r="F295">
        <v>5.08</v>
      </c>
      <c r="G295">
        <v>5.35</v>
      </c>
      <c r="H295">
        <v>5.57</v>
      </c>
      <c r="I295">
        <v>6</v>
      </c>
      <c r="K295">
        <f t="shared" si="35"/>
        <v>-2.0000000000000018</v>
      </c>
      <c r="L295">
        <f t="shared" si="36"/>
        <v>-4.0000000000000036</v>
      </c>
      <c r="M295">
        <f t="shared" si="37"/>
        <v>-4.0000000000000036</v>
      </c>
      <c r="N295">
        <f t="shared" si="38"/>
        <v>-3.0000000000000249</v>
      </c>
      <c r="O295">
        <f t="shared" si="39"/>
        <v>-3.0000000000000249</v>
      </c>
      <c r="P295">
        <f t="shared" si="40"/>
        <v>-3.0000000000000249</v>
      </c>
      <c r="Q295">
        <f t="shared" si="41"/>
        <v>-2.9999999999999361</v>
      </c>
      <c r="R295">
        <f t="shared" si="42"/>
        <v>-1.9999999999999574</v>
      </c>
    </row>
    <row r="296" spans="1:18">
      <c r="A296" s="9">
        <v>37134</v>
      </c>
      <c r="B296">
        <v>3.59</v>
      </c>
      <c r="C296">
        <v>4.12</v>
      </c>
      <c r="D296">
        <v>4.59</v>
      </c>
      <c r="E296">
        <v>4.92</v>
      </c>
      <c r="F296">
        <v>5.14</v>
      </c>
      <c r="G296">
        <v>5.42</v>
      </c>
      <c r="H296">
        <v>5.66</v>
      </c>
      <c r="I296">
        <v>6.05</v>
      </c>
      <c r="K296">
        <f t="shared" si="35"/>
        <v>0</v>
      </c>
      <c r="L296">
        <f t="shared" si="36"/>
        <v>2.0000000000000462</v>
      </c>
      <c r="M296">
        <f t="shared" si="37"/>
        <v>3.0000000000000249</v>
      </c>
      <c r="N296">
        <f t="shared" si="38"/>
        <v>4.9999999999999822</v>
      </c>
      <c r="O296">
        <f t="shared" si="39"/>
        <v>5.9999999999999609</v>
      </c>
      <c r="P296">
        <f t="shared" si="40"/>
        <v>7.0000000000000284</v>
      </c>
      <c r="Q296">
        <f t="shared" si="41"/>
        <v>8.9999999999999858</v>
      </c>
      <c r="R296">
        <f t="shared" si="42"/>
        <v>4.9999999999999822</v>
      </c>
    </row>
    <row r="297" spans="1:18">
      <c r="A297" s="9">
        <v>37138</v>
      </c>
      <c r="B297">
        <v>3.74</v>
      </c>
      <c r="C297">
        <v>4.29</v>
      </c>
      <c r="D297">
        <v>4.74</v>
      </c>
      <c r="E297">
        <v>5.05</v>
      </c>
      <c r="F297">
        <v>5.28</v>
      </c>
      <c r="G297">
        <v>5.55</v>
      </c>
      <c r="H297">
        <v>5.79</v>
      </c>
      <c r="I297">
        <v>6.13</v>
      </c>
      <c r="K297">
        <f t="shared" si="35"/>
        <v>15.000000000000036</v>
      </c>
      <c r="L297">
        <f t="shared" si="36"/>
        <v>16.999999999999993</v>
      </c>
      <c r="M297">
        <f t="shared" si="37"/>
        <v>15.000000000000036</v>
      </c>
      <c r="N297">
        <f t="shared" si="38"/>
        <v>12.999999999999989</v>
      </c>
      <c r="O297">
        <f t="shared" si="39"/>
        <v>14.000000000000057</v>
      </c>
      <c r="P297">
        <f t="shared" si="40"/>
        <v>12.999999999999989</v>
      </c>
      <c r="Q297">
        <f t="shared" si="41"/>
        <v>12.999999999999989</v>
      </c>
      <c r="R297">
        <f t="shared" si="42"/>
        <v>8.0000000000000071</v>
      </c>
    </row>
    <row r="298" spans="1:18">
      <c r="A298" s="9">
        <v>37139</v>
      </c>
      <c r="B298">
        <v>3.73</v>
      </c>
      <c r="C298">
        <v>4.2699999999999996</v>
      </c>
      <c r="D298">
        <v>4.7300000000000004</v>
      </c>
      <c r="E298">
        <v>5.04</v>
      </c>
      <c r="F298">
        <v>5.27</v>
      </c>
      <c r="G298">
        <v>5.55</v>
      </c>
      <c r="H298">
        <v>5.78</v>
      </c>
      <c r="I298">
        <v>6.13</v>
      </c>
      <c r="K298">
        <f t="shared" si="35"/>
        <v>-1.0000000000000231</v>
      </c>
      <c r="L298">
        <f t="shared" si="36"/>
        <v>-2.0000000000000462</v>
      </c>
      <c r="M298">
        <f t="shared" si="37"/>
        <v>-0.99999999999997868</v>
      </c>
      <c r="N298">
        <f t="shared" si="38"/>
        <v>-0.99999999999997868</v>
      </c>
      <c r="O298">
        <f t="shared" si="39"/>
        <v>-1.0000000000000675</v>
      </c>
      <c r="P298">
        <f t="shared" si="40"/>
        <v>0</v>
      </c>
      <c r="Q298">
        <f t="shared" si="41"/>
        <v>-0.99999999999997868</v>
      </c>
      <c r="R298">
        <f t="shared" si="42"/>
        <v>0</v>
      </c>
    </row>
    <row r="299" spans="1:18">
      <c r="A299" s="9">
        <v>37140</v>
      </c>
      <c r="B299">
        <v>3.66</v>
      </c>
      <c r="C299">
        <v>4.1900000000000004</v>
      </c>
      <c r="D299">
        <v>4.6500000000000004</v>
      </c>
      <c r="E299">
        <v>4.96</v>
      </c>
      <c r="F299">
        <v>5.19</v>
      </c>
      <c r="G299">
        <v>5.48</v>
      </c>
      <c r="H299">
        <v>5.72</v>
      </c>
      <c r="I299">
        <v>6.09</v>
      </c>
      <c r="K299">
        <f t="shared" si="35"/>
        <v>-6.999999999999984</v>
      </c>
      <c r="L299">
        <f t="shared" si="36"/>
        <v>-7.9999999999999183</v>
      </c>
      <c r="M299">
        <f t="shared" si="37"/>
        <v>-8.0000000000000071</v>
      </c>
      <c r="N299">
        <f t="shared" si="38"/>
        <v>-8.0000000000000071</v>
      </c>
      <c r="O299">
        <f t="shared" si="39"/>
        <v>-7.9999999999999183</v>
      </c>
      <c r="P299">
        <f t="shared" si="40"/>
        <v>-6.9999999999999396</v>
      </c>
      <c r="Q299">
        <f t="shared" si="41"/>
        <v>-6.0000000000000497</v>
      </c>
      <c r="R299">
        <f t="shared" si="42"/>
        <v>-4.0000000000000036</v>
      </c>
    </row>
    <row r="300" spans="1:18">
      <c r="A300" s="9">
        <v>37141</v>
      </c>
      <c r="B300">
        <v>3.5</v>
      </c>
      <c r="C300">
        <v>4.01</v>
      </c>
      <c r="D300">
        <v>4.47</v>
      </c>
      <c r="E300">
        <v>4.78</v>
      </c>
      <c r="F300">
        <v>5.0199999999999996</v>
      </c>
      <c r="G300">
        <v>5.31</v>
      </c>
      <c r="H300">
        <v>5.56</v>
      </c>
      <c r="I300">
        <v>5.98</v>
      </c>
      <c r="K300">
        <f t="shared" si="35"/>
        <v>-16.000000000000014</v>
      </c>
      <c r="L300">
        <f t="shared" si="36"/>
        <v>-18.00000000000006</v>
      </c>
      <c r="M300">
        <f t="shared" si="37"/>
        <v>-18.00000000000006</v>
      </c>
      <c r="N300">
        <f t="shared" si="38"/>
        <v>-17.999999999999972</v>
      </c>
      <c r="O300">
        <f t="shared" si="39"/>
        <v>-17.000000000000082</v>
      </c>
      <c r="P300">
        <f t="shared" si="40"/>
        <v>-17.000000000000082</v>
      </c>
      <c r="Q300">
        <f t="shared" si="41"/>
        <v>-16.000000000000014</v>
      </c>
      <c r="R300">
        <f t="shared" si="42"/>
        <v>-10.999999999999943</v>
      </c>
    </row>
    <row r="301" spans="1:18">
      <c r="A301" s="9">
        <v>37144</v>
      </c>
      <c r="B301">
        <v>3.47</v>
      </c>
      <c r="C301">
        <v>4.0199999999999996</v>
      </c>
      <c r="D301">
        <v>4.49</v>
      </c>
      <c r="E301">
        <v>4.82</v>
      </c>
      <c r="F301">
        <v>5.0599999999999996</v>
      </c>
      <c r="G301">
        <v>5.36</v>
      </c>
      <c r="H301">
        <v>5.62</v>
      </c>
      <c r="I301">
        <v>6.05</v>
      </c>
      <c r="K301">
        <f t="shared" si="35"/>
        <v>-2.9999999999999805</v>
      </c>
      <c r="L301">
        <f t="shared" si="36"/>
        <v>0.99999999999997868</v>
      </c>
      <c r="M301">
        <f t="shared" si="37"/>
        <v>2.0000000000000462</v>
      </c>
      <c r="N301">
        <f t="shared" si="38"/>
        <v>4.0000000000000036</v>
      </c>
      <c r="O301">
        <f t="shared" si="39"/>
        <v>4.0000000000000036</v>
      </c>
      <c r="P301">
        <f t="shared" si="40"/>
        <v>5.0000000000000711</v>
      </c>
      <c r="Q301">
        <f t="shared" si="41"/>
        <v>6.0000000000000497</v>
      </c>
      <c r="R301">
        <f t="shared" si="42"/>
        <v>6.9999999999999396</v>
      </c>
    </row>
    <row r="302" spans="1:18">
      <c r="A302" s="9">
        <v>37148</v>
      </c>
      <c r="B302">
        <v>3.06</v>
      </c>
      <c r="C302">
        <v>3.62</v>
      </c>
      <c r="D302">
        <v>4.1399999999999997</v>
      </c>
      <c r="E302">
        <v>4.51</v>
      </c>
      <c r="F302">
        <v>4.75</v>
      </c>
      <c r="G302">
        <v>5.13</v>
      </c>
      <c r="H302">
        <v>5.45</v>
      </c>
      <c r="I302">
        <v>6.04</v>
      </c>
      <c r="K302">
        <f t="shared" si="35"/>
        <v>-41.000000000000014</v>
      </c>
      <c r="L302">
        <f t="shared" si="36"/>
        <v>-39.999999999999943</v>
      </c>
      <c r="M302">
        <f t="shared" si="37"/>
        <v>-35.000000000000057</v>
      </c>
      <c r="N302">
        <f t="shared" si="38"/>
        <v>-31.00000000000005</v>
      </c>
      <c r="O302">
        <f t="shared" si="39"/>
        <v>-30.999999999999961</v>
      </c>
      <c r="P302">
        <f t="shared" si="40"/>
        <v>-23.000000000000043</v>
      </c>
      <c r="Q302">
        <f t="shared" si="41"/>
        <v>-16.999999999999993</v>
      </c>
      <c r="R302">
        <f t="shared" si="42"/>
        <v>-0.99999999999997868</v>
      </c>
    </row>
    <row r="303" spans="1:18">
      <c r="A303" s="9">
        <v>37151</v>
      </c>
      <c r="B303">
        <v>3.01</v>
      </c>
      <c r="C303">
        <v>3.61</v>
      </c>
      <c r="D303">
        <v>4.1399999999999997</v>
      </c>
      <c r="E303">
        <v>4.5</v>
      </c>
      <c r="F303">
        <v>4.76</v>
      </c>
      <c r="G303">
        <v>5.13</v>
      </c>
      <c r="H303">
        <v>5.42</v>
      </c>
      <c r="I303">
        <v>6</v>
      </c>
      <c r="K303">
        <f t="shared" si="35"/>
        <v>-5.0000000000000266</v>
      </c>
      <c r="L303">
        <f t="shared" si="36"/>
        <v>-1.0000000000000231</v>
      </c>
      <c r="M303">
        <f t="shared" si="37"/>
        <v>0</v>
      </c>
      <c r="N303">
        <f t="shared" si="38"/>
        <v>-0.99999999999997868</v>
      </c>
      <c r="O303">
        <f t="shared" si="39"/>
        <v>0.99999999999997868</v>
      </c>
      <c r="P303">
        <f t="shared" si="40"/>
        <v>0</v>
      </c>
      <c r="Q303">
        <f t="shared" si="41"/>
        <v>-3.0000000000000249</v>
      </c>
      <c r="R303">
        <f t="shared" si="42"/>
        <v>-4.0000000000000036</v>
      </c>
    </row>
    <row r="304" spans="1:18">
      <c r="A304" s="9">
        <v>37152</v>
      </c>
      <c r="B304">
        <v>2.93</v>
      </c>
      <c r="C304">
        <v>3.63</v>
      </c>
      <c r="D304">
        <v>4.18</v>
      </c>
      <c r="E304">
        <v>4.55</v>
      </c>
      <c r="F304">
        <v>4.82</v>
      </c>
      <c r="G304">
        <v>5.2</v>
      </c>
      <c r="H304">
        <v>5.51</v>
      </c>
      <c r="I304">
        <v>6.1</v>
      </c>
      <c r="K304">
        <f t="shared" si="35"/>
        <v>-7.9999999999999627</v>
      </c>
      <c r="L304">
        <f t="shared" si="36"/>
        <v>2.0000000000000018</v>
      </c>
      <c r="M304">
        <f t="shared" si="37"/>
        <v>4.0000000000000036</v>
      </c>
      <c r="N304">
        <f t="shared" si="38"/>
        <v>4.9999999999999822</v>
      </c>
      <c r="O304">
        <f t="shared" si="39"/>
        <v>6.0000000000000497</v>
      </c>
      <c r="P304">
        <f t="shared" si="40"/>
        <v>7.0000000000000284</v>
      </c>
      <c r="Q304">
        <f t="shared" si="41"/>
        <v>8.9999999999999858</v>
      </c>
      <c r="R304">
        <f t="shared" si="42"/>
        <v>9.9999999999999645</v>
      </c>
    </row>
    <row r="305" spans="1:18">
      <c r="A305" s="9">
        <v>37153</v>
      </c>
      <c r="B305">
        <v>2.78</v>
      </c>
      <c r="C305">
        <v>3.47</v>
      </c>
      <c r="D305">
        <v>4.0199999999999996</v>
      </c>
      <c r="E305">
        <v>4.41</v>
      </c>
      <c r="F305">
        <v>4.6900000000000004</v>
      </c>
      <c r="G305">
        <v>5.0999999999999996</v>
      </c>
      <c r="H305">
        <v>5.45</v>
      </c>
      <c r="I305">
        <v>6.09</v>
      </c>
      <c r="K305">
        <f t="shared" si="35"/>
        <v>-15.000000000000036</v>
      </c>
      <c r="L305">
        <f t="shared" si="36"/>
        <v>-15.99999999999997</v>
      </c>
      <c r="M305">
        <f t="shared" si="37"/>
        <v>-16.000000000000014</v>
      </c>
      <c r="N305">
        <f t="shared" si="38"/>
        <v>-13.999999999999968</v>
      </c>
      <c r="O305">
        <f t="shared" si="39"/>
        <v>-12.999999999999989</v>
      </c>
      <c r="P305">
        <f t="shared" si="40"/>
        <v>-10.000000000000053</v>
      </c>
      <c r="Q305">
        <f t="shared" si="41"/>
        <v>-5.9999999999999609</v>
      </c>
      <c r="R305">
        <f t="shared" si="42"/>
        <v>-0.99999999999997868</v>
      </c>
    </row>
    <row r="306" spans="1:18">
      <c r="A306" s="9">
        <v>37154</v>
      </c>
      <c r="B306">
        <v>2.76</v>
      </c>
      <c r="C306">
        <v>3.48</v>
      </c>
      <c r="D306">
        <v>4.03</v>
      </c>
      <c r="E306">
        <v>4.41</v>
      </c>
      <c r="F306">
        <v>4.68</v>
      </c>
      <c r="G306">
        <v>5.09</v>
      </c>
      <c r="H306">
        <v>5.44</v>
      </c>
      <c r="I306">
        <v>6.06</v>
      </c>
      <c r="K306">
        <f t="shared" si="35"/>
        <v>-2.0000000000000018</v>
      </c>
      <c r="L306">
        <f t="shared" si="36"/>
        <v>0.99999999999997868</v>
      </c>
      <c r="M306">
        <f t="shared" si="37"/>
        <v>1.0000000000000675</v>
      </c>
      <c r="N306">
        <f t="shared" si="38"/>
        <v>0</v>
      </c>
      <c r="O306">
        <f t="shared" si="39"/>
        <v>-1.0000000000000675</v>
      </c>
      <c r="P306">
        <f t="shared" si="40"/>
        <v>-0.99999999999997868</v>
      </c>
      <c r="Q306">
        <f t="shared" si="41"/>
        <v>-0.99999999999997868</v>
      </c>
      <c r="R306">
        <f t="shared" si="42"/>
        <v>-3.0000000000000249</v>
      </c>
    </row>
    <row r="307" spans="1:18">
      <c r="A307" s="9">
        <v>37155</v>
      </c>
      <c r="B307">
        <v>2.73</v>
      </c>
      <c r="C307">
        <v>3.46</v>
      </c>
      <c r="D307">
        <v>4.01</v>
      </c>
      <c r="E307">
        <v>4.37</v>
      </c>
      <c r="F307">
        <v>4.6399999999999997</v>
      </c>
      <c r="G307">
        <v>5.04</v>
      </c>
      <c r="H307">
        <v>5.41</v>
      </c>
      <c r="I307">
        <v>6.09</v>
      </c>
      <c r="K307">
        <f t="shared" si="35"/>
        <v>-2.9999999999999805</v>
      </c>
      <c r="L307">
        <f t="shared" si="36"/>
        <v>-2.0000000000000018</v>
      </c>
      <c r="M307">
        <f t="shared" si="37"/>
        <v>-2.0000000000000462</v>
      </c>
      <c r="N307">
        <f t="shared" si="38"/>
        <v>-4.0000000000000036</v>
      </c>
      <c r="O307">
        <f t="shared" si="39"/>
        <v>-4.0000000000000036</v>
      </c>
      <c r="P307">
        <f t="shared" si="40"/>
        <v>-4.9999999999999822</v>
      </c>
      <c r="Q307">
        <f t="shared" si="41"/>
        <v>-3.0000000000000249</v>
      </c>
      <c r="R307">
        <f t="shared" si="42"/>
        <v>3.0000000000000249</v>
      </c>
    </row>
    <row r="308" spans="1:18">
      <c r="A308" s="9">
        <v>37158</v>
      </c>
      <c r="B308">
        <v>2.76</v>
      </c>
      <c r="C308">
        <v>3.48</v>
      </c>
      <c r="D308">
        <v>4.0199999999999996</v>
      </c>
      <c r="E308">
        <v>4.4000000000000004</v>
      </c>
      <c r="F308">
        <v>4.67</v>
      </c>
      <c r="G308">
        <v>5.07</v>
      </c>
      <c r="H308">
        <v>5.43</v>
      </c>
      <c r="I308">
        <v>6.09</v>
      </c>
      <c r="K308">
        <f t="shared" si="35"/>
        <v>2.9999999999999805</v>
      </c>
      <c r="L308">
        <f t="shared" si="36"/>
        <v>2.0000000000000018</v>
      </c>
      <c r="M308">
        <f t="shared" si="37"/>
        <v>0.99999999999997868</v>
      </c>
      <c r="N308">
        <f t="shared" si="38"/>
        <v>3.0000000000000249</v>
      </c>
      <c r="O308">
        <f t="shared" si="39"/>
        <v>3.0000000000000249</v>
      </c>
      <c r="P308">
        <f t="shared" si="40"/>
        <v>3.0000000000000249</v>
      </c>
      <c r="Q308">
        <f t="shared" si="41"/>
        <v>1.9999999999999574</v>
      </c>
      <c r="R308">
        <f t="shared" si="42"/>
        <v>0</v>
      </c>
    </row>
    <row r="309" spans="1:18">
      <c r="A309" s="9">
        <v>37159</v>
      </c>
      <c r="B309">
        <v>2.68</v>
      </c>
      <c r="C309">
        <v>3.39</v>
      </c>
      <c r="D309">
        <v>3.94</v>
      </c>
      <c r="E309">
        <v>4.3</v>
      </c>
      <c r="F309">
        <v>4.58</v>
      </c>
      <c r="G309">
        <v>4.99</v>
      </c>
      <c r="H309">
        <v>5.36</v>
      </c>
      <c r="I309">
        <v>6.02</v>
      </c>
      <c r="K309">
        <f t="shared" si="35"/>
        <v>-7.9999999999999627</v>
      </c>
      <c r="L309">
        <f t="shared" si="36"/>
        <v>-8.9999999999999858</v>
      </c>
      <c r="M309">
        <f t="shared" si="37"/>
        <v>-7.9999999999999627</v>
      </c>
      <c r="N309">
        <f t="shared" si="38"/>
        <v>-10.000000000000053</v>
      </c>
      <c r="O309">
        <f t="shared" si="39"/>
        <v>-8.9999999999999858</v>
      </c>
      <c r="P309">
        <f t="shared" si="40"/>
        <v>-8.0000000000000071</v>
      </c>
      <c r="Q309">
        <f t="shared" si="41"/>
        <v>-6.9999999999999396</v>
      </c>
      <c r="R309">
        <f t="shared" si="42"/>
        <v>-7.0000000000000284</v>
      </c>
    </row>
    <row r="310" spans="1:18">
      <c r="A310" s="9">
        <v>37160</v>
      </c>
      <c r="B310">
        <v>2.69</v>
      </c>
      <c r="C310">
        <v>3.4</v>
      </c>
      <c r="D310">
        <v>3.96</v>
      </c>
      <c r="E310">
        <v>4.33</v>
      </c>
      <c r="F310">
        <v>4.6100000000000003</v>
      </c>
      <c r="G310">
        <v>5.0199999999999996</v>
      </c>
      <c r="H310">
        <v>5.37</v>
      </c>
      <c r="I310">
        <v>6.03</v>
      </c>
      <c r="K310">
        <f t="shared" si="35"/>
        <v>0.99999999999997868</v>
      </c>
      <c r="L310">
        <f t="shared" si="36"/>
        <v>0.99999999999997868</v>
      </c>
      <c r="M310">
        <f t="shared" si="37"/>
        <v>2.0000000000000018</v>
      </c>
      <c r="N310">
        <f t="shared" si="38"/>
        <v>3.0000000000000249</v>
      </c>
      <c r="O310">
        <f t="shared" si="39"/>
        <v>3.0000000000000249</v>
      </c>
      <c r="P310">
        <f t="shared" si="40"/>
        <v>2.9999999999999361</v>
      </c>
      <c r="Q310">
        <f t="shared" si="41"/>
        <v>0.99999999999997868</v>
      </c>
      <c r="R310">
        <f t="shared" si="42"/>
        <v>1.0000000000000675</v>
      </c>
    </row>
    <row r="311" spans="1:18">
      <c r="A311" s="9">
        <v>37161</v>
      </c>
      <c r="B311">
        <v>2.63</v>
      </c>
      <c r="C311">
        <v>3.29</v>
      </c>
      <c r="D311">
        <v>3.84</v>
      </c>
      <c r="E311">
        <v>4.22</v>
      </c>
      <c r="F311">
        <v>4.5</v>
      </c>
      <c r="G311">
        <v>4.91</v>
      </c>
      <c r="H311">
        <v>5.26</v>
      </c>
      <c r="I311">
        <v>5.94</v>
      </c>
      <c r="K311">
        <f t="shared" si="35"/>
        <v>-6.0000000000000053</v>
      </c>
      <c r="L311">
        <f t="shared" si="36"/>
        <v>-10.999999999999988</v>
      </c>
      <c r="M311">
        <f t="shared" si="37"/>
        <v>-12.000000000000011</v>
      </c>
      <c r="N311">
        <f t="shared" si="38"/>
        <v>-11.000000000000032</v>
      </c>
      <c r="O311">
        <f t="shared" si="39"/>
        <v>-11.000000000000032</v>
      </c>
      <c r="P311">
        <f t="shared" si="40"/>
        <v>-10.999999999999943</v>
      </c>
      <c r="Q311">
        <f t="shared" si="41"/>
        <v>-11.000000000000032</v>
      </c>
      <c r="R311">
        <f t="shared" si="42"/>
        <v>-8.9999999999999858</v>
      </c>
    </row>
    <row r="312" spans="1:18">
      <c r="A312" s="9">
        <v>37162</v>
      </c>
      <c r="B312">
        <v>2.71</v>
      </c>
      <c r="C312">
        <v>3.36</v>
      </c>
      <c r="D312">
        <v>3.89</v>
      </c>
      <c r="E312">
        <v>4.26</v>
      </c>
      <c r="F312">
        <v>4.62</v>
      </c>
      <c r="G312">
        <v>4.9000000000000004</v>
      </c>
      <c r="H312">
        <v>5.23</v>
      </c>
      <c r="I312">
        <v>5.88</v>
      </c>
      <c r="K312">
        <f t="shared" si="35"/>
        <v>8.0000000000000071</v>
      </c>
      <c r="L312">
        <f t="shared" si="36"/>
        <v>6.999999999999984</v>
      </c>
      <c r="M312">
        <f t="shared" si="37"/>
        <v>5.0000000000000266</v>
      </c>
      <c r="N312">
        <f t="shared" si="38"/>
        <v>4.0000000000000036</v>
      </c>
      <c r="O312">
        <f t="shared" si="39"/>
        <v>12.000000000000011</v>
      </c>
      <c r="P312">
        <f t="shared" si="40"/>
        <v>-0.99999999999997868</v>
      </c>
      <c r="Q312">
        <f t="shared" si="41"/>
        <v>-2.9999999999999361</v>
      </c>
      <c r="R312">
        <f t="shared" si="42"/>
        <v>-6.0000000000000497</v>
      </c>
    </row>
    <row r="313" spans="1:18">
      <c r="A313" s="9">
        <v>37165</v>
      </c>
      <c r="B313">
        <v>2.68</v>
      </c>
      <c r="C313">
        <v>3.35</v>
      </c>
      <c r="D313">
        <v>3.89</v>
      </c>
      <c r="E313">
        <v>4.2699999999999996</v>
      </c>
      <c r="F313">
        <v>4.54</v>
      </c>
      <c r="G313">
        <v>4.92</v>
      </c>
      <c r="H313">
        <v>5.25</v>
      </c>
      <c r="I313">
        <v>5.92</v>
      </c>
      <c r="K313">
        <f t="shared" si="35"/>
        <v>-2.9999999999999805</v>
      </c>
      <c r="L313">
        <f t="shared" si="36"/>
        <v>-0.99999999999997868</v>
      </c>
      <c r="M313">
        <f t="shared" si="37"/>
        <v>0</v>
      </c>
      <c r="N313">
        <f t="shared" si="38"/>
        <v>0.99999999999997868</v>
      </c>
      <c r="O313">
        <f t="shared" si="39"/>
        <v>-8.0000000000000071</v>
      </c>
      <c r="P313">
        <f t="shared" si="40"/>
        <v>1.9999999999999574</v>
      </c>
      <c r="Q313">
        <f t="shared" si="41"/>
        <v>1.9999999999999574</v>
      </c>
      <c r="R313">
        <f t="shared" si="42"/>
        <v>4.0000000000000036</v>
      </c>
    </row>
    <row r="314" spans="1:18">
      <c r="A314" s="9">
        <v>37166</v>
      </c>
      <c r="B314">
        <v>2.66</v>
      </c>
      <c r="C314">
        <v>3.33</v>
      </c>
      <c r="D314">
        <v>3.87</v>
      </c>
      <c r="E314">
        <v>4.25</v>
      </c>
      <c r="F314">
        <v>4.53</v>
      </c>
      <c r="G314">
        <v>4.8899999999999997</v>
      </c>
      <c r="H314">
        <v>5.21</v>
      </c>
      <c r="I314">
        <v>5.84</v>
      </c>
      <c r="K314">
        <f t="shared" si="35"/>
        <v>-2.0000000000000018</v>
      </c>
      <c r="L314">
        <f t="shared" si="36"/>
        <v>-2.0000000000000018</v>
      </c>
      <c r="M314">
        <f t="shared" si="37"/>
        <v>-2.0000000000000018</v>
      </c>
      <c r="N314">
        <f t="shared" si="38"/>
        <v>-1.9999999999999574</v>
      </c>
      <c r="O314">
        <f t="shared" si="39"/>
        <v>-0.99999999999997868</v>
      </c>
      <c r="P314">
        <f t="shared" si="40"/>
        <v>-3.0000000000000249</v>
      </c>
      <c r="Q314">
        <f t="shared" si="41"/>
        <v>-4.0000000000000036</v>
      </c>
      <c r="R314">
        <f t="shared" si="42"/>
        <v>-8.0000000000000071</v>
      </c>
    </row>
    <row r="315" spans="1:18">
      <c r="A315" s="9">
        <v>37167</v>
      </c>
      <c r="B315">
        <v>2.5499999999999998</v>
      </c>
      <c r="C315">
        <v>3.21</v>
      </c>
      <c r="D315">
        <v>3.77</v>
      </c>
      <c r="E315">
        <v>4.17</v>
      </c>
      <c r="F315">
        <v>4.4400000000000004</v>
      </c>
      <c r="G315">
        <v>4.82</v>
      </c>
      <c r="H315">
        <v>5.15</v>
      </c>
      <c r="I315">
        <v>5.75</v>
      </c>
      <c r="K315">
        <f t="shared" si="35"/>
        <v>-11.000000000000032</v>
      </c>
      <c r="L315">
        <f t="shared" si="36"/>
        <v>-12.000000000000011</v>
      </c>
      <c r="M315">
        <f t="shared" si="37"/>
        <v>-10.000000000000009</v>
      </c>
      <c r="N315">
        <f t="shared" si="38"/>
        <v>-8.0000000000000071</v>
      </c>
      <c r="O315">
        <f t="shared" si="39"/>
        <v>-8.9999999999999858</v>
      </c>
      <c r="P315">
        <f t="shared" si="40"/>
        <v>-6.9999999999999396</v>
      </c>
      <c r="Q315">
        <f t="shared" si="41"/>
        <v>-5.9999999999999609</v>
      </c>
      <c r="R315">
        <f t="shared" si="42"/>
        <v>-8.9999999999999858</v>
      </c>
    </row>
    <row r="316" spans="1:18">
      <c r="A316" s="9">
        <v>37168</v>
      </c>
      <c r="B316">
        <v>2.56</v>
      </c>
      <c r="C316">
        <v>3.23</v>
      </c>
      <c r="D316">
        <v>3.81</v>
      </c>
      <c r="E316">
        <v>4.2</v>
      </c>
      <c r="F316">
        <v>4.47</v>
      </c>
      <c r="G316">
        <v>4.83</v>
      </c>
      <c r="H316">
        <v>5.15</v>
      </c>
      <c r="I316">
        <v>5.79</v>
      </c>
      <c r="K316">
        <f t="shared" si="35"/>
        <v>1.0000000000000231</v>
      </c>
      <c r="L316">
        <f t="shared" si="36"/>
        <v>2.0000000000000018</v>
      </c>
      <c r="M316">
        <f t="shared" si="37"/>
        <v>4.0000000000000036</v>
      </c>
      <c r="N316">
        <f t="shared" si="38"/>
        <v>3.0000000000000249</v>
      </c>
      <c r="O316">
        <f t="shared" si="39"/>
        <v>2.9999999999999361</v>
      </c>
      <c r="P316">
        <f t="shared" si="40"/>
        <v>0.99999999999997868</v>
      </c>
      <c r="Q316">
        <f t="shared" si="41"/>
        <v>0</v>
      </c>
      <c r="R316">
        <f t="shared" si="42"/>
        <v>4.0000000000000036</v>
      </c>
    </row>
    <row r="317" spans="1:18">
      <c r="A317" s="9">
        <v>37169</v>
      </c>
      <c r="B317">
        <v>2.5</v>
      </c>
      <c r="C317">
        <v>3.17</v>
      </c>
      <c r="D317">
        <v>3.77</v>
      </c>
      <c r="E317">
        <v>4.17</v>
      </c>
      <c r="F317">
        <v>4.46</v>
      </c>
      <c r="G317">
        <v>4.84</v>
      </c>
      <c r="H317">
        <v>5.17</v>
      </c>
      <c r="I317">
        <v>5.79</v>
      </c>
      <c r="K317">
        <f t="shared" si="35"/>
        <v>-6.0000000000000053</v>
      </c>
      <c r="L317">
        <f t="shared" si="36"/>
        <v>-6.0000000000000053</v>
      </c>
      <c r="M317">
        <f t="shared" si="37"/>
        <v>-4.0000000000000036</v>
      </c>
      <c r="N317">
        <f t="shared" si="38"/>
        <v>-3.0000000000000249</v>
      </c>
      <c r="O317">
        <f t="shared" si="39"/>
        <v>-0.99999999999997868</v>
      </c>
      <c r="P317">
        <f t="shared" si="40"/>
        <v>0.99999999999997868</v>
      </c>
      <c r="Q317">
        <f t="shared" si="41"/>
        <v>1.9999999999999574</v>
      </c>
      <c r="R317">
        <f t="shared" si="42"/>
        <v>0</v>
      </c>
    </row>
    <row r="318" spans="1:18">
      <c r="A318" s="9">
        <v>37173</v>
      </c>
      <c r="B318">
        <v>2.52</v>
      </c>
      <c r="C318">
        <v>3.2</v>
      </c>
      <c r="D318">
        <v>3.8</v>
      </c>
      <c r="E318">
        <v>4.21</v>
      </c>
      <c r="F318">
        <v>4.51</v>
      </c>
      <c r="G318">
        <v>4.92</v>
      </c>
      <c r="H318">
        <v>5.26</v>
      </c>
      <c r="I318">
        <v>5.87</v>
      </c>
      <c r="K318">
        <f t="shared" si="35"/>
        <v>2.0000000000000018</v>
      </c>
      <c r="L318">
        <f t="shared" si="36"/>
        <v>3.0000000000000249</v>
      </c>
      <c r="M318">
        <f t="shared" si="37"/>
        <v>2.9999999999999805</v>
      </c>
      <c r="N318">
        <f t="shared" si="38"/>
        <v>4.0000000000000036</v>
      </c>
      <c r="O318">
        <f t="shared" si="39"/>
        <v>4.9999999999999822</v>
      </c>
      <c r="P318">
        <f t="shared" si="40"/>
        <v>8.0000000000000071</v>
      </c>
      <c r="Q318">
        <f t="shared" si="41"/>
        <v>8.9999999999999858</v>
      </c>
      <c r="R318">
        <f t="shared" si="42"/>
        <v>8.0000000000000071</v>
      </c>
    </row>
    <row r="319" spans="1:18">
      <c r="A319" s="9">
        <v>37174</v>
      </c>
      <c r="B319">
        <v>2.56</v>
      </c>
      <c r="C319">
        <v>3.25</v>
      </c>
      <c r="D319">
        <v>3.85</v>
      </c>
      <c r="E319">
        <v>4.26</v>
      </c>
      <c r="F319">
        <v>4.5599999999999996</v>
      </c>
      <c r="G319">
        <v>4.96</v>
      </c>
      <c r="H319">
        <v>5.31</v>
      </c>
      <c r="I319">
        <v>5.89</v>
      </c>
      <c r="K319">
        <f t="shared" si="35"/>
        <v>4.0000000000000036</v>
      </c>
      <c r="L319">
        <f t="shared" si="36"/>
        <v>4.9999999999999822</v>
      </c>
      <c r="M319">
        <f t="shared" si="37"/>
        <v>5.0000000000000266</v>
      </c>
      <c r="N319">
        <f t="shared" si="38"/>
        <v>4.9999999999999822</v>
      </c>
      <c r="O319">
        <f t="shared" si="39"/>
        <v>4.9999999999999822</v>
      </c>
      <c r="P319">
        <f t="shared" si="40"/>
        <v>4.0000000000000036</v>
      </c>
      <c r="Q319">
        <f t="shared" si="41"/>
        <v>4.9999999999999822</v>
      </c>
      <c r="R319">
        <f t="shared" si="42"/>
        <v>1.9999999999999574</v>
      </c>
    </row>
    <row r="320" spans="1:18">
      <c r="A320" s="9">
        <v>37175</v>
      </c>
      <c r="B320">
        <v>2.61</v>
      </c>
      <c r="C320">
        <v>3.32</v>
      </c>
      <c r="D320">
        <v>3.91</v>
      </c>
      <c r="E320">
        <v>4.32</v>
      </c>
      <c r="F320">
        <v>4.62</v>
      </c>
      <c r="G320">
        <v>5.0199999999999996</v>
      </c>
      <c r="H320">
        <v>5.36</v>
      </c>
      <c r="I320">
        <v>5.92</v>
      </c>
      <c r="K320">
        <f t="shared" si="35"/>
        <v>4.9999999999999822</v>
      </c>
      <c r="L320">
        <f t="shared" si="36"/>
        <v>6.999999999999984</v>
      </c>
      <c r="M320">
        <f t="shared" si="37"/>
        <v>6.0000000000000053</v>
      </c>
      <c r="N320">
        <f t="shared" si="38"/>
        <v>6.0000000000000497</v>
      </c>
      <c r="O320">
        <f t="shared" si="39"/>
        <v>6.0000000000000497</v>
      </c>
      <c r="P320">
        <f t="shared" si="40"/>
        <v>5.9999999999999609</v>
      </c>
      <c r="Q320">
        <f t="shared" si="41"/>
        <v>5.0000000000000711</v>
      </c>
      <c r="R320">
        <f t="shared" si="42"/>
        <v>3.0000000000000249</v>
      </c>
    </row>
    <row r="321" spans="1:18">
      <c r="A321" s="9">
        <v>37176</v>
      </c>
      <c r="B321">
        <v>2.62</v>
      </c>
      <c r="C321">
        <v>3.33</v>
      </c>
      <c r="D321">
        <v>3.94</v>
      </c>
      <c r="E321">
        <v>4.3499999999999996</v>
      </c>
      <c r="F321">
        <v>4.6500000000000004</v>
      </c>
      <c r="G321">
        <v>5.0599999999999996</v>
      </c>
      <c r="H321">
        <v>5.39</v>
      </c>
      <c r="I321">
        <v>5.95</v>
      </c>
      <c r="K321">
        <f t="shared" si="35"/>
        <v>1.0000000000000231</v>
      </c>
      <c r="L321">
        <f t="shared" si="36"/>
        <v>1.0000000000000231</v>
      </c>
      <c r="M321">
        <f t="shared" si="37"/>
        <v>2.9999999999999805</v>
      </c>
      <c r="N321">
        <f t="shared" si="38"/>
        <v>2.9999999999999361</v>
      </c>
      <c r="O321">
        <f t="shared" si="39"/>
        <v>3.0000000000000249</v>
      </c>
      <c r="P321">
        <f t="shared" si="40"/>
        <v>4.0000000000000036</v>
      </c>
      <c r="Q321">
        <f t="shared" si="41"/>
        <v>2.9999999999999361</v>
      </c>
      <c r="R321">
        <f t="shared" si="42"/>
        <v>3.0000000000000249</v>
      </c>
    </row>
    <row r="322" spans="1:18">
      <c r="A322" s="9">
        <v>37179</v>
      </c>
      <c r="B322">
        <v>2.57</v>
      </c>
      <c r="C322">
        <v>3.28</v>
      </c>
      <c r="D322">
        <v>3.88</v>
      </c>
      <c r="E322">
        <v>4.3</v>
      </c>
      <c r="F322">
        <v>4.5999999999999996</v>
      </c>
      <c r="G322">
        <v>5</v>
      </c>
      <c r="H322">
        <v>5.34</v>
      </c>
      <c r="I322">
        <v>5.94</v>
      </c>
      <c r="K322">
        <f t="shared" si="35"/>
        <v>-5.0000000000000266</v>
      </c>
      <c r="L322">
        <f t="shared" si="36"/>
        <v>-5.0000000000000266</v>
      </c>
      <c r="M322">
        <f t="shared" si="37"/>
        <v>-6.0000000000000053</v>
      </c>
      <c r="N322">
        <f t="shared" si="38"/>
        <v>-4.9999999999999822</v>
      </c>
      <c r="O322">
        <f t="shared" si="39"/>
        <v>-5.0000000000000711</v>
      </c>
      <c r="P322">
        <f t="shared" si="40"/>
        <v>-5.9999999999999609</v>
      </c>
      <c r="Q322">
        <f t="shared" si="41"/>
        <v>-4.9999999999999822</v>
      </c>
      <c r="R322">
        <f t="shared" si="42"/>
        <v>-0.99999999999997868</v>
      </c>
    </row>
    <row r="323" spans="1:18">
      <c r="A323" s="9">
        <v>37180</v>
      </c>
      <c r="B323">
        <v>2.54</v>
      </c>
      <c r="C323">
        <v>3.24</v>
      </c>
      <c r="D323">
        <v>3.83</v>
      </c>
      <c r="E323">
        <v>4.2300000000000004</v>
      </c>
      <c r="F323">
        <v>4.53</v>
      </c>
      <c r="G323">
        <v>4.93</v>
      </c>
      <c r="H323">
        <v>5.26</v>
      </c>
      <c r="I323">
        <v>5.88</v>
      </c>
      <c r="K323">
        <f t="shared" si="35"/>
        <v>-2.9999999999999805</v>
      </c>
      <c r="L323">
        <f t="shared" si="36"/>
        <v>-3.9999999999999591</v>
      </c>
      <c r="M323">
        <f t="shared" si="37"/>
        <v>-4.9999999999999822</v>
      </c>
      <c r="N323">
        <f t="shared" si="38"/>
        <v>-6.9999999999999396</v>
      </c>
      <c r="O323">
        <f t="shared" si="39"/>
        <v>-6.9999999999999396</v>
      </c>
      <c r="P323">
        <f t="shared" si="40"/>
        <v>-7.0000000000000284</v>
      </c>
      <c r="Q323">
        <f t="shared" si="41"/>
        <v>-8.0000000000000071</v>
      </c>
      <c r="R323">
        <f t="shared" si="42"/>
        <v>-6.0000000000000497</v>
      </c>
    </row>
    <row r="324" spans="1:18">
      <c r="A324" s="9">
        <v>37181</v>
      </c>
      <c r="B324">
        <v>2.58</v>
      </c>
      <c r="C324">
        <v>3.26</v>
      </c>
      <c r="D324">
        <v>3.85</v>
      </c>
      <c r="E324">
        <v>4.25</v>
      </c>
      <c r="F324">
        <v>4.53</v>
      </c>
      <c r="G324">
        <v>4.93</v>
      </c>
      <c r="H324">
        <v>5.27</v>
      </c>
      <c r="I324">
        <v>5.87</v>
      </c>
      <c r="K324">
        <f t="shared" si="35"/>
        <v>4.0000000000000036</v>
      </c>
      <c r="L324">
        <f t="shared" si="36"/>
        <v>1.9999999999999574</v>
      </c>
      <c r="M324">
        <f t="shared" si="37"/>
        <v>2.0000000000000018</v>
      </c>
      <c r="N324">
        <f t="shared" si="38"/>
        <v>1.9999999999999574</v>
      </c>
      <c r="O324">
        <f t="shared" si="39"/>
        <v>0</v>
      </c>
      <c r="P324">
        <f t="shared" si="40"/>
        <v>0</v>
      </c>
      <c r="Q324">
        <f t="shared" si="41"/>
        <v>0.99999999999997868</v>
      </c>
      <c r="R324">
        <f t="shared" si="42"/>
        <v>-0.99999999999997868</v>
      </c>
    </row>
    <row r="325" spans="1:18">
      <c r="A325" s="9">
        <v>37182</v>
      </c>
      <c r="B325">
        <v>2.5499999999999998</v>
      </c>
      <c r="C325">
        <v>3.26</v>
      </c>
      <c r="D325">
        <v>3.85</v>
      </c>
      <c r="E325">
        <v>4.24</v>
      </c>
      <c r="F325">
        <v>4.53</v>
      </c>
      <c r="G325">
        <v>4.92</v>
      </c>
      <c r="H325">
        <v>5.25</v>
      </c>
      <c r="I325">
        <v>5.84</v>
      </c>
      <c r="K325">
        <f t="shared" ref="K325:K388" si="43">(B325-B324)*100</f>
        <v>-3.0000000000000249</v>
      </c>
      <c r="L325">
        <f t="shared" ref="L325:L388" si="44">(C325-C324)*100</f>
        <v>0</v>
      </c>
      <c r="M325">
        <f t="shared" ref="M325:M388" si="45">(D325-D324)*100</f>
        <v>0</v>
      </c>
      <c r="N325">
        <f t="shared" ref="N325:N388" si="46">(E325-E324)*100</f>
        <v>-0.99999999999997868</v>
      </c>
      <c r="O325">
        <f t="shared" ref="O325:O388" si="47">(F325-F324)*100</f>
        <v>0</v>
      </c>
      <c r="P325">
        <f t="shared" ref="P325:P388" si="48">(G325-G324)*100</f>
        <v>-0.99999999999997868</v>
      </c>
      <c r="Q325">
        <f t="shared" ref="Q325:Q388" si="49">(H325-H324)*100</f>
        <v>-1.9999999999999574</v>
      </c>
      <c r="R325">
        <f t="shared" ref="R325:R388" si="50">(I325-I324)*100</f>
        <v>-3.0000000000000249</v>
      </c>
    </row>
    <row r="326" spans="1:18">
      <c r="A326" s="9">
        <v>37183</v>
      </c>
      <c r="B326">
        <v>2.5</v>
      </c>
      <c r="C326">
        <v>3.19</v>
      </c>
      <c r="D326">
        <v>3.79</v>
      </c>
      <c r="E326">
        <v>4.2</v>
      </c>
      <c r="F326">
        <v>4.49</v>
      </c>
      <c r="G326">
        <v>4.9000000000000004</v>
      </c>
      <c r="H326">
        <v>5.24</v>
      </c>
      <c r="I326">
        <v>5.84</v>
      </c>
      <c r="K326">
        <f t="shared" si="43"/>
        <v>-4.9999999999999822</v>
      </c>
      <c r="L326">
        <f t="shared" si="44"/>
        <v>-6.999999999999984</v>
      </c>
      <c r="M326">
        <f t="shared" si="45"/>
        <v>-6.0000000000000053</v>
      </c>
      <c r="N326">
        <f t="shared" si="46"/>
        <v>-4.0000000000000036</v>
      </c>
      <c r="O326">
        <f t="shared" si="47"/>
        <v>-4.0000000000000036</v>
      </c>
      <c r="P326">
        <f t="shared" si="48"/>
        <v>-1.9999999999999574</v>
      </c>
      <c r="Q326">
        <f t="shared" si="49"/>
        <v>-0.99999999999997868</v>
      </c>
      <c r="R326">
        <f t="shared" si="50"/>
        <v>0</v>
      </c>
    </row>
    <row r="327" spans="1:18">
      <c r="A327" s="9">
        <v>37186</v>
      </c>
      <c r="B327">
        <v>2.5299999999999998</v>
      </c>
      <c r="C327">
        <v>3.23</v>
      </c>
      <c r="D327">
        <v>3.82</v>
      </c>
      <c r="E327">
        <v>4.2300000000000004</v>
      </c>
      <c r="F327">
        <v>4.53</v>
      </c>
      <c r="G327">
        <v>4.93</v>
      </c>
      <c r="H327">
        <v>5.27</v>
      </c>
      <c r="I327">
        <v>5.85</v>
      </c>
      <c r="K327">
        <f t="shared" si="43"/>
        <v>2.9999999999999805</v>
      </c>
      <c r="L327">
        <f t="shared" si="44"/>
        <v>4.0000000000000036</v>
      </c>
      <c r="M327">
        <f t="shared" si="45"/>
        <v>2.9999999999999805</v>
      </c>
      <c r="N327">
        <f t="shared" si="46"/>
        <v>3.0000000000000249</v>
      </c>
      <c r="O327">
        <f t="shared" si="47"/>
        <v>4.0000000000000036</v>
      </c>
      <c r="P327">
        <f t="shared" si="48"/>
        <v>2.9999999999999361</v>
      </c>
      <c r="Q327">
        <f t="shared" si="49"/>
        <v>2.9999999999999361</v>
      </c>
      <c r="R327">
        <f t="shared" si="50"/>
        <v>0.99999999999997868</v>
      </c>
    </row>
    <row r="328" spans="1:18">
      <c r="A328" s="9">
        <v>37187</v>
      </c>
      <c r="B328">
        <v>2.54</v>
      </c>
      <c r="C328">
        <v>3.26</v>
      </c>
      <c r="D328">
        <v>3.86</v>
      </c>
      <c r="E328">
        <v>4.28</v>
      </c>
      <c r="F328">
        <v>4.58</v>
      </c>
      <c r="G328">
        <v>4.99</v>
      </c>
      <c r="H328">
        <v>5.32</v>
      </c>
      <c r="I328">
        <v>5.9</v>
      </c>
      <c r="K328">
        <f t="shared" si="43"/>
        <v>1.0000000000000231</v>
      </c>
      <c r="L328">
        <f t="shared" si="44"/>
        <v>2.9999999999999805</v>
      </c>
      <c r="M328">
        <f t="shared" si="45"/>
        <v>4.0000000000000036</v>
      </c>
      <c r="N328">
        <f t="shared" si="46"/>
        <v>4.9999999999999822</v>
      </c>
      <c r="O328">
        <f t="shared" si="47"/>
        <v>4.9999999999999822</v>
      </c>
      <c r="P328">
        <f t="shared" si="48"/>
        <v>6.0000000000000497</v>
      </c>
      <c r="Q328">
        <f t="shared" si="49"/>
        <v>5.0000000000000711</v>
      </c>
      <c r="R328">
        <f t="shared" si="50"/>
        <v>5.0000000000000711</v>
      </c>
    </row>
    <row r="329" spans="1:18">
      <c r="A329" s="9">
        <v>37188</v>
      </c>
      <c r="B329">
        <v>2.5099999999999998</v>
      </c>
      <c r="C329">
        <v>3.22</v>
      </c>
      <c r="D329">
        <v>3.83</v>
      </c>
      <c r="E329">
        <v>4.25</v>
      </c>
      <c r="F329">
        <v>4.55</v>
      </c>
      <c r="G329">
        <v>4.96</v>
      </c>
      <c r="H329">
        <v>5.29</v>
      </c>
      <c r="I329">
        <v>5.86</v>
      </c>
      <c r="K329">
        <f t="shared" si="43"/>
        <v>-3.0000000000000249</v>
      </c>
      <c r="L329">
        <f t="shared" si="44"/>
        <v>-3.9999999999999591</v>
      </c>
      <c r="M329">
        <f t="shared" si="45"/>
        <v>-2.9999999999999805</v>
      </c>
      <c r="N329">
        <f t="shared" si="46"/>
        <v>-3.0000000000000249</v>
      </c>
      <c r="O329">
        <f t="shared" si="47"/>
        <v>-3.0000000000000249</v>
      </c>
      <c r="P329">
        <f t="shared" si="48"/>
        <v>-3.0000000000000249</v>
      </c>
      <c r="Q329">
        <f t="shared" si="49"/>
        <v>-3.0000000000000249</v>
      </c>
      <c r="R329">
        <f t="shared" si="50"/>
        <v>-4.0000000000000036</v>
      </c>
    </row>
    <row r="330" spans="1:18">
      <c r="A330" s="9">
        <v>37189</v>
      </c>
      <c r="B330">
        <v>2.41</v>
      </c>
      <c r="C330">
        <v>3.09</v>
      </c>
      <c r="D330">
        <v>3.71</v>
      </c>
      <c r="E330">
        <v>4.1399999999999997</v>
      </c>
      <c r="F330">
        <v>4.45</v>
      </c>
      <c r="G330">
        <v>4.87</v>
      </c>
      <c r="H330">
        <v>5.21</v>
      </c>
      <c r="I330">
        <v>5.81</v>
      </c>
      <c r="K330">
        <f t="shared" si="43"/>
        <v>-9.9999999999999645</v>
      </c>
      <c r="L330">
        <f t="shared" si="44"/>
        <v>-13.000000000000034</v>
      </c>
      <c r="M330">
        <f t="shared" si="45"/>
        <v>-12.000000000000011</v>
      </c>
      <c r="N330">
        <f t="shared" si="46"/>
        <v>-11.000000000000032</v>
      </c>
      <c r="O330">
        <f t="shared" si="47"/>
        <v>-9.9999999999999645</v>
      </c>
      <c r="P330">
        <f t="shared" si="48"/>
        <v>-8.9999999999999858</v>
      </c>
      <c r="Q330">
        <f t="shared" si="49"/>
        <v>-8.0000000000000071</v>
      </c>
      <c r="R330">
        <f t="shared" si="50"/>
        <v>-5.0000000000000711</v>
      </c>
    </row>
    <row r="331" spans="1:18">
      <c r="A331" s="9">
        <v>37190</v>
      </c>
      <c r="B331">
        <v>2.41</v>
      </c>
      <c r="C331">
        <v>3.09</v>
      </c>
      <c r="D331">
        <v>3.72</v>
      </c>
      <c r="E331">
        <v>4.16</v>
      </c>
      <c r="F331">
        <v>4.4800000000000004</v>
      </c>
      <c r="G331">
        <v>4.8899999999999997</v>
      </c>
      <c r="H331">
        <v>5.23</v>
      </c>
      <c r="I331">
        <v>5.84</v>
      </c>
      <c r="K331">
        <f t="shared" si="43"/>
        <v>0</v>
      </c>
      <c r="L331">
        <f t="shared" si="44"/>
        <v>0</v>
      </c>
      <c r="M331">
        <f t="shared" si="45"/>
        <v>1.0000000000000231</v>
      </c>
      <c r="N331">
        <f t="shared" si="46"/>
        <v>2.0000000000000462</v>
      </c>
      <c r="O331">
        <f t="shared" si="47"/>
        <v>3.0000000000000249</v>
      </c>
      <c r="P331">
        <f t="shared" si="48"/>
        <v>1.9999999999999574</v>
      </c>
      <c r="Q331">
        <f t="shared" si="49"/>
        <v>2.0000000000000462</v>
      </c>
      <c r="R331">
        <f t="shared" si="50"/>
        <v>3.0000000000000249</v>
      </c>
    </row>
    <row r="332" spans="1:18">
      <c r="A332" s="9">
        <v>37193</v>
      </c>
      <c r="B332">
        <v>2.37</v>
      </c>
      <c r="C332">
        <v>3.03</v>
      </c>
      <c r="D332">
        <v>3.65</v>
      </c>
      <c r="E332">
        <v>4.09</v>
      </c>
      <c r="F332">
        <v>4.3899999999999997</v>
      </c>
      <c r="G332">
        <v>4.8</v>
      </c>
      <c r="H332">
        <v>5.14</v>
      </c>
      <c r="I332">
        <v>5.75</v>
      </c>
      <c r="K332">
        <f t="shared" si="43"/>
        <v>-4.0000000000000036</v>
      </c>
      <c r="L332">
        <f t="shared" si="44"/>
        <v>-6.0000000000000053</v>
      </c>
      <c r="M332">
        <f t="shared" si="45"/>
        <v>-7.0000000000000284</v>
      </c>
      <c r="N332">
        <f t="shared" si="46"/>
        <v>-7.0000000000000284</v>
      </c>
      <c r="O332">
        <f t="shared" si="47"/>
        <v>-9.0000000000000746</v>
      </c>
      <c r="P332">
        <f t="shared" si="48"/>
        <v>-8.9999999999999858</v>
      </c>
      <c r="Q332">
        <f t="shared" si="49"/>
        <v>-9.0000000000000746</v>
      </c>
      <c r="R332">
        <f t="shared" si="50"/>
        <v>-8.9999999999999858</v>
      </c>
    </row>
    <row r="333" spans="1:18">
      <c r="A333" s="9">
        <v>37194</v>
      </c>
      <c r="B333">
        <v>2.2799999999999998</v>
      </c>
      <c r="C333">
        <v>2.93</v>
      </c>
      <c r="D333">
        <v>3.54</v>
      </c>
      <c r="E333">
        <v>3.99</v>
      </c>
      <c r="F333">
        <v>4.3099999999999996</v>
      </c>
      <c r="G333">
        <v>4.7300000000000004</v>
      </c>
      <c r="H333">
        <v>5.09</v>
      </c>
      <c r="I333">
        <v>5.73</v>
      </c>
      <c r="K333">
        <f t="shared" si="43"/>
        <v>-9.0000000000000302</v>
      </c>
      <c r="L333">
        <f t="shared" si="44"/>
        <v>-9.9999999999999645</v>
      </c>
      <c r="M333">
        <f t="shared" si="45"/>
        <v>-10.999999999999988</v>
      </c>
      <c r="N333">
        <f t="shared" si="46"/>
        <v>-9.9999999999999645</v>
      </c>
      <c r="O333">
        <f t="shared" si="47"/>
        <v>-8.0000000000000071</v>
      </c>
      <c r="P333">
        <f t="shared" si="48"/>
        <v>-6.9999999999999396</v>
      </c>
      <c r="Q333">
        <f t="shared" si="49"/>
        <v>-4.9999999999999822</v>
      </c>
      <c r="R333">
        <f t="shared" si="50"/>
        <v>-1.9999999999999574</v>
      </c>
    </row>
    <row r="334" spans="1:18">
      <c r="A334" s="9">
        <v>37195</v>
      </c>
      <c r="B334">
        <v>2.3199999999999998</v>
      </c>
      <c r="C334">
        <v>2.98</v>
      </c>
      <c r="D334">
        <v>3.59</v>
      </c>
      <c r="E334">
        <v>4.04</v>
      </c>
      <c r="F334">
        <v>4.3499999999999996</v>
      </c>
      <c r="G334">
        <v>4.76</v>
      </c>
      <c r="H334">
        <v>5.08</v>
      </c>
      <c r="I334">
        <v>5.6</v>
      </c>
      <c r="K334">
        <f t="shared" si="43"/>
        <v>4.0000000000000036</v>
      </c>
      <c r="L334">
        <f t="shared" si="44"/>
        <v>4.9999999999999822</v>
      </c>
      <c r="M334">
        <f t="shared" si="45"/>
        <v>4.9999999999999822</v>
      </c>
      <c r="N334">
        <f t="shared" si="46"/>
        <v>4.9999999999999822</v>
      </c>
      <c r="O334">
        <f t="shared" si="47"/>
        <v>4.0000000000000036</v>
      </c>
      <c r="P334">
        <f t="shared" si="48"/>
        <v>2.9999999999999361</v>
      </c>
      <c r="Q334">
        <f t="shared" si="49"/>
        <v>-0.99999999999997868</v>
      </c>
      <c r="R334">
        <f t="shared" si="50"/>
        <v>-13.000000000000078</v>
      </c>
    </row>
    <row r="335" spans="1:18">
      <c r="A335" s="9">
        <v>37196</v>
      </c>
      <c r="B335">
        <v>2.3199999999999998</v>
      </c>
      <c r="C335">
        <v>2.9</v>
      </c>
      <c r="D335">
        <v>3.47</v>
      </c>
      <c r="E335">
        <v>3.87</v>
      </c>
      <c r="F335">
        <v>4.17</v>
      </c>
      <c r="G335">
        <v>4.5199999999999996</v>
      </c>
      <c r="H335">
        <v>4.78</v>
      </c>
      <c r="I335">
        <v>5.35</v>
      </c>
      <c r="K335">
        <f t="shared" si="43"/>
        <v>0</v>
      </c>
      <c r="L335">
        <f t="shared" si="44"/>
        <v>-8.0000000000000071</v>
      </c>
      <c r="M335">
        <f t="shared" si="45"/>
        <v>-11.999999999999966</v>
      </c>
      <c r="N335">
        <f t="shared" si="46"/>
        <v>-16.999999999999993</v>
      </c>
      <c r="O335">
        <f t="shared" si="47"/>
        <v>-17.999999999999972</v>
      </c>
      <c r="P335">
        <f t="shared" si="48"/>
        <v>-24.000000000000021</v>
      </c>
      <c r="Q335">
        <f t="shared" si="49"/>
        <v>-29.999999999999982</v>
      </c>
      <c r="R335">
        <f t="shared" si="50"/>
        <v>-25</v>
      </c>
    </row>
    <row r="336" spans="1:18">
      <c r="A336" s="9">
        <v>37197</v>
      </c>
      <c r="B336">
        <v>2.2799999999999998</v>
      </c>
      <c r="C336">
        <v>2.92</v>
      </c>
      <c r="D336">
        <v>3.52</v>
      </c>
      <c r="E336">
        <v>3.95</v>
      </c>
      <c r="F336">
        <v>4.2699999999999996</v>
      </c>
      <c r="G336">
        <v>4.6500000000000004</v>
      </c>
      <c r="H336">
        <v>4.97</v>
      </c>
      <c r="I336">
        <v>5.54</v>
      </c>
      <c r="K336">
        <f t="shared" si="43"/>
        <v>-4.0000000000000036</v>
      </c>
      <c r="L336">
        <f t="shared" si="44"/>
        <v>2.0000000000000018</v>
      </c>
      <c r="M336">
        <f t="shared" si="45"/>
        <v>4.9999999999999822</v>
      </c>
      <c r="N336">
        <f t="shared" si="46"/>
        <v>8.0000000000000071</v>
      </c>
      <c r="O336">
        <f t="shared" si="47"/>
        <v>9.9999999999999645</v>
      </c>
      <c r="P336">
        <f t="shared" si="48"/>
        <v>13.000000000000078</v>
      </c>
      <c r="Q336">
        <f t="shared" si="49"/>
        <v>18.99999999999995</v>
      </c>
      <c r="R336">
        <f t="shared" si="50"/>
        <v>19.000000000000039</v>
      </c>
    </row>
    <row r="337" spans="1:18">
      <c r="A337" s="9">
        <v>37200</v>
      </c>
      <c r="B337">
        <v>2.25</v>
      </c>
      <c r="C337">
        <v>2.9</v>
      </c>
      <c r="D337">
        <v>3.52</v>
      </c>
      <c r="E337">
        <v>3.97</v>
      </c>
      <c r="F337">
        <v>4.28</v>
      </c>
      <c r="G337">
        <v>4.67</v>
      </c>
      <c r="H337">
        <v>5</v>
      </c>
      <c r="I337">
        <v>5.56</v>
      </c>
      <c r="K337">
        <f t="shared" si="43"/>
        <v>-2.9999999999999805</v>
      </c>
      <c r="L337">
        <f t="shared" si="44"/>
        <v>-2.0000000000000018</v>
      </c>
      <c r="M337">
        <f t="shared" si="45"/>
        <v>0</v>
      </c>
      <c r="N337">
        <f t="shared" si="46"/>
        <v>2.0000000000000018</v>
      </c>
      <c r="O337">
        <f t="shared" si="47"/>
        <v>1.0000000000000675</v>
      </c>
      <c r="P337">
        <f t="shared" si="48"/>
        <v>1.9999999999999574</v>
      </c>
      <c r="Q337">
        <f t="shared" si="49"/>
        <v>3.0000000000000249</v>
      </c>
      <c r="R337">
        <f t="shared" si="50"/>
        <v>1.9999999999999574</v>
      </c>
    </row>
    <row r="338" spans="1:18">
      <c r="A338" s="9">
        <v>37201</v>
      </c>
      <c r="B338">
        <v>2.2599999999999998</v>
      </c>
      <c r="C338">
        <v>2.93</v>
      </c>
      <c r="D338">
        <v>3.53</v>
      </c>
      <c r="E338">
        <v>3.96</v>
      </c>
      <c r="F338">
        <v>4.25</v>
      </c>
      <c r="G338">
        <v>4.62</v>
      </c>
      <c r="H338">
        <v>4.92</v>
      </c>
      <c r="I338">
        <v>5.47</v>
      </c>
      <c r="K338">
        <f t="shared" si="43"/>
        <v>0.99999999999997868</v>
      </c>
      <c r="L338">
        <f t="shared" si="44"/>
        <v>3.0000000000000249</v>
      </c>
      <c r="M338">
        <f t="shared" si="45"/>
        <v>0.99999999999997868</v>
      </c>
      <c r="N338">
        <f t="shared" si="46"/>
        <v>-1.0000000000000231</v>
      </c>
      <c r="O338">
        <f t="shared" si="47"/>
        <v>-3.0000000000000249</v>
      </c>
      <c r="P338">
        <f t="shared" si="48"/>
        <v>-4.9999999999999822</v>
      </c>
      <c r="Q338">
        <f t="shared" si="49"/>
        <v>-8.0000000000000071</v>
      </c>
      <c r="R338">
        <f t="shared" si="50"/>
        <v>-8.9999999999999858</v>
      </c>
    </row>
    <row r="339" spans="1:18">
      <c r="A339" s="9">
        <v>37202</v>
      </c>
      <c r="B339">
        <v>2.08</v>
      </c>
      <c r="C339">
        <v>2.72</v>
      </c>
      <c r="D339">
        <v>3.33</v>
      </c>
      <c r="E339">
        <v>3.77</v>
      </c>
      <c r="F339">
        <v>4.07</v>
      </c>
      <c r="G339">
        <v>4.47</v>
      </c>
      <c r="H339">
        <v>4.8</v>
      </c>
      <c r="I339">
        <v>5.42</v>
      </c>
      <c r="K339">
        <f t="shared" si="43"/>
        <v>-17.999999999999972</v>
      </c>
      <c r="L339">
        <f t="shared" si="44"/>
        <v>-20.999999999999996</v>
      </c>
      <c r="M339">
        <f t="shared" si="45"/>
        <v>-19.999999999999972</v>
      </c>
      <c r="N339">
        <f t="shared" si="46"/>
        <v>-18.999999999999993</v>
      </c>
      <c r="O339">
        <f t="shared" si="47"/>
        <v>-17.999999999999972</v>
      </c>
      <c r="P339">
        <f t="shared" si="48"/>
        <v>-15.000000000000036</v>
      </c>
      <c r="Q339">
        <f t="shared" si="49"/>
        <v>-12.000000000000011</v>
      </c>
      <c r="R339">
        <f t="shared" si="50"/>
        <v>-4.9999999999999822</v>
      </c>
    </row>
    <row r="340" spans="1:18">
      <c r="A340" s="9">
        <v>37203</v>
      </c>
      <c r="B340">
        <v>2.13</v>
      </c>
      <c r="C340">
        <v>2.78</v>
      </c>
      <c r="D340">
        <v>3.4</v>
      </c>
      <c r="E340">
        <v>3.83</v>
      </c>
      <c r="F340">
        <v>4.13</v>
      </c>
      <c r="G340">
        <v>4.53</v>
      </c>
      <c r="H340">
        <v>4.8600000000000003</v>
      </c>
      <c r="I340">
        <v>5.46</v>
      </c>
      <c r="K340">
        <f t="shared" si="43"/>
        <v>4.9999999999999822</v>
      </c>
      <c r="L340">
        <f t="shared" si="44"/>
        <v>5.9999999999999609</v>
      </c>
      <c r="M340">
        <f t="shared" si="45"/>
        <v>6.999999999999984</v>
      </c>
      <c r="N340">
        <f t="shared" si="46"/>
        <v>6.0000000000000053</v>
      </c>
      <c r="O340">
        <f t="shared" si="47"/>
        <v>5.9999999999999609</v>
      </c>
      <c r="P340">
        <f t="shared" si="48"/>
        <v>6.0000000000000497</v>
      </c>
      <c r="Q340">
        <f t="shared" si="49"/>
        <v>6.0000000000000497</v>
      </c>
      <c r="R340">
        <f t="shared" si="50"/>
        <v>4.0000000000000036</v>
      </c>
    </row>
    <row r="341" spans="1:18">
      <c r="A341" s="9">
        <v>37204</v>
      </c>
      <c r="B341">
        <v>2.15</v>
      </c>
      <c r="C341">
        <v>2.82</v>
      </c>
      <c r="D341">
        <v>3.44</v>
      </c>
      <c r="E341">
        <v>3.87</v>
      </c>
      <c r="F341">
        <v>4.17</v>
      </c>
      <c r="G341">
        <v>4.5599999999999996</v>
      </c>
      <c r="H341">
        <v>4.87</v>
      </c>
      <c r="I341">
        <v>5.46</v>
      </c>
      <c r="K341">
        <f t="shared" si="43"/>
        <v>2.0000000000000018</v>
      </c>
      <c r="L341">
        <f t="shared" si="44"/>
        <v>4.0000000000000036</v>
      </c>
      <c r="M341">
        <f t="shared" si="45"/>
        <v>4.0000000000000036</v>
      </c>
      <c r="N341">
        <f t="shared" si="46"/>
        <v>4.0000000000000036</v>
      </c>
      <c r="O341">
        <f t="shared" si="47"/>
        <v>4.0000000000000036</v>
      </c>
      <c r="P341">
        <f t="shared" si="48"/>
        <v>2.9999999999999361</v>
      </c>
      <c r="Q341">
        <f t="shared" si="49"/>
        <v>0.99999999999997868</v>
      </c>
      <c r="R341">
        <f t="shared" si="50"/>
        <v>0</v>
      </c>
    </row>
    <row r="342" spans="1:18">
      <c r="A342" s="9">
        <v>37208</v>
      </c>
      <c r="B342">
        <v>2.2000000000000002</v>
      </c>
      <c r="C342">
        <v>2.91</v>
      </c>
      <c r="D342">
        <v>3.53</v>
      </c>
      <c r="E342">
        <v>3.97</v>
      </c>
      <c r="F342">
        <v>4.2699999999999996</v>
      </c>
      <c r="G342">
        <v>4.66</v>
      </c>
      <c r="H342">
        <v>4.97</v>
      </c>
      <c r="I342">
        <v>5.51</v>
      </c>
      <c r="K342">
        <f t="shared" si="43"/>
        <v>5.0000000000000266</v>
      </c>
      <c r="L342">
        <f t="shared" si="44"/>
        <v>9.0000000000000302</v>
      </c>
      <c r="M342">
        <f t="shared" si="45"/>
        <v>8.9999999999999858</v>
      </c>
      <c r="N342">
        <f t="shared" si="46"/>
        <v>10.000000000000009</v>
      </c>
      <c r="O342">
        <f t="shared" si="47"/>
        <v>9.9999999999999645</v>
      </c>
      <c r="P342">
        <f t="shared" si="48"/>
        <v>10.000000000000053</v>
      </c>
      <c r="Q342">
        <f t="shared" si="49"/>
        <v>9.9999999999999645</v>
      </c>
      <c r="R342">
        <f t="shared" si="50"/>
        <v>4.9999999999999822</v>
      </c>
    </row>
    <row r="343" spans="1:18">
      <c r="A343" s="9">
        <v>37209</v>
      </c>
      <c r="B343">
        <v>2.2599999999999998</v>
      </c>
      <c r="C343">
        <v>3.01</v>
      </c>
      <c r="D343">
        <v>3.63</v>
      </c>
      <c r="E343">
        <v>4.05</v>
      </c>
      <c r="F343">
        <v>4.34</v>
      </c>
      <c r="G343">
        <v>4.72</v>
      </c>
      <c r="H343">
        <v>5.01</v>
      </c>
      <c r="I343">
        <v>5.54</v>
      </c>
      <c r="K343">
        <f t="shared" si="43"/>
        <v>5.9999999999999609</v>
      </c>
      <c r="L343">
        <f t="shared" si="44"/>
        <v>9.9999999999999645</v>
      </c>
      <c r="M343">
        <f t="shared" si="45"/>
        <v>10.000000000000009</v>
      </c>
      <c r="N343">
        <f t="shared" si="46"/>
        <v>7.9999999999999627</v>
      </c>
      <c r="O343">
        <f t="shared" si="47"/>
        <v>7.0000000000000284</v>
      </c>
      <c r="P343">
        <f t="shared" si="48"/>
        <v>5.9999999999999609</v>
      </c>
      <c r="Q343">
        <f t="shared" si="49"/>
        <v>4.0000000000000036</v>
      </c>
      <c r="R343">
        <f t="shared" si="50"/>
        <v>3.0000000000000249</v>
      </c>
    </row>
    <row r="344" spans="1:18">
      <c r="A344" s="9">
        <v>37210</v>
      </c>
      <c r="B344">
        <v>2.4500000000000002</v>
      </c>
      <c r="C344">
        <v>3.26</v>
      </c>
      <c r="D344">
        <v>3.87</v>
      </c>
      <c r="E344">
        <v>4.28</v>
      </c>
      <c r="F344">
        <v>4.57</v>
      </c>
      <c r="G344">
        <v>4.92</v>
      </c>
      <c r="H344">
        <v>5.21</v>
      </c>
      <c r="I344">
        <v>5.69</v>
      </c>
      <c r="K344">
        <f t="shared" si="43"/>
        <v>19.000000000000039</v>
      </c>
      <c r="L344">
        <f t="shared" si="44"/>
        <v>25</v>
      </c>
      <c r="M344">
        <f t="shared" si="45"/>
        <v>24.000000000000021</v>
      </c>
      <c r="N344">
        <f t="shared" si="46"/>
        <v>23.000000000000043</v>
      </c>
      <c r="O344">
        <f t="shared" si="47"/>
        <v>23.000000000000043</v>
      </c>
      <c r="P344">
        <f t="shared" si="48"/>
        <v>20.000000000000018</v>
      </c>
      <c r="Q344">
        <f t="shared" si="49"/>
        <v>20.000000000000018</v>
      </c>
      <c r="R344">
        <f t="shared" si="50"/>
        <v>15.000000000000036</v>
      </c>
    </row>
    <row r="345" spans="1:18">
      <c r="A345" s="9">
        <v>37211</v>
      </c>
      <c r="B345">
        <v>2.58</v>
      </c>
      <c r="C345">
        <v>3.45</v>
      </c>
      <c r="D345">
        <v>4.09</v>
      </c>
      <c r="E345">
        <v>4.5</v>
      </c>
      <c r="F345">
        <v>4.78</v>
      </c>
      <c r="G345">
        <v>5.14</v>
      </c>
      <c r="H345">
        <v>5.43</v>
      </c>
      <c r="I345">
        <v>5.87</v>
      </c>
      <c r="K345">
        <f t="shared" si="43"/>
        <v>12.999999999999989</v>
      </c>
      <c r="L345">
        <f t="shared" si="44"/>
        <v>19.000000000000039</v>
      </c>
      <c r="M345">
        <f t="shared" si="45"/>
        <v>21.999999999999975</v>
      </c>
      <c r="N345">
        <f t="shared" si="46"/>
        <v>21.999999999999975</v>
      </c>
      <c r="O345">
        <f t="shared" si="47"/>
        <v>20.999999999999996</v>
      </c>
      <c r="P345">
        <f t="shared" si="48"/>
        <v>21.999999999999975</v>
      </c>
      <c r="Q345">
        <f t="shared" si="49"/>
        <v>21.999999999999975</v>
      </c>
      <c r="R345">
        <f t="shared" si="50"/>
        <v>17.999999999999972</v>
      </c>
    </row>
    <row r="346" spans="1:18">
      <c r="A346" s="9">
        <v>37214</v>
      </c>
      <c r="B346">
        <v>2.54</v>
      </c>
      <c r="C346">
        <v>3.39</v>
      </c>
      <c r="D346">
        <v>4.05</v>
      </c>
      <c r="E346">
        <v>4.4800000000000004</v>
      </c>
      <c r="F346">
        <v>4.79</v>
      </c>
      <c r="G346">
        <v>5.16</v>
      </c>
      <c r="H346">
        <v>5.44</v>
      </c>
      <c r="I346">
        <v>5.86</v>
      </c>
      <c r="K346">
        <f t="shared" si="43"/>
        <v>-4.0000000000000036</v>
      </c>
      <c r="L346">
        <f t="shared" si="44"/>
        <v>-6.0000000000000053</v>
      </c>
      <c r="M346">
        <f t="shared" si="45"/>
        <v>-4.0000000000000036</v>
      </c>
      <c r="N346">
        <f t="shared" si="46"/>
        <v>-1.9999999999999574</v>
      </c>
      <c r="O346">
        <f t="shared" si="47"/>
        <v>0.99999999999997868</v>
      </c>
      <c r="P346">
        <f t="shared" si="48"/>
        <v>2.0000000000000462</v>
      </c>
      <c r="Q346">
        <f t="shared" si="49"/>
        <v>1.0000000000000675</v>
      </c>
      <c r="R346">
        <f t="shared" si="50"/>
        <v>-0.99999999999997868</v>
      </c>
    </row>
    <row r="347" spans="1:18">
      <c r="A347" s="9">
        <v>37215</v>
      </c>
      <c r="B347">
        <v>2.4900000000000002</v>
      </c>
      <c r="C347">
        <v>3.32</v>
      </c>
      <c r="D347">
        <v>3.98</v>
      </c>
      <c r="E347">
        <v>4.42</v>
      </c>
      <c r="F347">
        <v>4.7300000000000004</v>
      </c>
      <c r="G347">
        <v>5.12</v>
      </c>
      <c r="H347">
        <v>5.43</v>
      </c>
      <c r="I347">
        <v>5.88</v>
      </c>
      <c r="K347">
        <f t="shared" si="43"/>
        <v>-4.9999999999999822</v>
      </c>
      <c r="L347">
        <f t="shared" si="44"/>
        <v>-7.0000000000000284</v>
      </c>
      <c r="M347">
        <f t="shared" si="45"/>
        <v>-6.999999999999984</v>
      </c>
      <c r="N347">
        <f t="shared" si="46"/>
        <v>-6.0000000000000497</v>
      </c>
      <c r="O347">
        <f t="shared" si="47"/>
        <v>-5.9999999999999609</v>
      </c>
      <c r="P347">
        <f t="shared" si="48"/>
        <v>-4.0000000000000036</v>
      </c>
      <c r="Q347">
        <f t="shared" si="49"/>
        <v>-1.0000000000000675</v>
      </c>
      <c r="R347">
        <f t="shared" si="50"/>
        <v>1.9999999999999574</v>
      </c>
    </row>
    <row r="348" spans="1:18">
      <c r="A348" s="9">
        <v>37216</v>
      </c>
      <c r="B348">
        <v>2.63</v>
      </c>
      <c r="C348">
        <v>3.54</v>
      </c>
      <c r="D348">
        <v>4.21</v>
      </c>
      <c r="E348">
        <v>4.67</v>
      </c>
      <c r="F348">
        <v>4.9800000000000004</v>
      </c>
      <c r="G348">
        <v>5.35</v>
      </c>
      <c r="H348">
        <v>5.66</v>
      </c>
      <c r="I348">
        <v>6.06</v>
      </c>
      <c r="K348">
        <f t="shared" si="43"/>
        <v>13.999999999999968</v>
      </c>
      <c r="L348">
        <f t="shared" si="44"/>
        <v>22.000000000000021</v>
      </c>
      <c r="M348">
        <f t="shared" si="45"/>
        <v>23</v>
      </c>
      <c r="N348">
        <f t="shared" si="46"/>
        <v>25</v>
      </c>
      <c r="O348">
        <f t="shared" si="47"/>
        <v>25</v>
      </c>
      <c r="P348">
        <f t="shared" si="48"/>
        <v>22.999999999999954</v>
      </c>
      <c r="Q348">
        <f t="shared" si="49"/>
        <v>23.000000000000043</v>
      </c>
      <c r="R348">
        <f t="shared" si="50"/>
        <v>17.999999999999972</v>
      </c>
    </row>
    <row r="349" spans="1:18">
      <c r="A349" s="9">
        <v>37218</v>
      </c>
      <c r="B349">
        <v>2.67</v>
      </c>
      <c r="C349">
        <v>3.58</v>
      </c>
      <c r="D349">
        <v>4.25</v>
      </c>
      <c r="E349">
        <v>4.68</v>
      </c>
      <c r="F349">
        <v>4.9800000000000004</v>
      </c>
      <c r="G349">
        <v>5.35</v>
      </c>
      <c r="H349">
        <v>5.64</v>
      </c>
      <c r="I349">
        <v>6.02</v>
      </c>
      <c r="K349">
        <f t="shared" si="43"/>
        <v>4.0000000000000036</v>
      </c>
      <c r="L349">
        <f t="shared" si="44"/>
        <v>4.0000000000000036</v>
      </c>
      <c r="M349">
        <f t="shared" si="45"/>
        <v>4.0000000000000036</v>
      </c>
      <c r="N349">
        <f t="shared" si="46"/>
        <v>0.99999999999997868</v>
      </c>
      <c r="O349">
        <f t="shared" si="47"/>
        <v>0</v>
      </c>
      <c r="P349">
        <f t="shared" si="48"/>
        <v>0</v>
      </c>
      <c r="Q349">
        <f t="shared" si="49"/>
        <v>-2.0000000000000462</v>
      </c>
      <c r="R349">
        <f t="shared" si="50"/>
        <v>-4.0000000000000036</v>
      </c>
    </row>
    <row r="350" spans="1:18">
      <c r="A350" s="9">
        <v>37221</v>
      </c>
      <c r="B350">
        <v>2.62</v>
      </c>
      <c r="C350">
        <v>3.54</v>
      </c>
      <c r="D350">
        <v>4.21</v>
      </c>
      <c r="E350">
        <v>4.6399999999999997</v>
      </c>
      <c r="F350">
        <v>4.93</v>
      </c>
      <c r="G350">
        <v>5.29</v>
      </c>
      <c r="H350">
        <v>5.57</v>
      </c>
      <c r="I350">
        <v>5.98</v>
      </c>
      <c r="K350">
        <f t="shared" si="43"/>
        <v>-4.9999999999999822</v>
      </c>
      <c r="L350">
        <f t="shared" si="44"/>
        <v>-4.0000000000000036</v>
      </c>
      <c r="M350">
        <f t="shared" si="45"/>
        <v>-4.0000000000000036</v>
      </c>
      <c r="N350">
        <f t="shared" si="46"/>
        <v>-4.0000000000000036</v>
      </c>
      <c r="O350">
        <f t="shared" si="47"/>
        <v>-5.0000000000000711</v>
      </c>
      <c r="P350">
        <f t="shared" si="48"/>
        <v>-5.9999999999999609</v>
      </c>
      <c r="Q350">
        <f t="shared" si="49"/>
        <v>-6.9999999999999396</v>
      </c>
      <c r="R350">
        <f t="shared" si="50"/>
        <v>-3.9999999999999147</v>
      </c>
    </row>
    <row r="351" spans="1:18">
      <c r="A351" s="9">
        <v>37222</v>
      </c>
      <c r="B351">
        <v>2.74</v>
      </c>
      <c r="C351">
        <v>3.73</v>
      </c>
      <c r="D351">
        <v>4.4000000000000004</v>
      </c>
      <c r="E351">
        <v>4.83</v>
      </c>
      <c r="F351">
        <v>5.1100000000000003</v>
      </c>
      <c r="G351">
        <v>5.47</v>
      </c>
      <c r="H351">
        <v>5.75</v>
      </c>
      <c r="I351">
        <v>6.12</v>
      </c>
      <c r="K351">
        <f t="shared" si="43"/>
        <v>12.000000000000011</v>
      </c>
      <c r="L351">
        <f t="shared" si="44"/>
        <v>18.999999999999993</v>
      </c>
      <c r="M351">
        <f t="shared" si="45"/>
        <v>19.000000000000039</v>
      </c>
      <c r="N351">
        <f t="shared" si="46"/>
        <v>19.000000000000039</v>
      </c>
      <c r="O351">
        <f t="shared" si="47"/>
        <v>18.00000000000006</v>
      </c>
      <c r="P351">
        <f t="shared" si="48"/>
        <v>17.999999999999972</v>
      </c>
      <c r="Q351">
        <f t="shared" si="49"/>
        <v>17.999999999999972</v>
      </c>
      <c r="R351">
        <f t="shared" si="50"/>
        <v>13.999999999999968</v>
      </c>
    </row>
    <row r="352" spans="1:18">
      <c r="A352" s="9">
        <v>37223</v>
      </c>
      <c r="B352">
        <v>2.48</v>
      </c>
      <c r="C352">
        <v>3.42</v>
      </c>
      <c r="D352">
        <v>4.12</v>
      </c>
      <c r="E352">
        <v>4.58</v>
      </c>
      <c r="F352">
        <v>4.88</v>
      </c>
      <c r="G352">
        <v>5.25</v>
      </c>
      <c r="H352">
        <v>5.56</v>
      </c>
      <c r="I352">
        <v>6.03</v>
      </c>
      <c r="K352">
        <f t="shared" si="43"/>
        <v>-26.000000000000021</v>
      </c>
      <c r="L352">
        <f t="shared" si="44"/>
        <v>-31.000000000000007</v>
      </c>
      <c r="M352">
        <f t="shared" si="45"/>
        <v>-28.000000000000025</v>
      </c>
      <c r="N352">
        <f t="shared" si="46"/>
        <v>-25</v>
      </c>
      <c r="O352">
        <f t="shared" si="47"/>
        <v>-23.000000000000043</v>
      </c>
      <c r="P352">
        <f t="shared" si="48"/>
        <v>-21.999999999999975</v>
      </c>
      <c r="Q352">
        <f t="shared" si="49"/>
        <v>-19.000000000000039</v>
      </c>
      <c r="R352">
        <f t="shared" si="50"/>
        <v>-8.9999999999999858</v>
      </c>
    </row>
    <row r="353" spans="1:18">
      <c r="A353" s="9">
        <v>37224</v>
      </c>
      <c r="B353">
        <v>2.4900000000000002</v>
      </c>
      <c r="C353">
        <v>3.49</v>
      </c>
      <c r="D353">
        <v>4.2</v>
      </c>
      <c r="E353">
        <v>4.6500000000000004</v>
      </c>
      <c r="F353">
        <v>4.95</v>
      </c>
      <c r="G353">
        <v>5.33</v>
      </c>
      <c r="H353">
        <v>5.63</v>
      </c>
      <c r="I353">
        <v>6.07</v>
      </c>
      <c r="K353">
        <f t="shared" si="43"/>
        <v>1.0000000000000231</v>
      </c>
      <c r="L353">
        <f t="shared" si="44"/>
        <v>7.0000000000000284</v>
      </c>
      <c r="M353">
        <f t="shared" si="45"/>
        <v>8.0000000000000071</v>
      </c>
      <c r="N353">
        <f t="shared" si="46"/>
        <v>7.0000000000000284</v>
      </c>
      <c r="O353">
        <f t="shared" si="47"/>
        <v>7.0000000000000284</v>
      </c>
      <c r="P353">
        <f t="shared" si="48"/>
        <v>8.0000000000000071</v>
      </c>
      <c r="Q353">
        <f t="shared" si="49"/>
        <v>7.0000000000000284</v>
      </c>
      <c r="R353">
        <f t="shared" si="50"/>
        <v>4.0000000000000036</v>
      </c>
    </row>
    <row r="354" spans="1:18">
      <c r="A354" s="9">
        <v>37225</v>
      </c>
      <c r="B354">
        <v>2.38</v>
      </c>
      <c r="C354">
        <v>3.34</v>
      </c>
      <c r="D354">
        <v>4.04</v>
      </c>
      <c r="E354">
        <v>4.4800000000000004</v>
      </c>
      <c r="F354">
        <v>4.7699999999999996</v>
      </c>
      <c r="G354">
        <v>5.16</v>
      </c>
      <c r="H354">
        <v>5.46</v>
      </c>
      <c r="I354">
        <v>5.94</v>
      </c>
      <c r="K354">
        <f t="shared" si="43"/>
        <v>-11.000000000000032</v>
      </c>
      <c r="L354">
        <f t="shared" si="44"/>
        <v>-15.000000000000036</v>
      </c>
      <c r="M354">
        <f t="shared" si="45"/>
        <v>-16.000000000000014</v>
      </c>
      <c r="N354">
        <f t="shared" si="46"/>
        <v>-16.999999999999993</v>
      </c>
      <c r="O354">
        <f t="shared" si="47"/>
        <v>-18.00000000000006</v>
      </c>
      <c r="P354">
        <f t="shared" si="48"/>
        <v>-16.999999999999993</v>
      </c>
      <c r="Q354">
        <f t="shared" si="49"/>
        <v>-16.999999999999993</v>
      </c>
      <c r="R354">
        <f t="shared" si="50"/>
        <v>-12.999999999999989</v>
      </c>
    </row>
    <row r="355" spans="1:18">
      <c r="A355" s="9">
        <v>37228</v>
      </c>
      <c r="B355">
        <v>2.35</v>
      </c>
      <c r="C355">
        <v>3.31</v>
      </c>
      <c r="D355">
        <v>4</v>
      </c>
      <c r="E355">
        <v>4.43</v>
      </c>
      <c r="F355">
        <v>4.7300000000000004</v>
      </c>
      <c r="G355">
        <v>5.12</v>
      </c>
      <c r="H355">
        <v>5.44</v>
      </c>
      <c r="I355">
        <v>5.96</v>
      </c>
      <c r="K355">
        <f t="shared" si="43"/>
        <v>-2.9999999999999805</v>
      </c>
      <c r="L355">
        <f t="shared" si="44"/>
        <v>-2.9999999999999805</v>
      </c>
      <c r="M355">
        <f t="shared" si="45"/>
        <v>-4.0000000000000036</v>
      </c>
      <c r="N355">
        <f t="shared" si="46"/>
        <v>-5.0000000000000711</v>
      </c>
      <c r="O355">
        <f t="shared" si="47"/>
        <v>-3.9999999999999147</v>
      </c>
      <c r="P355">
        <f t="shared" si="48"/>
        <v>-4.0000000000000036</v>
      </c>
      <c r="Q355">
        <f t="shared" si="49"/>
        <v>-1.9999999999999574</v>
      </c>
      <c r="R355">
        <f t="shared" si="50"/>
        <v>1.9999999999999574</v>
      </c>
    </row>
    <row r="356" spans="1:18">
      <c r="A356" s="9">
        <v>37229</v>
      </c>
      <c r="B356">
        <v>2.35</v>
      </c>
      <c r="C356">
        <v>3.29</v>
      </c>
      <c r="D356">
        <v>3.95</v>
      </c>
      <c r="E356">
        <v>4.38</v>
      </c>
      <c r="F356">
        <v>4.66</v>
      </c>
      <c r="G356">
        <v>5.04</v>
      </c>
      <c r="H356">
        <v>5.35</v>
      </c>
      <c r="I356">
        <v>5.87</v>
      </c>
      <c r="K356">
        <f t="shared" si="43"/>
        <v>0</v>
      </c>
      <c r="L356">
        <f t="shared" si="44"/>
        <v>-2.0000000000000018</v>
      </c>
      <c r="M356">
        <f t="shared" si="45"/>
        <v>-4.9999999999999822</v>
      </c>
      <c r="N356">
        <f t="shared" si="46"/>
        <v>-4.9999999999999822</v>
      </c>
      <c r="O356">
        <f t="shared" si="47"/>
        <v>-7.0000000000000284</v>
      </c>
      <c r="P356">
        <f t="shared" si="48"/>
        <v>-8.0000000000000071</v>
      </c>
      <c r="Q356">
        <f t="shared" si="49"/>
        <v>-9.0000000000000746</v>
      </c>
      <c r="R356">
        <f t="shared" si="50"/>
        <v>-8.9999999999999858</v>
      </c>
    </row>
    <row r="357" spans="1:18">
      <c r="A357" s="9">
        <v>37230</v>
      </c>
      <c r="B357">
        <v>2.52</v>
      </c>
      <c r="C357">
        <v>3.51</v>
      </c>
      <c r="D357">
        <v>4.2</v>
      </c>
      <c r="E357">
        <v>4.62</v>
      </c>
      <c r="F357">
        <v>4.91</v>
      </c>
      <c r="G357">
        <v>5.28</v>
      </c>
      <c r="H357">
        <v>5.59</v>
      </c>
      <c r="I357">
        <v>6.04</v>
      </c>
      <c r="K357">
        <f t="shared" si="43"/>
        <v>16.999999999999993</v>
      </c>
      <c r="L357">
        <f t="shared" si="44"/>
        <v>21.999999999999975</v>
      </c>
      <c r="M357">
        <f t="shared" si="45"/>
        <v>25</v>
      </c>
      <c r="N357">
        <f t="shared" si="46"/>
        <v>24.000000000000021</v>
      </c>
      <c r="O357">
        <f t="shared" si="47"/>
        <v>25</v>
      </c>
      <c r="P357">
        <f t="shared" si="48"/>
        <v>24.000000000000021</v>
      </c>
      <c r="Q357">
        <f t="shared" si="49"/>
        <v>24.000000000000021</v>
      </c>
      <c r="R357">
        <f t="shared" si="50"/>
        <v>16.999999999999993</v>
      </c>
    </row>
    <row r="358" spans="1:18">
      <c r="A358" s="9">
        <v>37231</v>
      </c>
      <c r="B358">
        <v>2.58</v>
      </c>
      <c r="C358">
        <v>3.61</v>
      </c>
      <c r="D358">
        <v>4.3</v>
      </c>
      <c r="E358">
        <v>4.7300000000000004</v>
      </c>
      <c r="F358">
        <v>5.01</v>
      </c>
      <c r="G358">
        <v>5.38</v>
      </c>
      <c r="H358">
        <v>5.68</v>
      </c>
      <c r="I358">
        <v>6.13</v>
      </c>
      <c r="K358">
        <f t="shared" si="43"/>
        <v>6.0000000000000053</v>
      </c>
      <c r="L358">
        <f t="shared" si="44"/>
        <v>10.000000000000009</v>
      </c>
      <c r="M358">
        <f t="shared" si="45"/>
        <v>9.9999999999999645</v>
      </c>
      <c r="N358">
        <f t="shared" si="46"/>
        <v>11.000000000000032</v>
      </c>
      <c r="O358">
        <f t="shared" si="47"/>
        <v>9.9999999999999645</v>
      </c>
      <c r="P358">
        <f t="shared" si="48"/>
        <v>9.9999999999999645</v>
      </c>
      <c r="Q358">
        <f t="shared" si="49"/>
        <v>8.9999999999999858</v>
      </c>
      <c r="R358">
        <f t="shared" si="50"/>
        <v>8.9999999999999858</v>
      </c>
    </row>
    <row r="359" spans="1:18">
      <c r="A359" s="9">
        <v>37232</v>
      </c>
      <c r="B359">
        <v>2.54</v>
      </c>
      <c r="C359">
        <v>3.65</v>
      </c>
      <c r="D359">
        <v>4.42</v>
      </c>
      <c r="E359">
        <v>4.88</v>
      </c>
      <c r="F359">
        <v>5.21</v>
      </c>
      <c r="G359">
        <v>5.59</v>
      </c>
      <c r="H359">
        <v>5.92</v>
      </c>
      <c r="I359">
        <v>6.34</v>
      </c>
      <c r="K359">
        <f t="shared" si="43"/>
        <v>-4.0000000000000036</v>
      </c>
      <c r="L359">
        <f t="shared" si="44"/>
        <v>4.0000000000000036</v>
      </c>
      <c r="M359">
        <f t="shared" si="45"/>
        <v>12.000000000000011</v>
      </c>
      <c r="N359">
        <f t="shared" si="46"/>
        <v>14.999999999999947</v>
      </c>
      <c r="O359">
        <f t="shared" si="47"/>
        <v>20.000000000000018</v>
      </c>
      <c r="P359">
        <f t="shared" si="48"/>
        <v>20.999999999999996</v>
      </c>
      <c r="Q359">
        <f t="shared" si="49"/>
        <v>24.000000000000021</v>
      </c>
      <c r="R359">
        <f t="shared" si="50"/>
        <v>20.999999999999996</v>
      </c>
    </row>
    <row r="360" spans="1:18">
      <c r="A360" s="9">
        <v>37235</v>
      </c>
      <c r="B360">
        <v>2.42</v>
      </c>
      <c r="C360">
        <v>3.57</v>
      </c>
      <c r="D360">
        <v>4.34</v>
      </c>
      <c r="E360">
        <v>4.82</v>
      </c>
      <c r="F360">
        <v>5.16</v>
      </c>
      <c r="G360">
        <v>5.55</v>
      </c>
      <c r="H360">
        <v>5.88</v>
      </c>
      <c r="I360">
        <v>6.28</v>
      </c>
      <c r="K360">
        <f t="shared" si="43"/>
        <v>-12.000000000000011</v>
      </c>
      <c r="L360">
        <f t="shared" si="44"/>
        <v>-8.0000000000000071</v>
      </c>
      <c r="M360">
        <f t="shared" si="45"/>
        <v>-8.0000000000000071</v>
      </c>
      <c r="N360">
        <f t="shared" si="46"/>
        <v>-5.9999999999999609</v>
      </c>
      <c r="O360">
        <f t="shared" si="47"/>
        <v>-4.9999999999999822</v>
      </c>
      <c r="P360">
        <f t="shared" si="48"/>
        <v>-4.0000000000000036</v>
      </c>
      <c r="Q360">
        <f t="shared" si="49"/>
        <v>-4.0000000000000036</v>
      </c>
      <c r="R360">
        <f t="shared" si="50"/>
        <v>-5.9999999999999609</v>
      </c>
    </row>
    <row r="361" spans="1:18">
      <c r="A361" s="9">
        <v>37236</v>
      </c>
      <c r="B361">
        <v>2.37</v>
      </c>
      <c r="C361">
        <v>3.49</v>
      </c>
      <c r="D361">
        <v>4.2699999999999996</v>
      </c>
      <c r="E361">
        <v>4.76</v>
      </c>
      <c r="F361">
        <v>5.09</v>
      </c>
      <c r="G361">
        <v>5.49</v>
      </c>
      <c r="H361">
        <v>5.82</v>
      </c>
      <c r="I361">
        <v>6.23</v>
      </c>
      <c r="K361">
        <f t="shared" si="43"/>
        <v>-4.9999999999999822</v>
      </c>
      <c r="L361">
        <f t="shared" si="44"/>
        <v>-7.9999999999999627</v>
      </c>
      <c r="M361">
        <f t="shared" si="45"/>
        <v>-7.0000000000000284</v>
      </c>
      <c r="N361">
        <f t="shared" si="46"/>
        <v>-6.0000000000000497</v>
      </c>
      <c r="O361">
        <f t="shared" si="47"/>
        <v>-7.0000000000000284</v>
      </c>
      <c r="P361">
        <f t="shared" si="48"/>
        <v>-5.9999999999999609</v>
      </c>
      <c r="Q361">
        <f t="shared" si="49"/>
        <v>-5.9999999999999609</v>
      </c>
      <c r="R361">
        <f t="shared" si="50"/>
        <v>-4.9999999999999822</v>
      </c>
    </row>
    <row r="362" spans="1:18">
      <c r="A362" s="9">
        <v>37237</v>
      </c>
      <c r="B362">
        <v>2.2799999999999998</v>
      </c>
      <c r="C362">
        <v>3.35</v>
      </c>
      <c r="D362">
        <v>4.13</v>
      </c>
      <c r="E362">
        <v>4.62</v>
      </c>
      <c r="F362">
        <v>4.96</v>
      </c>
      <c r="G362">
        <v>5.38</v>
      </c>
      <c r="H362">
        <v>5.73</v>
      </c>
      <c r="I362">
        <v>6.17</v>
      </c>
      <c r="K362">
        <f t="shared" si="43"/>
        <v>-9.0000000000000302</v>
      </c>
      <c r="L362">
        <f t="shared" si="44"/>
        <v>-14.000000000000012</v>
      </c>
      <c r="M362">
        <f t="shared" si="45"/>
        <v>-13.999999999999968</v>
      </c>
      <c r="N362">
        <f t="shared" si="46"/>
        <v>-13.999999999999968</v>
      </c>
      <c r="O362">
        <f t="shared" si="47"/>
        <v>-12.999999999999989</v>
      </c>
      <c r="P362">
        <f t="shared" si="48"/>
        <v>-11.000000000000032</v>
      </c>
      <c r="Q362">
        <f t="shared" si="49"/>
        <v>-8.9999999999999858</v>
      </c>
      <c r="R362">
        <f t="shared" si="50"/>
        <v>-6.0000000000000497</v>
      </c>
    </row>
    <row r="363" spans="1:18">
      <c r="A363" s="9">
        <v>37238</v>
      </c>
      <c r="B363">
        <v>2.38</v>
      </c>
      <c r="C363">
        <v>3.47</v>
      </c>
      <c r="D363">
        <v>4.2300000000000004</v>
      </c>
      <c r="E363">
        <v>4.71</v>
      </c>
      <c r="F363">
        <v>5.03</v>
      </c>
      <c r="G363">
        <v>5.42</v>
      </c>
      <c r="H363">
        <v>5.75</v>
      </c>
      <c r="I363">
        <v>6.14</v>
      </c>
      <c r="K363">
        <f t="shared" si="43"/>
        <v>10.000000000000009</v>
      </c>
      <c r="L363">
        <f t="shared" si="44"/>
        <v>12.000000000000011</v>
      </c>
      <c r="M363">
        <f t="shared" si="45"/>
        <v>10.000000000000053</v>
      </c>
      <c r="N363">
        <f t="shared" si="46"/>
        <v>8.9999999999999858</v>
      </c>
      <c r="O363">
        <f t="shared" si="47"/>
        <v>7.0000000000000284</v>
      </c>
      <c r="P363">
        <f t="shared" si="48"/>
        <v>4.0000000000000036</v>
      </c>
      <c r="Q363">
        <f t="shared" si="49"/>
        <v>1.9999999999999574</v>
      </c>
      <c r="R363">
        <f t="shared" si="50"/>
        <v>-3.0000000000000249</v>
      </c>
    </row>
    <row r="364" spans="1:18">
      <c r="A364" s="9">
        <v>37239</v>
      </c>
      <c r="B364">
        <v>2.4500000000000002</v>
      </c>
      <c r="C364">
        <v>3.59</v>
      </c>
      <c r="D364">
        <v>4.3600000000000003</v>
      </c>
      <c r="E364">
        <v>4.83</v>
      </c>
      <c r="F364">
        <v>5.15</v>
      </c>
      <c r="G364">
        <v>5.54</v>
      </c>
      <c r="H364">
        <v>5.88</v>
      </c>
      <c r="I364">
        <v>6.25</v>
      </c>
      <c r="K364">
        <f t="shared" si="43"/>
        <v>7.0000000000000284</v>
      </c>
      <c r="L364">
        <f t="shared" si="44"/>
        <v>11.999999999999966</v>
      </c>
      <c r="M364">
        <f t="shared" si="45"/>
        <v>12.999999999999989</v>
      </c>
      <c r="N364">
        <f t="shared" si="46"/>
        <v>12.000000000000011</v>
      </c>
      <c r="O364">
        <f t="shared" si="47"/>
        <v>12.000000000000011</v>
      </c>
      <c r="P364">
        <f t="shared" si="48"/>
        <v>12.000000000000011</v>
      </c>
      <c r="Q364">
        <f t="shared" si="49"/>
        <v>12.999999999999989</v>
      </c>
      <c r="R364">
        <f t="shared" si="50"/>
        <v>11.000000000000032</v>
      </c>
    </row>
    <row r="365" spans="1:18">
      <c r="A365" s="9">
        <v>37242</v>
      </c>
      <c r="B365">
        <v>2.5</v>
      </c>
      <c r="C365">
        <v>3.72</v>
      </c>
      <c r="D365">
        <v>4.54</v>
      </c>
      <c r="E365">
        <v>5.05</v>
      </c>
      <c r="F365">
        <v>5.4</v>
      </c>
      <c r="G365">
        <v>5.79</v>
      </c>
      <c r="H365">
        <v>6.12</v>
      </c>
      <c r="I365">
        <v>6.43</v>
      </c>
      <c r="K365">
        <f t="shared" si="43"/>
        <v>4.9999999999999822</v>
      </c>
      <c r="L365">
        <f t="shared" si="44"/>
        <v>13.000000000000034</v>
      </c>
      <c r="M365">
        <f t="shared" si="45"/>
        <v>17.999999999999972</v>
      </c>
      <c r="N365">
        <f t="shared" si="46"/>
        <v>21.999999999999975</v>
      </c>
      <c r="O365">
        <f t="shared" si="47"/>
        <v>25</v>
      </c>
      <c r="P365">
        <f t="shared" si="48"/>
        <v>25</v>
      </c>
      <c r="Q365">
        <f t="shared" si="49"/>
        <v>24.000000000000021</v>
      </c>
      <c r="R365">
        <f t="shared" si="50"/>
        <v>17.999999999999972</v>
      </c>
    </row>
    <row r="366" spans="1:18">
      <c r="A366" s="9">
        <v>37243</v>
      </c>
      <c r="B366">
        <v>2.42</v>
      </c>
      <c r="C366">
        <v>3.6</v>
      </c>
      <c r="D366">
        <v>4.42</v>
      </c>
      <c r="E366">
        <v>4.92</v>
      </c>
      <c r="F366">
        <v>5.25</v>
      </c>
      <c r="G366">
        <v>5.66</v>
      </c>
      <c r="H366">
        <v>5.99</v>
      </c>
      <c r="I366">
        <v>6.32</v>
      </c>
      <c r="K366">
        <f t="shared" si="43"/>
        <v>-8.0000000000000071</v>
      </c>
      <c r="L366">
        <f t="shared" si="44"/>
        <v>-12.000000000000011</v>
      </c>
      <c r="M366">
        <f t="shared" si="45"/>
        <v>-12.000000000000011</v>
      </c>
      <c r="N366">
        <f t="shared" si="46"/>
        <v>-12.999999999999989</v>
      </c>
      <c r="O366">
        <f t="shared" si="47"/>
        <v>-15.000000000000036</v>
      </c>
      <c r="P366">
        <f t="shared" si="48"/>
        <v>-12.999999999999989</v>
      </c>
      <c r="Q366">
        <f t="shared" si="49"/>
        <v>-12.999999999999989</v>
      </c>
      <c r="R366">
        <f t="shared" si="50"/>
        <v>-10.999999999999943</v>
      </c>
    </row>
    <row r="367" spans="1:18">
      <c r="A367" s="9">
        <v>37244</v>
      </c>
      <c r="B367">
        <v>2.39</v>
      </c>
      <c r="C367">
        <v>3.54</v>
      </c>
      <c r="D367">
        <v>4.34</v>
      </c>
      <c r="E367">
        <v>4.83</v>
      </c>
      <c r="F367">
        <v>5.15</v>
      </c>
      <c r="G367">
        <v>5.54</v>
      </c>
      <c r="H367">
        <v>5.85</v>
      </c>
      <c r="I367">
        <v>6.2</v>
      </c>
      <c r="K367">
        <f t="shared" si="43"/>
        <v>-2.9999999999999805</v>
      </c>
      <c r="L367">
        <f t="shared" si="44"/>
        <v>-6.0000000000000053</v>
      </c>
      <c r="M367">
        <f t="shared" si="45"/>
        <v>-8.0000000000000071</v>
      </c>
      <c r="N367">
        <f t="shared" si="46"/>
        <v>-8.9999999999999858</v>
      </c>
      <c r="O367">
        <f t="shared" si="47"/>
        <v>-9.9999999999999645</v>
      </c>
      <c r="P367">
        <f t="shared" si="48"/>
        <v>-12.000000000000011</v>
      </c>
      <c r="Q367">
        <f t="shared" si="49"/>
        <v>-14.000000000000057</v>
      </c>
      <c r="R367">
        <f t="shared" si="50"/>
        <v>-12.000000000000011</v>
      </c>
    </row>
    <row r="368" spans="1:18">
      <c r="A368" s="9">
        <v>37245</v>
      </c>
      <c r="B368">
        <v>2.4300000000000002</v>
      </c>
      <c r="C368">
        <v>3.58</v>
      </c>
      <c r="D368">
        <v>4.38</v>
      </c>
      <c r="E368">
        <v>4.8600000000000003</v>
      </c>
      <c r="F368">
        <v>5.17</v>
      </c>
      <c r="G368">
        <v>5.56</v>
      </c>
      <c r="H368">
        <v>5.86</v>
      </c>
      <c r="I368">
        <v>6.18</v>
      </c>
      <c r="K368">
        <f t="shared" si="43"/>
        <v>4.0000000000000036</v>
      </c>
      <c r="L368">
        <f t="shared" si="44"/>
        <v>4.0000000000000036</v>
      </c>
      <c r="M368">
        <f t="shared" si="45"/>
        <v>4.0000000000000036</v>
      </c>
      <c r="N368">
        <f t="shared" si="46"/>
        <v>3.0000000000000249</v>
      </c>
      <c r="O368">
        <f t="shared" si="47"/>
        <v>1.9999999999999574</v>
      </c>
      <c r="P368">
        <f t="shared" si="48"/>
        <v>1.9999999999999574</v>
      </c>
      <c r="Q368">
        <f t="shared" si="49"/>
        <v>1.0000000000000675</v>
      </c>
      <c r="R368">
        <f t="shared" si="50"/>
        <v>-2.0000000000000462</v>
      </c>
    </row>
    <row r="369" spans="1:18">
      <c r="A369" s="9">
        <v>37246</v>
      </c>
      <c r="B369">
        <v>2.44</v>
      </c>
      <c r="C369">
        <v>3.61</v>
      </c>
      <c r="D369">
        <v>4.42</v>
      </c>
      <c r="E369">
        <v>4.88</v>
      </c>
      <c r="F369">
        <v>5.19</v>
      </c>
      <c r="G369">
        <v>5.57</v>
      </c>
      <c r="H369">
        <v>5.87</v>
      </c>
      <c r="I369">
        <v>6.2</v>
      </c>
      <c r="K369">
        <f t="shared" si="43"/>
        <v>0.99999999999997868</v>
      </c>
      <c r="L369">
        <f t="shared" si="44"/>
        <v>2.9999999999999805</v>
      </c>
      <c r="M369">
        <f t="shared" si="45"/>
        <v>4.0000000000000036</v>
      </c>
      <c r="N369">
        <f t="shared" si="46"/>
        <v>1.9999999999999574</v>
      </c>
      <c r="O369">
        <f t="shared" si="47"/>
        <v>2.0000000000000462</v>
      </c>
      <c r="P369">
        <f t="shared" si="48"/>
        <v>1.0000000000000675</v>
      </c>
      <c r="Q369">
        <f t="shared" si="49"/>
        <v>0.99999999999997868</v>
      </c>
      <c r="R369">
        <f t="shared" si="50"/>
        <v>2.0000000000000462</v>
      </c>
    </row>
    <row r="370" spans="1:18">
      <c r="A370" s="9">
        <v>37249</v>
      </c>
      <c r="B370">
        <v>2.4700000000000002</v>
      </c>
      <c r="C370">
        <v>3.64</v>
      </c>
      <c r="D370">
        <v>4.45</v>
      </c>
      <c r="E370">
        <v>4.93</v>
      </c>
      <c r="F370">
        <v>5.24</v>
      </c>
      <c r="G370">
        <v>5.62</v>
      </c>
      <c r="H370">
        <v>5.92</v>
      </c>
      <c r="I370">
        <v>6.23</v>
      </c>
      <c r="K370">
        <f t="shared" si="43"/>
        <v>3.0000000000000249</v>
      </c>
      <c r="L370">
        <f t="shared" si="44"/>
        <v>3.0000000000000249</v>
      </c>
      <c r="M370">
        <f t="shared" si="45"/>
        <v>3.0000000000000249</v>
      </c>
      <c r="N370">
        <f t="shared" si="46"/>
        <v>4.9999999999999822</v>
      </c>
      <c r="O370">
        <f t="shared" si="47"/>
        <v>4.9999999999999822</v>
      </c>
      <c r="P370">
        <f t="shared" si="48"/>
        <v>4.9999999999999822</v>
      </c>
      <c r="Q370">
        <f t="shared" si="49"/>
        <v>4.9999999999999822</v>
      </c>
      <c r="R370">
        <f t="shared" si="50"/>
        <v>3.0000000000000249</v>
      </c>
    </row>
    <row r="371" spans="1:18">
      <c r="A371" s="9">
        <v>37251</v>
      </c>
      <c r="B371">
        <v>2.5099999999999998</v>
      </c>
      <c r="C371">
        <v>3.7</v>
      </c>
      <c r="D371">
        <v>4.51</v>
      </c>
      <c r="E371">
        <v>4.9800000000000004</v>
      </c>
      <c r="F371">
        <v>5.3</v>
      </c>
      <c r="G371">
        <v>5.68</v>
      </c>
      <c r="H371">
        <v>5.98</v>
      </c>
      <c r="I371">
        <v>6.28</v>
      </c>
      <c r="K371">
        <f t="shared" si="43"/>
        <v>3.9999999999999591</v>
      </c>
      <c r="L371">
        <f t="shared" si="44"/>
        <v>6.0000000000000053</v>
      </c>
      <c r="M371">
        <f t="shared" si="45"/>
        <v>5.9999999999999609</v>
      </c>
      <c r="N371">
        <f t="shared" si="46"/>
        <v>5.0000000000000711</v>
      </c>
      <c r="O371">
        <f t="shared" si="47"/>
        <v>5.9999999999999609</v>
      </c>
      <c r="P371">
        <f t="shared" si="48"/>
        <v>5.9999999999999609</v>
      </c>
      <c r="Q371">
        <f t="shared" si="49"/>
        <v>6.0000000000000497</v>
      </c>
      <c r="R371">
        <f t="shared" si="50"/>
        <v>4.9999999999999822</v>
      </c>
    </row>
    <row r="372" spans="1:18">
      <c r="A372" s="9">
        <v>37252</v>
      </c>
      <c r="B372">
        <v>2.4900000000000002</v>
      </c>
      <c r="C372">
        <v>3.7</v>
      </c>
      <c r="D372">
        <v>4.51</v>
      </c>
      <c r="E372">
        <v>4.9800000000000004</v>
      </c>
      <c r="F372">
        <v>5.29</v>
      </c>
      <c r="G372">
        <v>5.67</v>
      </c>
      <c r="H372">
        <v>5.96</v>
      </c>
      <c r="I372">
        <v>6.28</v>
      </c>
      <c r="K372">
        <f t="shared" si="43"/>
        <v>-1.9999999999999574</v>
      </c>
      <c r="L372">
        <f t="shared" si="44"/>
        <v>0</v>
      </c>
      <c r="M372">
        <f t="shared" si="45"/>
        <v>0</v>
      </c>
      <c r="N372">
        <f t="shared" si="46"/>
        <v>0</v>
      </c>
      <c r="O372">
        <f t="shared" si="47"/>
        <v>-0.99999999999997868</v>
      </c>
      <c r="P372">
        <f t="shared" si="48"/>
        <v>-0.99999999999997868</v>
      </c>
      <c r="Q372">
        <f t="shared" si="49"/>
        <v>-2.0000000000000462</v>
      </c>
      <c r="R372">
        <f t="shared" si="50"/>
        <v>0</v>
      </c>
    </row>
    <row r="373" spans="1:18">
      <c r="A373" s="9">
        <v>37253</v>
      </c>
      <c r="B373">
        <v>2.48</v>
      </c>
      <c r="C373">
        <v>3.66</v>
      </c>
      <c r="D373">
        <v>4.47</v>
      </c>
      <c r="E373">
        <v>4.93</v>
      </c>
      <c r="F373">
        <v>5.23</v>
      </c>
      <c r="G373">
        <v>5.61</v>
      </c>
      <c r="H373">
        <v>5.93</v>
      </c>
      <c r="I373">
        <v>6.31</v>
      </c>
      <c r="K373">
        <f t="shared" si="43"/>
        <v>-1.0000000000000231</v>
      </c>
      <c r="L373">
        <f t="shared" si="44"/>
        <v>-4.0000000000000036</v>
      </c>
      <c r="M373">
        <f t="shared" si="45"/>
        <v>-4.0000000000000036</v>
      </c>
      <c r="N373">
        <f t="shared" si="46"/>
        <v>-5.0000000000000711</v>
      </c>
      <c r="O373">
        <f t="shared" si="47"/>
        <v>-5.9999999999999609</v>
      </c>
      <c r="P373">
        <f t="shared" si="48"/>
        <v>-5.9999999999999609</v>
      </c>
      <c r="Q373">
        <f t="shared" si="49"/>
        <v>-3.0000000000000249</v>
      </c>
      <c r="R373">
        <f t="shared" si="50"/>
        <v>2.9999999999999361</v>
      </c>
    </row>
    <row r="374" spans="1:18">
      <c r="A374" s="9">
        <v>37256</v>
      </c>
      <c r="B374">
        <v>2.44</v>
      </c>
      <c r="C374">
        <v>3.57</v>
      </c>
      <c r="D374">
        <v>4.37</v>
      </c>
      <c r="E374">
        <v>4.83</v>
      </c>
      <c r="F374">
        <v>5.14</v>
      </c>
      <c r="G374">
        <v>5.52</v>
      </c>
      <c r="H374">
        <v>5.83</v>
      </c>
      <c r="I374">
        <v>6.24</v>
      </c>
      <c r="K374">
        <f t="shared" si="43"/>
        <v>-4.0000000000000036</v>
      </c>
      <c r="L374">
        <f t="shared" si="44"/>
        <v>-9.0000000000000302</v>
      </c>
      <c r="M374">
        <f t="shared" si="45"/>
        <v>-9.9999999999999645</v>
      </c>
      <c r="N374">
        <f t="shared" si="46"/>
        <v>-9.9999999999999645</v>
      </c>
      <c r="O374">
        <f t="shared" si="47"/>
        <v>-9.0000000000000746</v>
      </c>
      <c r="P374">
        <f t="shared" si="48"/>
        <v>-9.0000000000000746</v>
      </c>
      <c r="Q374">
        <f t="shared" si="49"/>
        <v>-9.9999999999999645</v>
      </c>
      <c r="R374">
        <f t="shared" si="50"/>
        <v>-6.9999999999999396</v>
      </c>
    </row>
    <row r="375" spans="1:18">
      <c r="A375" s="9">
        <v>37258</v>
      </c>
      <c r="B375">
        <v>2.46</v>
      </c>
      <c r="C375">
        <v>3.62</v>
      </c>
      <c r="D375">
        <v>4.4000000000000004</v>
      </c>
      <c r="E375">
        <v>4.8600000000000003</v>
      </c>
      <c r="F375">
        <v>5.17</v>
      </c>
      <c r="G375">
        <v>5.53</v>
      </c>
      <c r="H375">
        <v>5.84</v>
      </c>
      <c r="I375">
        <v>6.2</v>
      </c>
      <c r="K375">
        <f t="shared" si="43"/>
        <v>2.0000000000000018</v>
      </c>
      <c r="L375">
        <f t="shared" si="44"/>
        <v>5.0000000000000266</v>
      </c>
      <c r="M375">
        <f t="shared" si="45"/>
        <v>3.0000000000000249</v>
      </c>
      <c r="N375">
        <f t="shared" si="46"/>
        <v>3.0000000000000249</v>
      </c>
      <c r="O375">
        <f t="shared" si="47"/>
        <v>3.0000000000000249</v>
      </c>
      <c r="P375">
        <f t="shared" si="48"/>
        <v>1.0000000000000675</v>
      </c>
      <c r="Q375">
        <f t="shared" si="49"/>
        <v>0.99999999999997868</v>
      </c>
      <c r="R375">
        <f t="shared" si="50"/>
        <v>-4.0000000000000036</v>
      </c>
    </row>
    <row r="376" spans="1:18">
      <c r="A376" s="9">
        <v>37259</v>
      </c>
      <c r="B376">
        <v>2.4500000000000002</v>
      </c>
      <c r="C376">
        <v>3.62</v>
      </c>
      <c r="D376">
        <v>4.41</v>
      </c>
      <c r="E376">
        <v>4.88</v>
      </c>
      <c r="F376">
        <v>5.19</v>
      </c>
      <c r="G376">
        <v>5.57</v>
      </c>
      <c r="H376">
        <v>5.88</v>
      </c>
      <c r="I376">
        <v>6.24</v>
      </c>
      <c r="K376">
        <f t="shared" si="43"/>
        <v>-0.99999999999997868</v>
      </c>
      <c r="L376">
        <f t="shared" si="44"/>
        <v>0</v>
      </c>
      <c r="M376">
        <f t="shared" si="45"/>
        <v>0.99999999999997868</v>
      </c>
      <c r="N376">
        <f t="shared" si="46"/>
        <v>1.9999999999999574</v>
      </c>
      <c r="O376">
        <f t="shared" si="47"/>
        <v>2.0000000000000462</v>
      </c>
      <c r="P376">
        <f t="shared" si="48"/>
        <v>4.0000000000000036</v>
      </c>
      <c r="Q376">
        <f t="shared" si="49"/>
        <v>4.0000000000000036</v>
      </c>
      <c r="R376">
        <f t="shared" si="50"/>
        <v>4.0000000000000036</v>
      </c>
    </row>
    <row r="377" spans="1:18">
      <c r="A377" s="9">
        <v>37260</v>
      </c>
      <c r="B377">
        <v>2.4700000000000002</v>
      </c>
      <c r="C377">
        <v>3.64</v>
      </c>
      <c r="D377">
        <v>4.4400000000000004</v>
      </c>
      <c r="E377">
        <v>4.91</v>
      </c>
      <c r="F377">
        <v>5.23</v>
      </c>
      <c r="G377">
        <v>5.6</v>
      </c>
      <c r="H377">
        <v>5.91</v>
      </c>
      <c r="I377">
        <v>6.28</v>
      </c>
      <c r="K377">
        <f t="shared" si="43"/>
        <v>2.0000000000000018</v>
      </c>
      <c r="L377">
        <f t="shared" si="44"/>
        <v>2.0000000000000018</v>
      </c>
      <c r="M377">
        <f t="shared" si="45"/>
        <v>3.0000000000000249</v>
      </c>
      <c r="N377">
        <f t="shared" si="46"/>
        <v>3.0000000000000249</v>
      </c>
      <c r="O377">
        <f t="shared" si="47"/>
        <v>4.0000000000000036</v>
      </c>
      <c r="P377">
        <f t="shared" si="48"/>
        <v>2.9999999999999361</v>
      </c>
      <c r="Q377">
        <f t="shared" si="49"/>
        <v>3.0000000000000249</v>
      </c>
      <c r="R377">
        <f t="shared" si="50"/>
        <v>4.0000000000000036</v>
      </c>
    </row>
    <row r="378" spans="1:18">
      <c r="A378" s="9">
        <v>37263</v>
      </c>
      <c r="B378">
        <v>2.42</v>
      </c>
      <c r="C378">
        <v>3.52</v>
      </c>
      <c r="D378">
        <v>4.3</v>
      </c>
      <c r="E378">
        <v>4.7699999999999996</v>
      </c>
      <c r="F378">
        <v>5.08</v>
      </c>
      <c r="G378">
        <v>5.47</v>
      </c>
      <c r="H378">
        <v>5.8</v>
      </c>
      <c r="I378">
        <v>6.18</v>
      </c>
      <c r="K378">
        <f t="shared" si="43"/>
        <v>-5.0000000000000266</v>
      </c>
      <c r="L378">
        <f t="shared" si="44"/>
        <v>-12.000000000000011</v>
      </c>
      <c r="M378">
        <f t="shared" si="45"/>
        <v>-14.000000000000057</v>
      </c>
      <c r="N378">
        <f t="shared" si="46"/>
        <v>-14.000000000000057</v>
      </c>
      <c r="O378">
        <f t="shared" si="47"/>
        <v>-15.000000000000036</v>
      </c>
      <c r="P378">
        <f t="shared" si="48"/>
        <v>-12.999999999999989</v>
      </c>
      <c r="Q378">
        <f t="shared" si="49"/>
        <v>-11.000000000000032</v>
      </c>
      <c r="R378">
        <f t="shared" si="50"/>
        <v>-10.000000000000053</v>
      </c>
    </row>
    <row r="379" spans="1:18">
      <c r="A379" s="9">
        <v>37264</v>
      </c>
      <c r="B379">
        <v>2.37</v>
      </c>
      <c r="C379">
        <v>3.44</v>
      </c>
      <c r="D379">
        <v>4.22</v>
      </c>
      <c r="E379">
        <v>4.7</v>
      </c>
      <c r="F379">
        <v>5.01</v>
      </c>
      <c r="G379">
        <v>5.41</v>
      </c>
      <c r="H379">
        <v>5.76</v>
      </c>
      <c r="I379">
        <v>6.15</v>
      </c>
      <c r="K379">
        <f t="shared" si="43"/>
        <v>-4.9999999999999822</v>
      </c>
      <c r="L379">
        <f t="shared" si="44"/>
        <v>-8.0000000000000071</v>
      </c>
      <c r="M379">
        <f t="shared" si="45"/>
        <v>-8.0000000000000071</v>
      </c>
      <c r="N379">
        <f t="shared" si="46"/>
        <v>-6.9999999999999396</v>
      </c>
      <c r="O379">
        <f t="shared" si="47"/>
        <v>-7.0000000000000284</v>
      </c>
      <c r="P379">
        <f t="shared" si="48"/>
        <v>-5.9999999999999609</v>
      </c>
      <c r="Q379">
        <f t="shared" si="49"/>
        <v>-4.0000000000000036</v>
      </c>
      <c r="R379">
        <f t="shared" si="50"/>
        <v>-2.9999999999999361</v>
      </c>
    </row>
    <row r="380" spans="1:18">
      <c r="A380" s="9">
        <v>37265</v>
      </c>
      <c r="B380">
        <v>2.4</v>
      </c>
      <c r="C380">
        <v>3.49</v>
      </c>
      <c r="D380">
        <v>4.2699999999999996</v>
      </c>
      <c r="E380">
        <v>4.76</v>
      </c>
      <c r="F380">
        <v>5.08</v>
      </c>
      <c r="G380">
        <v>5.47</v>
      </c>
      <c r="H380">
        <v>5.82</v>
      </c>
      <c r="I380">
        <v>6.2</v>
      </c>
      <c r="K380">
        <f t="shared" si="43"/>
        <v>2.9999999999999805</v>
      </c>
      <c r="L380">
        <f t="shared" si="44"/>
        <v>5.0000000000000266</v>
      </c>
      <c r="M380">
        <f t="shared" si="45"/>
        <v>4.9999999999999822</v>
      </c>
      <c r="N380">
        <f t="shared" si="46"/>
        <v>5.9999999999999609</v>
      </c>
      <c r="O380">
        <f t="shared" si="47"/>
        <v>7.0000000000000284</v>
      </c>
      <c r="P380">
        <f t="shared" si="48"/>
        <v>5.9999999999999609</v>
      </c>
      <c r="Q380">
        <f t="shared" si="49"/>
        <v>6.0000000000000497</v>
      </c>
      <c r="R380">
        <f t="shared" si="50"/>
        <v>4.9999999999999822</v>
      </c>
    </row>
    <row r="381" spans="1:18">
      <c r="A381" s="9">
        <v>37266</v>
      </c>
      <c r="B381">
        <v>2.36</v>
      </c>
      <c r="C381">
        <v>3.37</v>
      </c>
      <c r="D381">
        <v>4.1399999999999997</v>
      </c>
      <c r="E381">
        <v>4.63</v>
      </c>
      <c r="F381">
        <v>4.96</v>
      </c>
      <c r="G381">
        <v>5.36</v>
      </c>
      <c r="H381">
        <v>5.72</v>
      </c>
      <c r="I381">
        <v>6.11</v>
      </c>
      <c r="K381">
        <f t="shared" si="43"/>
        <v>-4.0000000000000036</v>
      </c>
      <c r="L381">
        <f t="shared" si="44"/>
        <v>-12.000000000000011</v>
      </c>
      <c r="M381">
        <f t="shared" si="45"/>
        <v>-12.999999999999989</v>
      </c>
      <c r="N381">
        <f t="shared" si="46"/>
        <v>-12.999999999999989</v>
      </c>
      <c r="O381">
        <f t="shared" si="47"/>
        <v>-12.000000000000011</v>
      </c>
      <c r="P381">
        <f t="shared" si="48"/>
        <v>-10.999999999999943</v>
      </c>
      <c r="Q381">
        <f t="shared" si="49"/>
        <v>-10.000000000000053</v>
      </c>
      <c r="R381">
        <f t="shared" si="50"/>
        <v>-8.9999999999999858</v>
      </c>
    </row>
    <row r="382" spans="1:18">
      <c r="A382" s="9">
        <v>37267</v>
      </c>
      <c r="B382">
        <v>2.33</v>
      </c>
      <c r="C382">
        <v>3.34</v>
      </c>
      <c r="D382">
        <v>4.09</v>
      </c>
      <c r="E382">
        <v>4.57</v>
      </c>
      <c r="F382">
        <v>4.88</v>
      </c>
      <c r="G382">
        <v>5.29</v>
      </c>
      <c r="H382">
        <v>5.63</v>
      </c>
      <c r="I382">
        <v>6.03</v>
      </c>
      <c r="K382">
        <f t="shared" si="43"/>
        <v>-2.9999999999999805</v>
      </c>
      <c r="L382">
        <f t="shared" si="44"/>
        <v>-3.0000000000000249</v>
      </c>
      <c r="M382">
        <f t="shared" si="45"/>
        <v>-4.9999999999999822</v>
      </c>
      <c r="N382">
        <f t="shared" si="46"/>
        <v>-5.9999999999999609</v>
      </c>
      <c r="O382">
        <f t="shared" si="47"/>
        <v>-8.0000000000000071</v>
      </c>
      <c r="P382">
        <f t="shared" si="48"/>
        <v>-7.0000000000000284</v>
      </c>
      <c r="Q382">
        <f t="shared" si="49"/>
        <v>-8.9999999999999858</v>
      </c>
      <c r="R382">
        <f t="shared" si="50"/>
        <v>-8.0000000000000071</v>
      </c>
    </row>
    <row r="383" spans="1:18">
      <c r="A383" s="9">
        <v>37270</v>
      </c>
      <c r="B383">
        <v>2.13</v>
      </c>
      <c r="C383">
        <v>3.1</v>
      </c>
      <c r="D383">
        <v>3.87</v>
      </c>
      <c r="E383">
        <v>4.3499999999999996</v>
      </c>
      <c r="F383">
        <v>4.6900000000000004</v>
      </c>
      <c r="G383">
        <v>5.0999999999999996</v>
      </c>
      <c r="H383">
        <v>5.46</v>
      </c>
      <c r="I383">
        <v>5.93</v>
      </c>
      <c r="K383">
        <f t="shared" si="43"/>
        <v>-20.000000000000018</v>
      </c>
      <c r="L383">
        <f t="shared" si="44"/>
        <v>-23.999999999999979</v>
      </c>
      <c r="M383">
        <f t="shared" si="45"/>
        <v>-21.999999999999975</v>
      </c>
      <c r="N383">
        <f t="shared" si="46"/>
        <v>-22.000000000000064</v>
      </c>
      <c r="O383">
        <f t="shared" si="47"/>
        <v>-18.99999999999995</v>
      </c>
      <c r="P383">
        <f t="shared" si="48"/>
        <v>-19.000000000000039</v>
      </c>
      <c r="Q383">
        <f t="shared" si="49"/>
        <v>-16.999999999999993</v>
      </c>
      <c r="R383">
        <f t="shared" si="50"/>
        <v>-10.000000000000053</v>
      </c>
    </row>
    <row r="384" spans="1:18">
      <c r="A384" s="9">
        <v>37271</v>
      </c>
      <c r="B384">
        <v>2.15</v>
      </c>
      <c r="C384">
        <v>3.19</v>
      </c>
      <c r="D384">
        <v>3.96</v>
      </c>
      <c r="E384">
        <v>4.45</v>
      </c>
      <c r="F384">
        <v>4.78</v>
      </c>
      <c r="G384">
        <v>5.19</v>
      </c>
      <c r="H384">
        <v>5.54</v>
      </c>
      <c r="I384">
        <v>5.99</v>
      </c>
      <c r="K384">
        <f t="shared" si="43"/>
        <v>2.0000000000000018</v>
      </c>
      <c r="L384">
        <f t="shared" si="44"/>
        <v>8.9999999999999858</v>
      </c>
      <c r="M384">
        <f t="shared" si="45"/>
        <v>8.9999999999999858</v>
      </c>
      <c r="N384">
        <f t="shared" si="46"/>
        <v>10.000000000000053</v>
      </c>
      <c r="O384">
        <f t="shared" si="47"/>
        <v>8.9999999999999858</v>
      </c>
      <c r="P384">
        <f t="shared" si="48"/>
        <v>9.0000000000000746</v>
      </c>
      <c r="Q384">
        <f t="shared" si="49"/>
        <v>8.0000000000000071</v>
      </c>
      <c r="R384">
        <f t="shared" si="50"/>
        <v>6.0000000000000497</v>
      </c>
    </row>
    <row r="385" spans="1:18">
      <c r="A385" s="9">
        <v>37272</v>
      </c>
      <c r="B385">
        <v>2.15</v>
      </c>
      <c r="C385">
        <v>3.15</v>
      </c>
      <c r="D385">
        <v>3.9</v>
      </c>
      <c r="E385">
        <v>4.3899999999999997</v>
      </c>
      <c r="F385">
        <v>4.72</v>
      </c>
      <c r="G385">
        <v>5.12</v>
      </c>
      <c r="H385">
        <v>5.48</v>
      </c>
      <c r="I385">
        <v>5.95</v>
      </c>
      <c r="K385">
        <f t="shared" si="43"/>
        <v>0</v>
      </c>
      <c r="L385">
        <f t="shared" si="44"/>
        <v>-4.0000000000000036</v>
      </c>
      <c r="M385">
        <f t="shared" si="45"/>
        <v>-6.0000000000000053</v>
      </c>
      <c r="N385">
        <f t="shared" si="46"/>
        <v>-6.0000000000000497</v>
      </c>
      <c r="O385">
        <f t="shared" si="47"/>
        <v>-6.0000000000000497</v>
      </c>
      <c r="P385">
        <f t="shared" si="48"/>
        <v>-7.0000000000000284</v>
      </c>
      <c r="Q385">
        <f t="shared" si="49"/>
        <v>-5.9999999999999609</v>
      </c>
      <c r="R385">
        <f t="shared" si="50"/>
        <v>-4.0000000000000036</v>
      </c>
    </row>
    <row r="386" spans="1:18">
      <c r="A386" s="9">
        <v>37273</v>
      </c>
      <c r="B386">
        <v>2.2599999999999998</v>
      </c>
      <c r="C386">
        <v>3.28</v>
      </c>
      <c r="D386">
        <v>4.04</v>
      </c>
      <c r="E386">
        <v>4.53</v>
      </c>
      <c r="F386">
        <v>4.8499999999999996</v>
      </c>
      <c r="G386">
        <v>5.25</v>
      </c>
      <c r="H386">
        <v>5.6</v>
      </c>
      <c r="I386">
        <v>6.04</v>
      </c>
      <c r="K386">
        <f t="shared" si="43"/>
        <v>10.999999999999988</v>
      </c>
      <c r="L386">
        <f t="shared" si="44"/>
        <v>12.999999999999989</v>
      </c>
      <c r="M386">
        <f t="shared" si="45"/>
        <v>14.000000000000012</v>
      </c>
      <c r="N386">
        <f t="shared" si="46"/>
        <v>14.000000000000057</v>
      </c>
      <c r="O386">
        <f t="shared" si="47"/>
        <v>12.999999999999989</v>
      </c>
      <c r="P386">
        <f t="shared" si="48"/>
        <v>12.999999999999989</v>
      </c>
      <c r="Q386">
        <f t="shared" si="49"/>
        <v>11.999999999999922</v>
      </c>
      <c r="R386">
        <f t="shared" si="50"/>
        <v>8.9999999999999858</v>
      </c>
    </row>
    <row r="387" spans="1:18">
      <c r="A387" s="9">
        <v>37274</v>
      </c>
      <c r="B387">
        <v>2.29</v>
      </c>
      <c r="C387">
        <v>3.35</v>
      </c>
      <c r="D387">
        <v>4.1100000000000003</v>
      </c>
      <c r="E387">
        <v>4.6100000000000003</v>
      </c>
      <c r="F387">
        <v>4.93</v>
      </c>
      <c r="G387">
        <v>5.33</v>
      </c>
      <c r="H387">
        <v>5.67</v>
      </c>
      <c r="I387">
        <v>6.08</v>
      </c>
      <c r="K387">
        <f t="shared" si="43"/>
        <v>3.0000000000000249</v>
      </c>
      <c r="L387">
        <f t="shared" si="44"/>
        <v>7.0000000000000284</v>
      </c>
      <c r="M387">
        <f t="shared" si="45"/>
        <v>7.0000000000000284</v>
      </c>
      <c r="N387">
        <f t="shared" si="46"/>
        <v>8.0000000000000071</v>
      </c>
      <c r="O387">
        <f t="shared" si="47"/>
        <v>8.0000000000000071</v>
      </c>
      <c r="P387">
        <f t="shared" si="48"/>
        <v>8.0000000000000071</v>
      </c>
      <c r="Q387">
        <f t="shared" si="49"/>
        <v>7.0000000000000284</v>
      </c>
      <c r="R387">
        <f t="shared" si="50"/>
        <v>4.0000000000000036</v>
      </c>
    </row>
    <row r="388" spans="1:18">
      <c r="A388" s="9">
        <v>37278</v>
      </c>
      <c r="B388">
        <v>2.35</v>
      </c>
      <c r="C388">
        <v>3.37</v>
      </c>
      <c r="D388">
        <v>4.12</v>
      </c>
      <c r="E388">
        <v>4.5999999999999996</v>
      </c>
      <c r="F388">
        <v>4.92</v>
      </c>
      <c r="G388">
        <v>5.31</v>
      </c>
      <c r="H388">
        <v>5.65</v>
      </c>
      <c r="I388">
        <v>6.06</v>
      </c>
      <c r="K388">
        <f t="shared" si="43"/>
        <v>6.0000000000000053</v>
      </c>
      <c r="L388">
        <f t="shared" si="44"/>
        <v>2.0000000000000018</v>
      </c>
      <c r="M388">
        <f t="shared" si="45"/>
        <v>0.99999999999997868</v>
      </c>
      <c r="N388">
        <f t="shared" si="46"/>
        <v>-1.0000000000000675</v>
      </c>
      <c r="O388">
        <f t="shared" si="47"/>
        <v>-0.99999999999997868</v>
      </c>
      <c r="P388">
        <f t="shared" si="48"/>
        <v>-2.0000000000000462</v>
      </c>
      <c r="Q388">
        <f t="shared" si="49"/>
        <v>-1.9999999999999574</v>
      </c>
      <c r="R388">
        <f t="shared" si="50"/>
        <v>-2.0000000000000462</v>
      </c>
    </row>
    <row r="389" spans="1:18">
      <c r="A389" s="9">
        <v>37279</v>
      </c>
      <c r="B389">
        <v>2.36</v>
      </c>
      <c r="C389">
        <v>3.37</v>
      </c>
      <c r="D389">
        <v>4.1100000000000003</v>
      </c>
      <c r="E389">
        <v>4.58</v>
      </c>
      <c r="F389">
        <v>4.91</v>
      </c>
      <c r="G389">
        <v>5.3</v>
      </c>
      <c r="H389">
        <v>5.62</v>
      </c>
      <c r="I389">
        <v>6.05</v>
      </c>
      <c r="K389">
        <f t="shared" ref="K389:K452" si="51">(B389-B388)*100</f>
        <v>0.99999999999997868</v>
      </c>
      <c r="L389">
        <f t="shared" ref="L389:L452" si="52">(C389-C388)*100</f>
        <v>0</v>
      </c>
      <c r="M389">
        <f t="shared" ref="M389:M452" si="53">(D389-D388)*100</f>
        <v>-0.99999999999997868</v>
      </c>
      <c r="N389">
        <f t="shared" ref="N389:N452" si="54">(E389-E388)*100</f>
        <v>-1.9999999999999574</v>
      </c>
      <c r="O389">
        <f t="shared" ref="O389:O452" si="55">(F389-F388)*100</f>
        <v>-0.99999999999997868</v>
      </c>
      <c r="P389">
        <f t="shared" ref="P389:P452" si="56">(G389-G388)*100</f>
        <v>-0.99999999999997868</v>
      </c>
      <c r="Q389">
        <f t="shared" ref="Q389:Q452" si="57">(H389-H388)*100</f>
        <v>-3.0000000000000249</v>
      </c>
      <c r="R389">
        <f t="shared" ref="R389:R452" si="58">(I389-I388)*100</f>
        <v>-0.99999999999997868</v>
      </c>
    </row>
    <row r="390" spans="1:18">
      <c r="A390" s="9">
        <v>37280</v>
      </c>
      <c r="B390">
        <v>2.4500000000000002</v>
      </c>
      <c r="C390">
        <v>3.47</v>
      </c>
      <c r="D390">
        <v>4.21</v>
      </c>
      <c r="E390">
        <v>4.6900000000000004</v>
      </c>
      <c r="F390">
        <v>5.01</v>
      </c>
      <c r="G390">
        <v>5.4</v>
      </c>
      <c r="H390">
        <v>5.73</v>
      </c>
      <c r="I390">
        <v>6.11</v>
      </c>
      <c r="K390">
        <f t="shared" si="51"/>
        <v>9.0000000000000302</v>
      </c>
      <c r="L390">
        <f t="shared" si="52"/>
        <v>10.000000000000009</v>
      </c>
      <c r="M390">
        <f t="shared" si="53"/>
        <v>9.9999999999999645</v>
      </c>
      <c r="N390">
        <f t="shared" si="54"/>
        <v>11.000000000000032</v>
      </c>
      <c r="O390">
        <f t="shared" si="55"/>
        <v>9.9999999999999645</v>
      </c>
      <c r="P390">
        <f t="shared" si="56"/>
        <v>10.000000000000053</v>
      </c>
      <c r="Q390">
        <f t="shared" si="57"/>
        <v>11.000000000000032</v>
      </c>
      <c r="R390">
        <f t="shared" si="58"/>
        <v>6.0000000000000497</v>
      </c>
    </row>
    <row r="391" spans="1:18">
      <c r="A391" s="9">
        <v>37281</v>
      </c>
      <c r="B391">
        <v>2.52</v>
      </c>
      <c r="C391">
        <v>3.57</v>
      </c>
      <c r="D391">
        <v>4.3099999999999996</v>
      </c>
      <c r="E391">
        <v>4.78</v>
      </c>
      <c r="F391">
        <v>5.09</v>
      </c>
      <c r="G391">
        <v>5.48</v>
      </c>
      <c r="H391">
        <v>5.79</v>
      </c>
      <c r="I391">
        <v>6.16</v>
      </c>
      <c r="K391">
        <f t="shared" si="51"/>
        <v>6.999999999999984</v>
      </c>
      <c r="L391">
        <f t="shared" si="52"/>
        <v>9.9999999999999645</v>
      </c>
      <c r="M391">
        <f t="shared" si="53"/>
        <v>9.9999999999999645</v>
      </c>
      <c r="N391">
        <f t="shared" si="54"/>
        <v>8.9999999999999858</v>
      </c>
      <c r="O391">
        <f t="shared" si="55"/>
        <v>8.0000000000000071</v>
      </c>
      <c r="P391">
        <f t="shared" si="56"/>
        <v>8.0000000000000071</v>
      </c>
      <c r="Q391">
        <f t="shared" si="57"/>
        <v>5.9999999999999609</v>
      </c>
      <c r="R391">
        <f t="shared" si="58"/>
        <v>4.9999999999999822</v>
      </c>
    </row>
    <row r="392" spans="1:18">
      <c r="A392" s="9">
        <v>37284</v>
      </c>
      <c r="B392">
        <v>2.52</v>
      </c>
      <c r="C392">
        <v>3.56</v>
      </c>
      <c r="D392">
        <v>4.3</v>
      </c>
      <c r="E392">
        <v>4.7699999999999996</v>
      </c>
      <c r="F392">
        <v>5.0999999999999996</v>
      </c>
      <c r="G392">
        <v>5.49</v>
      </c>
      <c r="H392">
        <v>5.8</v>
      </c>
      <c r="I392">
        <v>6.16</v>
      </c>
      <c r="K392">
        <f t="shared" si="51"/>
        <v>0</v>
      </c>
      <c r="L392">
        <f t="shared" si="52"/>
        <v>-0.99999999999997868</v>
      </c>
      <c r="M392">
        <f t="shared" si="53"/>
        <v>-0.99999999999997868</v>
      </c>
      <c r="N392">
        <f t="shared" si="54"/>
        <v>-1.0000000000000675</v>
      </c>
      <c r="O392">
        <f t="shared" si="55"/>
        <v>0.99999999999997868</v>
      </c>
      <c r="P392">
        <f t="shared" si="56"/>
        <v>0.99999999999997868</v>
      </c>
      <c r="Q392">
        <f t="shared" si="57"/>
        <v>0.99999999999997868</v>
      </c>
      <c r="R392">
        <f t="shared" si="58"/>
        <v>0</v>
      </c>
    </row>
    <row r="393" spans="1:18">
      <c r="A393" s="9">
        <v>37285</v>
      </c>
      <c r="B393">
        <v>2.4900000000000002</v>
      </c>
      <c r="C393">
        <v>3.51</v>
      </c>
      <c r="D393">
        <v>4.24</v>
      </c>
      <c r="E393">
        <v>4.71</v>
      </c>
      <c r="F393">
        <v>5.04</v>
      </c>
      <c r="G393">
        <v>5.44</v>
      </c>
      <c r="H393">
        <v>5.77</v>
      </c>
      <c r="I393">
        <v>6.15</v>
      </c>
      <c r="K393">
        <f t="shared" si="51"/>
        <v>-2.9999999999999805</v>
      </c>
      <c r="L393">
        <f t="shared" si="52"/>
        <v>-5.0000000000000266</v>
      </c>
      <c r="M393">
        <f t="shared" si="53"/>
        <v>-5.9999999999999609</v>
      </c>
      <c r="N393">
        <f t="shared" si="54"/>
        <v>-5.9999999999999609</v>
      </c>
      <c r="O393">
        <f t="shared" si="55"/>
        <v>-5.9999999999999609</v>
      </c>
      <c r="P393">
        <f t="shared" si="56"/>
        <v>-4.9999999999999822</v>
      </c>
      <c r="Q393">
        <f t="shared" si="57"/>
        <v>-3.0000000000000249</v>
      </c>
      <c r="R393">
        <f t="shared" si="58"/>
        <v>-0.99999999999997868</v>
      </c>
    </row>
    <row r="394" spans="1:18">
      <c r="A394" s="9">
        <v>37286</v>
      </c>
      <c r="B394">
        <v>2.44</v>
      </c>
      <c r="C394">
        <v>3.43</v>
      </c>
      <c r="D394">
        <v>4.1500000000000004</v>
      </c>
      <c r="E394">
        <v>4.63</v>
      </c>
      <c r="F394">
        <v>4.97</v>
      </c>
      <c r="G394">
        <v>5.37</v>
      </c>
      <c r="H394">
        <v>5.71</v>
      </c>
      <c r="I394">
        <v>6.11</v>
      </c>
      <c r="K394">
        <f t="shared" si="51"/>
        <v>-5.0000000000000266</v>
      </c>
      <c r="L394">
        <f t="shared" si="52"/>
        <v>-7.9999999999999627</v>
      </c>
      <c r="M394">
        <f t="shared" si="53"/>
        <v>-8.9999999999999858</v>
      </c>
      <c r="N394">
        <f t="shared" si="54"/>
        <v>-8.0000000000000071</v>
      </c>
      <c r="O394">
        <f t="shared" si="55"/>
        <v>-7.0000000000000284</v>
      </c>
      <c r="P394">
        <f t="shared" si="56"/>
        <v>-7.0000000000000284</v>
      </c>
      <c r="Q394">
        <f t="shared" si="57"/>
        <v>-5.9999999999999609</v>
      </c>
      <c r="R394">
        <f t="shared" si="58"/>
        <v>-4.0000000000000036</v>
      </c>
    </row>
    <row r="395" spans="1:18">
      <c r="A395" s="9">
        <v>37287</v>
      </c>
      <c r="B395">
        <v>2.4900000000000002</v>
      </c>
      <c r="C395">
        <v>3.47</v>
      </c>
      <c r="D395">
        <v>4.17</v>
      </c>
      <c r="E395">
        <v>4.6500000000000004</v>
      </c>
      <c r="F395">
        <v>4.9800000000000004</v>
      </c>
      <c r="G395">
        <v>5.38</v>
      </c>
      <c r="H395">
        <v>5.71</v>
      </c>
      <c r="I395">
        <v>6.11</v>
      </c>
      <c r="K395">
        <f t="shared" si="51"/>
        <v>5.0000000000000266</v>
      </c>
      <c r="L395">
        <f t="shared" si="52"/>
        <v>4.0000000000000036</v>
      </c>
      <c r="M395">
        <f t="shared" si="53"/>
        <v>1.9999999999999574</v>
      </c>
      <c r="N395">
        <f t="shared" si="54"/>
        <v>2.0000000000000462</v>
      </c>
      <c r="O395">
        <f t="shared" si="55"/>
        <v>1.0000000000000675</v>
      </c>
      <c r="P395">
        <f t="shared" si="56"/>
        <v>0.99999999999997868</v>
      </c>
      <c r="Q395">
        <f t="shared" si="57"/>
        <v>0</v>
      </c>
      <c r="R395">
        <f t="shared" si="58"/>
        <v>0</v>
      </c>
    </row>
    <row r="396" spans="1:18">
      <c r="A396" s="9">
        <v>37288</v>
      </c>
      <c r="B396">
        <v>2.5099999999999998</v>
      </c>
      <c r="C396">
        <v>3.5</v>
      </c>
      <c r="D396">
        <v>4.21</v>
      </c>
      <c r="E396">
        <v>4.67</v>
      </c>
      <c r="F396">
        <v>4.99</v>
      </c>
      <c r="G396">
        <v>5.39</v>
      </c>
      <c r="H396">
        <v>5.71</v>
      </c>
      <c r="I396">
        <v>6.12</v>
      </c>
      <c r="K396">
        <f t="shared" si="51"/>
        <v>1.9999999999999574</v>
      </c>
      <c r="L396">
        <f t="shared" si="52"/>
        <v>2.9999999999999805</v>
      </c>
      <c r="M396">
        <f t="shared" si="53"/>
        <v>4.0000000000000036</v>
      </c>
      <c r="N396">
        <f t="shared" si="54"/>
        <v>1.9999999999999574</v>
      </c>
      <c r="O396">
        <f t="shared" si="55"/>
        <v>0.99999999999997868</v>
      </c>
      <c r="P396">
        <f t="shared" si="56"/>
        <v>0.99999999999997868</v>
      </c>
      <c r="Q396">
        <f t="shared" si="57"/>
        <v>0</v>
      </c>
      <c r="R396">
        <f t="shared" si="58"/>
        <v>0.99999999999997868</v>
      </c>
    </row>
    <row r="397" spans="1:18">
      <c r="A397" s="9">
        <v>37291</v>
      </c>
      <c r="B397">
        <v>2.44</v>
      </c>
      <c r="C397">
        <v>3.4</v>
      </c>
      <c r="D397">
        <v>4.1100000000000003</v>
      </c>
      <c r="E397">
        <v>4.58</v>
      </c>
      <c r="F397">
        <v>4.9000000000000004</v>
      </c>
      <c r="G397">
        <v>5.31</v>
      </c>
      <c r="H397">
        <v>5.65</v>
      </c>
      <c r="I397">
        <v>6.09</v>
      </c>
      <c r="K397">
        <f t="shared" si="51"/>
        <v>-6.999999999999984</v>
      </c>
      <c r="L397">
        <f t="shared" si="52"/>
        <v>-10.000000000000009</v>
      </c>
      <c r="M397">
        <f t="shared" si="53"/>
        <v>-9.9999999999999645</v>
      </c>
      <c r="N397">
        <f t="shared" si="54"/>
        <v>-8.9999999999999858</v>
      </c>
      <c r="O397">
        <f t="shared" si="55"/>
        <v>-8.9999999999999858</v>
      </c>
      <c r="P397">
        <f t="shared" si="56"/>
        <v>-8.0000000000000071</v>
      </c>
      <c r="Q397">
        <f t="shared" si="57"/>
        <v>-5.9999999999999609</v>
      </c>
      <c r="R397">
        <f t="shared" si="58"/>
        <v>-3.0000000000000249</v>
      </c>
    </row>
    <row r="398" spans="1:18">
      <c r="A398" s="9">
        <v>37292</v>
      </c>
      <c r="B398">
        <v>2.41</v>
      </c>
      <c r="C398">
        <v>3.38</v>
      </c>
      <c r="D398">
        <v>4.08</v>
      </c>
      <c r="E398">
        <v>4.55</v>
      </c>
      <c r="F398">
        <v>4.88</v>
      </c>
      <c r="G398">
        <v>5.29</v>
      </c>
      <c r="H398">
        <v>5.64</v>
      </c>
      <c r="I398">
        <v>6.09</v>
      </c>
      <c r="K398">
        <f t="shared" si="51"/>
        <v>-2.9999999999999805</v>
      </c>
      <c r="L398">
        <f t="shared" si="52"/>
        <v>-2.0000000000000018</v>
      </c>
      <c r="M398">
        <f t="shared" si="53"/>
        <v>-3.0000000000000249</v>
      </c>
      <c r="N398">
        <f t="shared" si="54"/>
        <v>-3.0000000000000249</v>
      </c>
      <c r="O398">
        <f t="shared" si="55"/>
        <v>-2.0000000000000462</v>
      </c>
      <c r="P398">
        <f t="shared" si="56"/>
        <v>-1.9999999999999574</v>
      </c>
      <c r="Q398">
        <f t="shared" si="57"/>
        <v>-1.0000000000000675</v>
      </c>
      <c r="R398">
        <f t="shared" si="58"/>
        <v>0</v>
      </c>
    </row>
    <row r="399" spans="1:18">
      <c r="A399" s="9">
        <v>37293</v>
      </c>
      <c r="B399">
        <v>2.4</v>
      </c>
      <c r="C399">
        <v>3.34</v>
      </c>
      <c r="D399">
        <v>4.05</v>
      </c>
      <c r="E399">
        <v>4.53</v>
      </c>
      <c r="F399">
        <v>4.8600000000000003</v>
      </c>
      <c r="G399">
        <v>5.28</v>
      </c>
      <c r="H399">
        <v>5.63</v>
      </c>
      <c r="I399">
        <v>6.08</v>
      </c>
      <c r="K399">
        <f t="shared" si="51"/>
        <v>-1.0000000000000231</v>
      </c>
      <c r="L399">
        <f t="shared" si="52"/>
        <v>-4.0000000000000036</v>
      </c>
      <c r="M399">
        <f t="shared" si="53"/>
        <v>-3.0000000000000249</v>
      </c>
      <c r="N399">
        <f t="shared" si="54"/>
        <v>-1.9999999999999574</v>
      </c>
      <c r="O399">
        <f t="shared" si="55"/>
        <v>-1.9999999999999574</v>
      </c>
      <c r="P399">
        <f t="shared" si="56"/>
        <v>-0.99999999999997868</v>
      </c>
      <c r="Q399">
        <f t="shared" si="57"/>
        <v>-0.99999999999997868</v>
      </c>
      <c r="R399">
        <f t="shared" si="58"/>
        <v>-0.99999999999997868</v>
      </c>
    </row>
    <row r="400" spans="1:18">
      <c r="A400" s="9">
        <v>37294</v>
      </c>
      <c r="B400">
        <v>2.42</v>
      </c>
      <c r="C400">
        <v>3.38</v>
      </c>
      <c r="D400">
        <v>4.0999999999999996</v>
      </c>
      <c r="E400">
        <v>4.59</v>
      </c>
      <c r="F400">
        <v>4.9400000000000004</v>
      </c>
      <c r="G400">
        <v>5.35</v>
      </c>
      <c r="H400">
        <v>5.71</v>
      </c>
      <c r="I400">
        <v>6.14</v>
      </c>
      <c r="K400">
        <f t="shared" si="51"/>
        <v>2.0000000000000018</v>
      </c>
      <c r="L400">
        <f t="shared" si="52"/>
        <v>4.0000000000000036</v>
      </c>
      <c r="M400">
        <f t="shared" si="53"/>
        <v>4.9999999999999822</v>
      </c>
      <c r="N400">
        <f t="shared" si="54"/>
        <v>5.9999999999999609</v>
      </c>
      <c r="O400">
        <f t="shared" si="55"/>
        <v>8.0000000000000071</v>
      </c>
      <c r="P400">
        <f t="shared" si="56"/>
        <v>6.9999999999999396</v>
      </c>
      <c r="Q400">
        <f t="shared" si="57"/>
        <v>8.0000000000000071</v>
      </c>
      <c r="R400">
        <f t="shared" si="58"/>
        <v>5.9999999999999609</v>
      </c>
    </row>
    <row r="401" spans="1:18">
      <c r="A401" s="9">
        <v>37295</v>
      </c>
      <c r="B401">
        <v>2.39</v>
      </c>
      <c r="C401">
        <v>3.33</v>
      </c>
      <c r="D401">
        <v>4.04</v>
      </c>
      <c r="E401">
        <v>4.53</v>
      </c>
      <c r="F401">
        <v>4.87</v>
      </c>
      <c r="G401">
        <v>5.29</v>
      </c>
      <c r="H401">
        <v>5.65</v>
      </c>
      <c r="I401">
        <v>6.11</v>
      </c>
      <c r="K401">
        <f t="shared" si="51"/>
        <v>-2.9999999999999805</v>
      </c>
      <c r="L401">
        <f t="shared" si="52"/>
        <v>-4.9999999999999822</v>
      </c>
      <c r="M401">
        <f t="shared" si="53"/>
        <v>-5.9999999999999609</v>
      </c>
      <c r="N401">
        <f t="shared" si="54"/>
        <v>-5.9999999999999609</v>
      </c>
      <c r="O401">
        <f t="shared" si="55"/>
        <v>-7.0000000000000284</v>
      </c>
      <c r="P401">
        <f t="shared" si="56"/>
        <v>-5.9999999999999609</v>
      </c>
      <c r="Q401">
        <f t="shared" si="57"/>
        <v>-5.9999999999999609</v>
      </c>
      <c r="R401">
        <f t="shared" si="58"/>
        <v>-2.9999999999999361</v>
      </c>
    </row>
    <row r="402" spans="1:18">
      <c r="A402" s="9">
        <v>37298</v>
      </c>
      <c r="B402">
        <v>2.41</v>
      </c>
      <c r="C402">
        <v>3.34</v>
      </c>
      <c r="D402">
        <v>4.05</v>
      </c>
      <c r="E402">
        <v>4.53</v>
      </c>
      <c r="F402">
        <v>4.88</v>
      </c>
      <c r="G402">
        <v>5.31</v>
      </c>
      <c r="H402">
        <v>5.66</v>
      </c>
      <c r="I402">
        <v>6.12</v>
      </c>
      <c r="K402">
        <f t="shared" si="51"/>
        <v>2.0000000000000018</v>
      </c>
      <c r="L402">
        <f t="shared" si="52"/>
        <v>0.99999999999997868</v>
      </c>
      <c r="M402">
        <f t="shared" si="53"/>
        <v>0.99999999999997868</v>
      </c>
      <c r="N402">
        <f t="shared" si="54"/>
        <v>0</v>
      </c>
      <c r="O402">
        <f t="shared" si="55"/>
        <v>0.99999999999997868</v>
      </c>
      <c r="P402">
        <f t="shared" si="56"/>
        <v>1.9999999999999574</v>
      </c>
      <c r="Q402">
        <f t="shared" si="57"/>
        <v>0.99999999999997868</v>
      </c>
      <c r="R402">
        <f t="shared" si="58"/>
        <v>0.99999999999997868</v>
      </c>
    </row>
    <row r="403" spans="1:18">
      <c r="A403" s="9">
        <v>37299</v>
      </c>
      <c r="B403">
        <v>2.41</v>
      </c>
      <c r="C403">
        <v>3.34</v>
      </c>
      <c r="D403">
        <v>4.04</v>
      </c>
      <c r="E403">
        <v>4.51</v>
      </c>
      <c r="F403">
        <v>4.8600000000000003</v>
      </c>
      <c r="G403">
        <v>5.28</v>
      </c>
      <c r="H403">
        <v>5.63</v>
      </c>
      <c r="I403">
        <v>6.09</v>
      </c>
      <c r="K403">
        <f t="shared" si="51"/>
        <v>0</v>
      </c>
      <c r="L403">
        <f t="shared" si="52"/>
        <v>0</v>
      </c>
      <c r="M403">
        <f t="shared" si="53"/>
        <v>-0.99999999999997868</v>
      </c>
      <c r="N403">
        <f t="shared" si="54"/>
        <v>-2.0000000000000462</v>
      </c>
      <c r="O403">
        <f t="shared" si="55"/>
        <v>-1.9999999999999574</v>
      </c>
      <c r="P403">
        <f t="shared" si="56"/>
        <v>-2.9999999999999361</v>
      </c>
      <c r="Q403">
        <f t="shared" si="57"/>
        <v>-3.0000000000000249</v>
      </c>
      <c r="R403">
        <f t="shared" si="58"/>
        <v>-3.0000000000000249</v>
      </c>
    </row>
    <row r="404" spans="1:18">
      <c r="A404" s="9">
        <v>37300</v>
      </c>
      <c r="B404">
        <v>2.5</v>
      </c>
      <c r="C404">
        <v>3.46</v>
      </c>
      <c r="D404">
        <v>4.16</v>
      </c>
      <c r="E404">
        <v>4.63</v>
      </c>
      <c r="F404">
        <v>4.97</v>
      </c>
      <c r="G404">
        <v>5.39</v>
      </c>
      <c r="H404">
        <v>5.74</v>
      </c>
      <c r="I404">
        <v>6.17</v>
      </c>
      <c r="K404">
        <f t="shared" si="51"/>
        <v>8.9999999999999858</v>
      </c>
      <c r="L404">
        <f t="shared" si="52"/>
        <v>12.000000000000011</v>
      </c>
      <c r="M404">
        <f t="shared" si="53"/>
        <v>12.000000000000011</v>
      </c>
      <c r="N404">
        <f t="shared" si="54"/>
        <v>12.000000000000011</v>
      </c>
      <c r="O404">
        <f t="shared" si="55"/>
        <v>10.999999999999943</v>
      </c>
      <c r="P404">
        <f t="shared" si="56"/>
        <v>10.999999999999943</v>
      </c>
      <c r="Q404">
        <f t="shared" si="57"/>
        <v>11.000000000000032</v>
      </c>
      <c r="R404">
        <f t="shared" si="58"/>
        <v>8.0000000000000071</v>
      </c>
    </row>
    <row r="405" spans="1:18">
      <c r="A405" s="9">
        <v>37301</v>
      </c>
      <c r="B405">
        <v>2.5299999999999998</v>
      </c>
      <c r="C405">
        <v>3.49</v>
      </c>
      <c r="D405">
        <v>4.18</v>
      </c>
      <c r="E405">
        <v>4.6399999999999997</v>
      </c>
      <c r="F405">
        <v>4.96</v>
      </c>
      <c r="G405">
        <v>5.37</v>
      </c>
      <c r="H405">
        <v>5.7</v>
      </c>
      <c r="I405">
        <v>6.13</v>
      </c>
      <c r="K405">
        <f t="shared" si="51"/>
        <v>2.9999999999999805</v>
      </c>
      <c r="L405">
        <f t="shared" si="52"/>
        <v>3.0000000000000249</v>
      </c>
      <c r="M405">
        <f t="shared" si="53"/>
        <v>1.9999999999999574</v>
      </c>
      <c r="N405">
        <f t="shared" si="54"/>
        <v>0.99999999999997868</v>
      </c>
      <c r="O405">
        <f t="shared" si="55"/>
        <v>-0.99999999999997868</v>
      </c>
      <c r="P405">
        <f t="shared" si="56"/>
        <v>-1.9999999999999574</v>
      </c>
      <c r="Q405">
        <f t="shared" si="57"/>
        <v>-4.0000000000000036</v>
      </c>
      <c r="R405">
        <f t="shared" si="58"/>
        <v>-4.0000000000000036</v>
      </c>
    </row>
    <row r="406" spans="1:18">
      <c r="A406" s="9">
        <v>37302</v>
      </c>
      <c r="B406">
        <v>2.46</v>
      </c>
      <c r="C406">
        <v>3.38</v>
      </c>
      <c r="D406">
        <v>4.07</v>
      </c>
      <c r="E406">
        <v>4.53</v>
      </c>
      <c r="F406">
        <v>4.8499999999999996</v>
      </c>
      <c r="G406">
        <v>5.26</v>
      </c>
      <c r="H406">
        <v>5.59</v>
      </c>
      <c r="I406">
        <v>6.05</v>
      </c>
      <c r="K406">
        <f t="shared" si="51"/>
        <v>-6.999999999999984</v>
      </c>
      <c r="L406">
        <f t="shared" si="52"/>
        <v>-11.000000000000032</v>
      </c>
      <c r="M406">
        <f t="shared" si="53"/>
        <v>-10.999999999999943</v>
      </c>
      <c r="N406">
        <f t="shared" si="54"/>
        <v>-10.999999999999943</v>
      </c>
      <c r="O406">
        <f t="shared" si="55"/>
        <v>-11.000000000000032</v>
      </c>
      <c r="P406">
        <f t="shared" si="56"/>
        <v>-11.000000000000032</v>
      </c>
      <c r="Q406">
        <f t="shared" si="57"/>
        <v>-11.000000000000032</v>
      </c>
      <c r="R406">
        <f t="shared" si="58"/>
        <v>-8.0000000000000071</v>
      </c>
    </row>
    <row r="407" spans="1:18">
      <c r="A407" s="9">
        <v>37306</v>
      </c>
      <c r="B407">
        <v>2.4500000000000002</v>
      </c>
      <c r="C407">
        <v>3.36</v>
      </c>
      <c r="D407">
        <v>4.04</v>
      </c>
      <c r="E407">
        <v>4.5</v>
      </c>
      <c r="F407">
        <v>4.84</v>
      </c>
      <c r="G407">
        <v>5.25</v>
      </c>
      <c r="H407">
        <v>5.59</v>
      </c>
      <c r="I407">
        <v>6.05</v>
      </c>
      <c r="K407">
        <f t="shared" si="51"/>
        <v>-0.99999999999997868</v>
      </c>
      <c r="L407">
        <f t="shared" si="52"/>
        <v>-2.0000000000000018</v>
      </c>
      <c r="M407">
        <f t="shared" si="53"/>
        <v>-3.0000000000000249</v>
      </c>
      <c r="N407">
        <f t="shared" si="54"/>
        <v>-3.0000000000000249</v>
      </c>
      <c r="O407">
        <f t="shared" si="55"/>
        <v>-0.99999999999997868</v>
      </c>
      <c r="P407">
        <f t="shared" si="56"/>
        <v>-0.99999999999997868</v>
      </c>
      <c r="Q407">
        <f t="shared" si="57"/>
        <v>0</v>
      </c>
      <c r="R407">
        <f t="shared" si="58"/>
        <v>0</v>
      </c>
    </row>
    <row r="408" spans="1:18">
      <c r="A408" s="9">
        <v>37307</v>
      </c>
      <c r="B408">
        <v>2.4500000000000002</v>
      </c>
      <c r="C408">
        <v>3.36</v>
      </c>
      <c r="D408">
        <v>4.04</v>
      </c>
      <c r="E408">
        <v>4.5</v>
      </c>
      <c r="F408">
        <v>4.82</v>
      </c>
      <c r="G408">
        <v>5.25</v>
      </c>
      <c r="H408">
        <v>5.59</v>
      </c>
      <c r="I408">
        <v>6.05</v>
      </c>
      <c r="K408">
        <f t="shared" si="51"/>
        <v>0</v>
      </c>
      <c r="L408">
        <f t="shared" si="52"/>
        <v>0</v>
      </c>
      <c r="M408">
        <f t="shared" si="53"/>
        <v>0</v>
      </c>
      <c r="N408">
        <f t="shared" si="54"/>
        <v>0</v>
      </c>
      <c r="O408">
        <f t="shared" si="55"/>
        <v>-1.9999999999999574</v>
      </c>
      <c r="P408">
        <f t="shared" si="56"/>
        <v>0</v>
      </c>
      <c r="Q408">
        <f t="shared" si="57"/>
        <v>0</v>
      </c>
      <c r="R408">
        <f t="shared" si="58"/>
        <v>0</v>
      </c>
    </row>
    <row r="409" spans="1:18">
      <c r="A409" s="9">
        <v>37308</v>
      </c>
      <c r="B409">
        <v>2.46</v>
      </c>
      <c r="C409">
        <v>3.38</v>
      </c>
      <c r="D409">
        <v>4.05</v>
      </c>
      <c r="E409">
        <v>4.51</v>
      </c>
      <c r="F409">
        <v>4.83</v>
      </c>
      <c r="G409">
        <v>5.24</v>
      </c>
      <c r="H409">
        <v>5.58</v>
      </c>
      <c r="I409">
        <v>6.04</v>
      </c>
      <c r="K409">
        <f t="shared" si="51"/>
        <v>0.99999999999997868</v>
      </c>
      <c r="L409">
        <f t="shared" si="52"/>
        <v>2.0000000000000018</v>
      </c>
      <c r="M409">
        <f t="shared" si="53"/>
        <v>0.99999999999997868</v>
      </c>
      <c r="N409">
        <f t="shared" si="54"/>
        <v>0.99999999999997868</v>
      </c>
      <c r="O409">
        <f t="shared" si="55"/>
        <v>0.99999999999997868</v>
      </c>
      <c r="P409">
        <f t="shared" si="56"/>
        <v>-0.99999999999997868</v>
      </c>
      <c r="Q409">
        <f t="shared" si="57"/>
        <v>-0.99999999999997868</v>
      </c>
      <c r="R409">
        <f t="shared" si="58"/>
        <v>-0.99999999999997868</v>
      </c>
    </row>
    <row r="410" spans="1:18">
      <c r="A410" s="9">
        <v>37309</v>
      </c>
      <c r="B410">
        <v>2.4500000000000002</v>
      </c>
      <c r="C410">
        <v>3.35</v>
      </c>
      <c r="D410">
        <v>4.03</v>
      </c>
      <c r="E410">
        <v>4.47</v>
      </c>
      <c r="F410">
        <v>4.78</v>
      </c>
      <c r="G410">
        <v>5.2</v>
      </c>
      <c r="H410">
        <v>5.55</v>
      </c>
      <c r="I410">
        <v>6.01</v>
      </c>
      <c r="K410">
        <f t="shared" si="51"/>
        <v>-0.99999999999997868</v>
      </c>
      <c r="L410">
        <f t="shared" si="52"/>
        <v>-2.9999999999999805</v>
      </c>
      <c r="M410">
        <f t="shared" si="53"/>
        <v>-1.9999999999999574</v>
      </c>
      <c r="N410">
        <f t="shared" si="54"/>
        <v>-4.0000000000000036</v>
      </c>
      <c r="O410">
        <f t="shared" si="55"/>
        <v>-4.9999999999999822</v>
      </c>
      <c r="P410">
        <f t="shared" si="56"/>
        <v>-4.0000000000000036</v>
      </c>
      <c r="Q410">
        <f t="shared" si="57"/>
        <v>-3.0000000000000249</v>
      </c>
      <c r="R410">
        <f t="shared" si="58"/>
        <v>-3.0000000000000249</v>
      </c>
    </row>
    <row r="411" spans="1:18">
      <c r="A411" s="9">
        <v>37312</v>
      </c>
      <c r="B411">
        <v>2.48</v>
      </c>
      <c r="C411">
        <v>3.39</v>
      </c>
      <c r="D411">
        <v>4.07</v>
      </c>
      <c r="E411">
        <v>4.51</v>
      </c>
      <c r="F411">
        <v>4.83</v>
      </c>
      <c r="G411">
        <v>5.24</v>
      </c>
      <c r="H411">
        <v>5.57</v>
      </c>
      <c r="I411">
        <v>6.04</v>
      </c>
      <c r="K411">
        <f t="shared" si="51"/>
        <v>2.9999999999999805</v>
      </c>
      <c r="L411">
        <f t="shared" si="52"/>
        <v>4.0000000000000036</v>
      </c>
      <c r="M411">
        <f t="shared" si="53"/>
        <v>4.0000000000000036</v>
      </c>
      <c r="N411">
        <f t="shared" si="54"/>
        <v>4.0000000000000036</v>
      </c>
      <c r="O411">
        <f t="shared" si="55"/>
        <v>4.9999999999999822</v>
      </c>
      <c r="P411">
        <f t="shared" si="56"/>
        <v>4.0000000000000036</v>
      </c>
      <c r="Q411">
        <f t="shared" si="57"/>
        <v>2.0000000000000462</v>
      </c>
      <c r="R411">
        <f t="shared" si="58"/>
        <v>3.0000000000000249</v>
      </c>
    </row>
    <row r="412" spans="1:18">
      <c r="A412" s="9">
        <v>37313</v>
      </c>
      <c r="B412">
        <v>2.4700000000000002</v>
      </c>
      <c r="C412">
        <v>3.4</v>
      </c>
      <c r="D412">
        <v>4.0599999999999996</v>
      </c>
      <c r="E412">
        <v>4.51</v>
      </c>
      <c r="F412">
        <v>4.82</v>
      </c>
      <c r="G412">
        <v>5.24</v>
      </c>
      <c r="H412">
        <v>5.57</v>
      </c>
      <c r="I412">
        <v>6.03</v>
      </c>
      <c r="K412">
        <f t="shared" si="51"/>
        <v>-0.99999999999997868</v>
      </c>
      <c r="L412">
        <f t="shared" si="52"/>
        <v>0.99999999999997868</v>
      </c>
      <c r="M412">
        <f t="shared" si="53"/>
        <v>-1.0000000000000675</v>
      </c>
      <c r="N412">
        <f t="shared" si="54"/>
        <v>0</v>
      </c>
      <c r="O412">
        <f t="shared" si="55"/>
        <v>-0.99999999999997868</v>
      </c>
      <c r="P412">
        <f t="shared" si="56"/>
        <v>0</v>
      </c>
      <c r="Q412">
        <f t="shared" si="57"/>
        <v>0</v>
      </c>
      <c r="R412">
        <f t="shared" si="58"/>
        <v>-0.99999999999997868</v>
      </c>
    </row>
    <row r="413" spans="1:18">
      <c r="A413" s="9">
        <v>37314</v>
      </c>
      <c r="B413">
        <v>2.46</v>
      </c>
      <c r="C413">
        <v>3.41</v>
      </c>
      <c r="D413">
        <v>4.07</v>
      </c>
      <c r="E413">
        <v>4.51</v>
      </c>
      <c r="F413">
        <v>4.82</v>
      </c>
      <c r="G413">
        <v>5.24</v>
      </c>
      <c r="H413">
        <v>5.59</v>
      </c>
      <c r="I413">
        <v>6.05</v>
      </c>
      <c r="K413">
        <f t="shared" si="51"/>
        <v>-1.0000000000000231</v>
      </c>
      <c r="L413">
        <f t="shared" si="52"/>
        <v>1.0000000000000231</v>
      </c>
      <c r="M413">
        <f t="shared" si="53"/>
        <v>1.0000000000000675</v>
      </c>
      <c r="N413">
        <f t="shared" si="54"/>
        <v>0</v>
      </c>
      <c r="O413">
        <f t="shared" si="55"/>
        <v>0</v>
      </c>
      <c r="P413">
        <f t="shared" si="56"/>
        <v>0</v>
      </c>
      <c r="Q413">
        <f t="shared" si="57"/>
        <v>1.9999999999999574</v>
      </c>
      <c r="R413">
        <f t="shared" si="58"/>
        <v>1.9999999999999574</v>
      </c>
    </row>
    <row r="414" spans="1:18">
      <c r="A414" s="9">
        <v>37315</v>
      </c>
      <c r="B414">
        <v>2.48</v>
      </c>
      <c r="C414">
        <v>3.43</v>
      </c>
      <c r="D414">
        <v>4.08</v>
      </c>
      <c r="E414">
        <v>4.5</v>
      </c>
      <c r="F414">
        <v>4.8</v>
      </c>
      <c r="G414">
        <v>5.2</v>
      </c>
      <c r="H414">
        <v>5.54</v>
      </c>
      <c r="I414">
        <v>6.01</v>
      </c>
      <c r="K414">
        <f t="shared" si="51"/>
        <v>2.0000000000000018</v>
      </c>
      <c r="L414">
        <f t="shared" si="52"/>
        <v>2.0000000000000018</v>
      </c>
      <c r="M414">
        <f t="shared" si="53"/>
        <v>0.99999999999997868</v>
      </c>
      <c r="N414">
        <f t="shared" si="54"/>
        <v>-0.99999999999997868</v>
      </c>
      <c r="O414">
        <f t="shared" si="55"/>
        <v>-2.0000000000000462</v>
      </c>
      <c r="P414">
        <f t="shared" si="56"/>
        <v>-4.0000000000000036</v>
      </c>
      <c r="Q414">
        <f t="shared" si="57"/>
        <v>-4.9999999999999822</v>
      </c>
      <c r="R414">
        <f t="shared" si="58"/>
        <v>-4.0000000000000036</v>
      </c>
    </row>
    <row r="415" spans="1:18">
      <c r="A415" s="9">
        <v>37316</v>
      </c>
      <c r="B415">
        <v>2.56</v>
      </c>
      <c r="C415">
        <v>3.55</v>
      </c>
      <c r="D415">
        <v>4.1900000000000004</v>
      </c>
      <c r="E415">
        <v>4.6100000000000003</v>
      </c>
      <c r="F415">
        <v>4.91</v>
      </c>
      <c r="G415">
        <v>5.31</v>
      </c>
      <c r="H415">
        <v>5.63</v>
      </c>
      <c r="I415">
        <v>6.08</v>
      </c>
      <c r="K415">
        <f t="shared" si="51"/>
        <v>8.0000000000000071</v>
      </c>
      <c r="L415">
        <f t="shared" si="52"/>
        <v>11.999999999999966</v>
      </c>
      <c r="M415">
        <f t="shared" si="53"/>
        <v>11.000000000000032</v>
      </c>
      <c r="N415">
        <f t="shared" si="54"/>
        <v>11.000000000000032</v>
      </c>
      <c r="O415">
        <f t="shared" si="55"/>
        <v>11.000000000000032</v>
      </c>
      <c r="P415">
        <f t="shared" si="56"/>
        <v>10.999999999999943</v>
      </c>
      <c r="Q415">
        <f t="shared" si="57"/>
        <v>8.9999999999999858</v>
      </c>
      <c r="R415">
        <f t="shared" si="58"/>
        <v>7.0000000000000284</v>
      </c>
    </row>
    <row r="416" spans="1:18">
      <c r="A416" s="9">
        <v>37319</v>
      </c>
      <c r="B416">
        <v>2.63</v>
      </c>
      <c r="C416">
        <v>3.65</v>
      </c>
      <c r="D416">
        <v>4.2699999999999996</v>
      </c>
      <c r="E416">
        <v>4.6900000000000004</v>
      </c>
      <c r="F416">
        <v>4.9800000000000004</v>
      </c>
      <c r="G416">
        <v>5.38</v>
      </c>
      <c r="H416">
        <v>5.7</v>
      </c>
      <c r="I416">
        <v>6.13</v>
      </c>
      <c r="K416">
        <f t="shared" si="51"/>
        <v>6.999999999999984</v>
      </c>
      <c r="L416">
        <f t="shared" si="52"/>
        <v>10.000000000000009</v>
      </c>
      <c r="M416">
        <f t="shared" si="53"/>
        <v>7.9999999999999183</v>
      </c>
      <c r="N416">
        <f t="shared" si="54"/>
        <v>8.0000000000000071</v>
      </c>
      <c r="O416">
        <f t="shared" si="55"/>
        <v>7.0000000000000284</v>
      </c>
      <c r="P416">
        <f t="shared" si="56"/>
        <v>7.0000000000000284</v>
      </c>
      <c r="Q416">
        <f t="shared" si="57"/>
        <v>7.0000000000000284</v>
      </c>
      <c r="R416">
        <f t="shared" si="58"/>
        <v>4.9999999999999822</v>
      </c>
    </row>
    <row r="417" spans="1:18">
      <c r="A417" s="9">
        <v>37320</v>
      </c>
      <c r="B417">
        <v>2.66</v>
      </c>
      <c r="C417">
        <v>3.69</v>
      </c>
      <c r="D417">
        <v>4.3099999999999996</v>
      </c>
      <c r="E417">
        <v>4.71</v>
      </c>
      <c r="F417">
        <v>5</v>
      </c>
      <c r="G417">
        <v>5.4</v>
      </c>
      <c r="H417">
        <v>5.73</v>
      </c>
      <c r="I417">
        <v>6.12</v>
      </c>
      <c r="K417">
        <f t="shared" si="51"/>
        <v>3.0000000000000249</v>
      </c>
      <c r="L417">
        <f t="shared" si="52"/>
        <v>4.0000000000000036</v>
      </c>
      <c r="M417">
        <f t="shared" si="53"/>
        <v>4.0000000000000036</v>
      </c>
      <c r="N417">
        <f t="shared" si="54"/>
        <v>1.9999999999999574</v>
      </c>
      <c r="O417">
        <f t="shared" si="55"/>
        <v>1.9999999999999574</v>
      </c>
      <c r="P417">
        <f t="shared" si="56"/>
        <v>2.0000000000000462</v>
      </c>
      <c r="Q417">
        <f t="shared" si="57"/>
        <v>3.0000000000000249</v>
      </c>
      <c r="R417">
        <f t="shared" si="58"/>
        <v>-0.99999999999997868</v>
      </c>
    </row>
    <row r="418" spans="1:18">
      <c r="A418" s="9">
        <v>37321</v>
      </c>
      <c r="B418">
        <v>2.61</v>
      </c>
      <c r="C418">
        <v>3.64</v>
      </c>
      <c r="D418">
        <v>4.2699999999999996</v>
      </c>
      <c r="E418">
        <v>4.68</v>
      </c>
      <c r="F418">
        <v>4.9800000000000004</v>
      </c>
      <c r="G418">
        <v>5.38</v>
      </c>
      <c r="H418">
        <v>5.71</v>
      </c>
      <c r="I418">
        <v>6.13</v>
      </c>
      <c r="K418">
        <f t="shared" si="51"/>
        <v>-5.0000000000000266</v>
      </c>
      <c r="L418">
        <f t="shared" si="52"/>
        <v>-4.9999999999999822</v>
      </c>
      <c r="M418">
        <f t="shared" si="53"/>
        <v>-4.0000000000000036</v>
      </c>
      <c r="N418">
        <f t="shared" si="54"/>
        <v>-3.0000000000000249</v>
      </c>
      <c r="O418">
        <f t="shared" si="55"/>
        <v>-1.9999999999999574</v>
      </c>
      <c r="P418">
        <f t="shared" si="56"/>
        <v>-2.0000000000000462</v>
      </c>
      <c r="Q418">
        <f t="shared" si="57"/>
        <v>-2.0000000000000462</v>
      </c>
      <c r="R418">
        <f t="shared" si="58"/>
        <v>0.99999999999997868</v>
      </c>
    </row>
    <row r="419" spans="1:18">
      <c r="A419" s="9">
        <v>37322</v>
      </c>
      <c r="B419">
        <v>2.74</v>
      </c>
      <c r="C419">
        <v>3.78</v>
      </c>
      <c r="D419">
        <v>4.41</v>
      </c>
      <c r="E419">
        <v>4.83</v>
      </c>
      <c r="F419">
        <v>5.13</v>
      </c>
      <c r="G419">
        <v>5.53</v>
      </c>
      <c r="H419">
        <v>5.87</v>
      </c>
      <c r="I419">
        <v>6.25</v>
      </c>
      <c r="K419">
        <f t="shared" si="51"/>
        <v>13.000000000000034</v>
      </c>
      <c r="L419">
        <f t="shared" si="52"/>
        <v>13.999999999999968</v>
      </c>
      <c r="M419">
        <f t="shared" si="53"/>
        <v>14.000000000000057</v>
      </c>
      <c r="N419">
        <f t="shared" si="54"/>
        <v>15.000000000000036</v>
      </c>
      <c r="O419">
        <f t="shared" si="55"/>
        <v>14.999999999999947</v>
      </c>
      <c r="P419">
        <f t="shared" si="56"/>
        <v>15.000000000000036</v>
      </c>
      <c r="Q419">
        <f t="shared" si="57"/>
        <v>16.000000000000014</v>
      </c>
      <c r="R419">
        <f t="shared" si="58"/>
        <v>12.000000000000011</v>
      </c>
    </row>
    <row r="420" spans="1:18">
      <c r="A420" s="9">
        <v>37323</v>
      </c>
      <c r="B420">
        <v>2.84</v>
      </c>
      <c r="C420">
        <v>3.92</v>
      </c>
      <c r="D420">
        <v>4.55</v>
      </c>
      <c r="E420">
        <v>4.97</v>
      </c>
      <c r="F420">
        <v>5.26</v>
      </c>
      <c r="G420">
        <v>5.65</v>
      </c>
      <c r="H420">
        <v>5.98</v>
      </c>
      <c r="I420">
        <v>6.31</v>
      </c>
      <c r="K420">
        <f t="shared" si="51"/>
        <v>9.9999999999999645</v>
      </c>
      <c r="L420">
        <f t="shared" si="52"/>
        <v>14.000000000000012</v>
      </c>
      <c r="M420">
        <f t="shared" si="53"/>
        <v>13.999999999999968</v>
      </c>
      <c r="N420">
        <f t="shared" si="54"/>
        <v>13.999999999999968</v>
      </c>
      <c r="O420">
        <f t="shared" si="55"/>
        <v>12.999999999999989</v>
      </c>
      <c r="P420">
        <f t="shared" si="56"/>
        <v>12.000000000000011</v>
      </c>
      <c r="Q420">
        <f t="shared" si="57"/>
        <v>11.000000000000032</v>
      </c>
      <c r="R420">
        <f t="shared" si="58"/>
        <v>5.9999999999999609</v>
      </c>
    </row>
    <row r="421" spans="1:18">
      <c r="A421" s="9">
        <v>37326</v>
      </c>
      <c r="B421">
        <v>2.88</v>
      </c>
      <c r="C421">
        <v>3.97</v>
      </c>
      <c r="D421">
        <v>4.5999999999999996</v>
      </c>
      <c r="E421">
        <v>5.01</v>
      </c>
      <c r="F421">
        <v>5.3</v>
      </c>
      <c r="G421">
        <v>5.68</v>
      </c>
      <c r="H421">
        <v>5.99</v>
      </c>
      <c r="I421">
        <v>6.32</v>
      </c>
      <c r="K421">
        <f t="shared" si="51"/>
        <v>4.0000000000000036</v>
      </c>
      <c r="L421">
        <f t="shared" si="52"/>
        <v>5.0000000000000266</v>
      </c>
      <c r="M421">
        <f t="shared" si="53"/>
        <v>4.9999999999999822</v>
      </c>
      <c r="N421">
        <f t="shared" si="54"/>
        <v>4.0000000000000036</v>
      </c>
      <c r="O421">
        <f t="shared" si="55"/>
        <v>4.0000000000000036</v>
      </c>
      <c r="P421">
        <f t="shared" si="56"/>
        <v>2.9999999999999361</v>
      </c>
      <c r="Q421">
        <f t="shared" si="57"/>
        <v>0.99999999999997868</v>
      </c>
      <c r="R421">
        <f t="shared" si="58"/>
        <v>1.0000000000000675</v>
      </c>
    </row>
    <row r="422" spans="1:18">
      <c r="A422" s="9">
        <v>37327</v>
      </c>
      <c r="B422">
        <v>2.86</v>
      </c>
      <c r="C422">
        <v>3.94</v>
      </c>
      <c r="D422">
        <v>4.57</v>
      </c>
      <c r="E422">
        <v>4.9800000000000004</v>
      </c>
      <c r="F422">
        <v>5.26</v>
      </c>
      <c r="G422">
        <v>5.66</v>
      </c>
      <c r="H422">
        <v>5.98</v>
      </c>
      <c r="I422">
        <v>6.32</v>
      </c>
      <c r="K422">
        <f t="shared" si="51"/>
        <v>-2.0000000000000018</v>
      </c>
      <c r="L422">
        <f t="shared" si="52"/>
        <v>-3.0000000000000249</v>
      </c>
      <c r="M422">
        <f t="shared" si="53"/>
        <v>-2.9999999999999361</v>
      </c>
      <c r="N422">
        <f t="shared" si="54"/>
        <v>-2.9999999999999361</v>
      </c>
      <c r="O422">
        <f t="shared" si="55"/>
        <v>-4.0000000000000036</v>
      </c>
      <c r="P422">
        <f t="shared" si="56"/>
        <v>-1.9999999999999574</v>
      </c>
      <c r="Q422">
        <f t="shared" si="57"/>
        <v>-0.99999999999997868</v>
      </c>
      <c r="R422">
        <f t="shared" si="58"/>
        <v>0</v>
      </c>
    </row>
    <row r="423" spans="1:18">
      <c r="A423" s="9">
        <v>37328</v>
      </c>
      <c r="B423">
        <v>2.85</v>
      </c>
      <c r="C423">
        <v>3.94</v>
      </c>
      <c r="D423">
        <v>4.5599999999999996</v>
      </c>
      <c r="E423">
        <v>4.97</v>
      </c>
      <c r="F423">
        <v>5.26</v>
      </c>
      <c r="G423">
        <v>5.66</v>
      </c>
      <c r="H423">
        <v>5.99</v>
      </c>
      <c r="I423">
        <v>6.35</v>
      </c>
      <c r="K423">
        <f t="shared" si="51"/>
        <v>-0.99999999999997868</v>
      </c>
      <c r="L423">
        <f t="shared" si="52"/>
        <v>0</v>
      </c>
      <c r="M423">
        <f t="shared" si="53"/>
        <v>-1.0000000000000675</v>
      </c>
      <c r="N423">
        <f t="shared" si="54"/>
        <v>-1.0000000000000675</v>
      </c>
      <c r="O423">
        <f t="shared" si="55"/>
        <v>0</v>
      </c>
      <c r="P423">
        <f t="shared" si="56"/>
        <v>0</v>
      </c>
      <c r="Q423">
        <f t="shared" si="57"/>
        <v>0.99999999999997868</v>
      </c>
      <c r="R423">
        <f t="shared" si="58"/>
        <v>2.9999999999999361</v>
      </c>
    </row>
    <row r="424" spans="1:18">
      <c r="A424" s="9">
        <v>37329</v>
      </c>
      <c r="B424">
        <v>2.89</v>
      </c>
      <c r="C424">
        <v>3.97</v>
      </c>
      <c r="D424">
        <v>4.6100000000000003</v>
      </c>
      <c r="E424">
        <v>5.03</v>
      </c>
      <c r="F424">
        <v>5.33</v>
      </c>
      <c r="G424">
        <v>5.72</v>
      </c>
      <c r="H424">
        <v>6.05</v>
      </c>
      <c r="I424">
        <v>6.4</v>
      </c>
      <c r="K424">
        <f t="shared" si="51"/>
        <v>4.0000000000000036</v>
      </c>
      <c r="L424">
        <f t="shared" si="52"/>
        <v>3.0000000000000249</v>
      </c>
      <c r="M424">
        <f t="shared" si="53"/>
        <v>5.0000000000000711</v>
      </c>
      <c r="N424">
        <f t="shared" si="54"/>
        <v>6.0000000000000497</v>
      </c>
      <c r="O424">
        <f t="shared" si="55"/>
        <v>7.0000000000000284</v>
      </c>
      <c r="P424">
        <f t="shared" si="56"/>
        <v>5.9999999999999609</v>
      </c>
      <c r="Q424">
        <f t="shared" si="57"/>
        <v>5.9999999999999609</v>
      </c>
      <c r="R424">
        <f t="shared" si="58"/>
        <v>5.0000000000000711</v>
      </c>
    </row>
    <row r="425" spans="1:18">
      <c r="A425" s="9">
        <v>37330</v>
      </c>
      <c r="B425">
        <v>2.96</v>
      </c>
      <c r="C425">
        <v>4.08</v>
      </c>
      <c r="D425">
        <v>4.72</v>
      </c>
      <c r="E425">
        <v>5.12</v>
      </c>
      <c r="F425">
        <v>5.41</v>
      </c>
      <c r="G425">
        <v>5.79</v>
      </c>
      <c r="H425">
        <v>6.09</v>
      </c>
      <c r="I425">
        <v>6.42</v>
      </c>
      <c r="K425">
        <f t="shared" si="51"/>
        <v>6.999999999999984</v>
      </c>
      <c r="L425">
        <f t="shared" si="52"/>
        <v>10.999999999999988</v>
      </c>
      <c r="M425">
        <f t="shared" si="53"/>
        <v>10.999999999999943</v>
      </c>
      <c r="N425">
        <f t="shared" si="54"/>
        <v>8.9999999999999858</v>
      </c>
      <c r="O425">
        <f t="shared" si="55"/>
        <v>8.0000000000000071</v>
      </c>
      <c r="P425">
        <f t="shared" si="56"/>
        <v>7.0000000000000284</v>
      </c>
      <c r="Q425">
        <f t="shared" si="57"/>
        <v>4.0000000000000036</v>
      </c>
      <c r="R425">
        <f t="shared" si="58"/>
        <v>1.9999999999999574</v>
      </c>
    </row>
    <row r="426" spans="1:18">
      <c r="A426" s="9">
        <v>37333</v>
      </c>
      <c r="B426">
        <v>2.95</v>
      </c>
      <c r="C426">
        <v>4.04</v>
      </c>
      <c r="D426">
        <v>4.66</v>
      </c>
      <c r="E426">
        <v>5.0599999999999996</v>
      </c>
      <c r="F426">
        <v>5.33</v>
      </c>
      <c r="G426">
        <v>5.69</v>
      </c>
      <c r="H426">
        <v>5.99</v>
      </c>
      <c r="I426">
        <v>6.33</v>
      </c>
      <c r="K426">
        <f t="shared" si="51"/>
        <v>-0.99999999999997868</v>
      </c>
      <c r="L426">
        <f t="shared" si="52"/>
        <v>-4.0000000000000036</v>
      </c>
      <c r="M426">
        <f t="shared" si="53"/>
        <v>-5.9999999999999609</v>
      </c>
      <c r="N426">
        <f t="shared" si="54"/>
        <v>-6.0000000000000497</v>
      </c>
      <c r="O426">
        <f t="shared" si="55"/>
        <v>-8.0000000000000071</v>
      </c>
      <c r="P426">
        <f t="shared" si="56"/>
        <v>-9.9999999999999645</v>
      </c>
      <c r="Q426">
        <f t="shared" si="57"/>
        <v>-9.9999999999999645</v>
      </c>
      <c r="R426">
        <f t="shared" si="58"/>
        <v>-8.9999999999999858</v>
      </c>
    </row>
    <row r="427" spans="1:18">
      <c r="A427" s="9">
        <v>37334</v>
      </c>
      <c r="B427">
        <v>2.95</v>
      </c>
      <c r="C427">
        <v>4.05</v>
      </c>
      <c r="D427">
        <v>4.67</v>
      </c>
      <c r="E427">
        <v>5.0599999999999996</v>
      </c>
      <c r="F427">
        <v>5.33</v>
      </c>
      <c r="G427">
        <v>5.7</v>
      </c>
      <c r="H427">
        <v>5.99</v>
      </c>
      <c r="I427">
        <v>6.33</v>
      </c>
      <c r="K427">
        <f t="shared" si="51"/>
        <v>0</v>
      </c>
      <c r="L427">
        <f t="shared" si="52"/>
        <v>0.99999999999997868</v>
      </c>
      <c r="M427">
        <f t="shared" si="53"/>
        <v>0.99999999999997868</v>
      </c>
      <c r="N427">
        <f t="shared" si="54"/>
        <v>0</v>
      </c>
      <c r="O427">
        <f t="shared" si="55"/>
        <v>0</v>
      </c>
      <c r="P427">
        <f t="shared" si="56"/>
        <v>0.99999999999997868</v>
      </c>
      <c r="Q427">
        <f t="shared" si="57"/>
        <v>0</v>
      </c>
      <c r="R427">
        <f t="shared" si="58"/>
        <v>0</v>
      </c>
    </row>
    <row r="428" spans="1:18">
      <c r="A428" s="9">
        <v>37335</v>
      </c>
      <c r="B428">
        <v>2.96</v>
      </c>
      <c r="C428">
        <v>4.07</v>
      </c>
      <c r="D428">
        <v>4.7</v>
      </c>
      <c r="E428">
        <v>5.0999999999999996</v>
      </c>
      <c r="F428">
        <v>5.38</v>
      </c>
      <c r="G428">
        <v>5.74</v>
      </c>
      <c r="H428">
        <v>6.03</v>
      </c>
      <c r="I428">
        <v>6.38</v>
      </c>
      <c r="K428">
        <f t="shared" si="51"/>
        <v>0.99999999999997868</v>
      </c>
      <c r="L428">
        <f t="shared" si="52"/>
        <v>2.0000000000000462</v>
      </c>
      <c r="M428">
        <f t="shared" si="53"/>
        <v>3.0000000000000249</v>
      </c>
      <c r="N428">
        <f t="shared" si="54"/>
        <v>4.0000000000000036</v>
      </c>
      <c r="O428">
        <f t="shared" si="55"/>
        <v>4.9999999999999822</v>
      </c>
      <c r="P428">
        <f t="shared" si="56"/>
        <v>4.0000000000000036</v>
      </c>
      <c r="Q428">
        <f t="shared" si="57"/>
        <v>4.0000000000000036</v>
      </c>
      <c r="R428">
        <f t="shared" si="58"/>
        <v>4.9999999999999822</v>
      </c>
    </row>
    <row r="429" spans="1:18">
      <c r="A429" s="9">
        <v>37336</v>
      </c>
      <c r="B429">
        <v>3.08</v>
      </c>
      <c r="C429">
        <v>4.2</v>
      </c>
      <c r="D429">
        <v>4.82</v>
      </c>
      <c r="E429">
        <v>5.21</v>
      </c>
      <c r="F429">
        <v>5.48</v>
      </c>
      <c r="G429">
        <v>5.84</v>
      </c>
      <c r="H429">
        <v>6.13</v>
      </c>
      <c r="I429">
        <v>6.45</v>
      </c>
      <c r="K429">
        <f t="shared" si="51"/>
        <v>12.000000000000011</v>
      </c>
      <c r="L429">
        <f t="shared" si="52"/>
        <v>12.999999999999989</v>
      </c>
      <c r="M429">
        <f t="shared" si="53"/>
        <v>12.000000000000011</v>
      </c>
      <c r="N429">
        <f t="shared" si="54"/>
        <v>11.000000000000032</v>
      </c>
      <c r="O429">
        <f t="shared" si="55"/>
        <v>10.000000000000053</v>
      </c>
      <c r="P429">
        <f t="shared" si="56"/>
        <v>9.9999999999999645</v>
      </c>
      <c r="Q429">
        <f t="shared" si="57"/>
        <v>9.9999999999999645</v>
      </c>
      <c r="R429">
        <f t="shared" si="58"/>
        <v>7.0000000000000284</v>
      </c>
    </row>
    <row r="430" spans="1:18">
      <c r="A430" s="9">
        <v>37337</v>
      </c>
      <c r="B430">
        <v>3.06</v>
      </c>
      <c r="C430">
        <v>4.16</v>
      </c>
      <c r="D430">
        <v>4.7699999999999996</v>
      </c>
      <c r="E430">
        <v>5.15</v>
      </c>
      <c r="F430">
        <v>5.42</v>
      </c>
      <c r="G430">
        <v>5.77</v>
      </c>
      <c r="H430">
        <v>6.05</v>
      </c>
      <c r="I430">
        <v>6.37</v>
      </c>
      <c r="K430">
        <f t="shared" si="51"/>
        <v>-2.0000000000000018</v>
      </c>
      <c r="L430">
        <f t="shared" si="52"/>
        <v>-4.0000000000000036</v>
      </c>
      <c r="M430">
        <f t="shared" si="53"/>
        <v>-5.0000000000000711</v>
      </c>
      <c r="N430">
        <f t="shared" si="54"/>
        <v>-5.9999999999999609</v>
      </c>
      <c r="O430">
        <f t="shared" si="55"/>
        <v>-6.0000000000000497</v>
      </c>
      <c r="P430">
        <f t="shared" si="56"/>
        <v>-7.0000000000000284</v>
      </c>
      <c r="Q430">
        <f t="shared" si="57"/>
        <v>-8.0000000000000071</v>
      </c>
      <c r="R430">
        <f t="shared" si="58"/>
        <v>-8.0000000000000071</v>
      </c>
    </row>
    <row r="431" spans="1:18">
      <c r="A431" s="9">
        <v>37340</v>
      </c>
      <c r="B431">
        <v>3.09</v>
      </c>
      <c r="C431">
        <v>4.2</v>
      </c>
      <c r="D431">
        <v>4.8099999999999996</v>
      </c>
      <c r="E431">
        <v>5.19</v>
      </c>
      <c r="F431">
        <v>5.45</v>
      </c>
      <c r="G431">
        <v>5.8</v>
      </c>
      <c r="H431">
        <v>6.09</v>
      </c>
      <c r="I431">
        <v>6.41</v>
      </c>
      <c r="K431">
        <f t="shared" si="51"/>
        <v>2.9999999999999805</v>
      </c>
      <c r="L431">
        <f t="shared" si="52"/>
        <v>4.0000000000000036</v>
      </c>
      <c r="M431">
        <f t="shared" si="53"/>
        <v>4.0000000000000036</v>
      </c>
      <c r="N431">
        <f t="shared" si="54"/>
        <v>4.0000000000000036</v>
      </c>
      <c r="O431">
        <f t="shared" si="55"/>
        <v>3.0000000000000249</v>
      </c>
      <c r="P431">
        <f t="shared" si="56"/>
        <v>3.0000000000000249</v>
      </c>
      <c r="Q431">
        <f t="shared" si="57"/>
        <v>4.0000000000000036</v>
      </c>
      <c r="R431">
        <f t="shared" si="58"/>
        <v>4.0000000000000036</v>
      </c>
    </row>
    <row r="432" spans="1:18">
      <c r="A432" s="9">
        <v>37341</v>
      </c>
      <c r="B432">
        <v>3.04</v>
      </c>
      <c r="C432">
        <v>4.1100000000000003</v>
      </c>
      <c r="D432">
        <v>4.72</v>
      </c>
      <c r="E432">
        <v>5.0999999999999996</v>
      </c>
      <c r="F432">
        <v>5.36</v>
      </c>
      <c r="G432">
        <v>5.71</v>
      </c>
      <c r="H432">
        <v>6</v>
      </c>
      <c r="I432">
        <v>6.32</v>
      </c>
      <c r="K432">
        <f t="shared" si="51"/>
        <v>-4.9999999999999822</v>
      </c>
      <c r="L432">
        <f t="shared" si="52"/>
        <v>-8.9999999999999858</v>
      </c>
      <c r="M432">
        <f t="shared" si="53"/>
        <v>-8.9999999999999858</v>
      </c>
      <c r="N432">
        <f t="shared" si="54"/>
        <v>-9.0000000000000746</v>
      </c>
      <c r="O432">
        <f t="shared" si="55"/>
        <v>-8.9999999999999858</v>
      </c>
      <c r="P432">
        <f t="shared" si="56"/>
        <v>-8.9999999999999858</v>
      </c>
      <c r="Q432">
        <f t="shared" si="57"/>
        <v>-8.9999999999999858</v>
      </c>
      <c r="R432">
        <f t="shared" si="58"/>
        <v>-8.9999999999999858</v>
      </c>
    </row>
    <row r="433" spans="1:18">
      <c r="A433" s="9">
        <v>37342</v>
      </c>
      <c r="B433">
        <v>3.03</v>
      </c>
      <c r="C433">
        <v>4.09</v>
      </c>
      <c r="D433">
        <v>4.6900000000000004</v>
      </c>
      <c r="E433">
        <v>5.07</v>
      </c>
      <c r="F433">
        <v>5.33</v>
      </c>
      <c r="G433">
        <v>5.69</v>
      </c>
      <c r="H433">
        <v>5.97</v>
      </c>
      <c r="I433">
        <v>6.3</v>
      </c>
      <c r="K433">
        <f t="shared" si="51"/>
        <v>-1.0000000000000231</v>
      </c>
      <c r="L433">
        <f t="shared" si="52"/>
        <v>-2.0000000000000462</v>
      </c>
      <c r="M433">
        <f t="shared" si="53"/>
        <v>-2.9999999999999361</v>
      </c>
      <c r="N433">
        <f t="shared" si="54"/>
        <v>-2.9999999999999361</v>
      </c>
      <c r="O433">
        <f t="shared" si="55"/>
        <v>-3.0000000000000249</v>
      </c>
      <c r="P433">
        <f t="shared" si="56"/>
        <v>-1.9999999999999574</v>
      </c>
      <c r="Q433">
        <f t="shared" si="57"/>
        <v>-3.0000000000000249</v>
      </c>
      <c r="R433">
        <f t="shared" si="58"/>
        <v>-2.0000000000000462</v>
      </c>
    </row>
    <row r="434" spans="1:18">
      <c r="A434" s="9">
        <v>37343</v>
      </c>
      <c r="B434">
        <v>3.06</v>
      </c>
      <c r="C434">
        <v>4.13</v>
      </c>
      <c r="D434">
        <v>4.7300000000000004</v>
      </c>
      <c r="E434">
        <v>5.12</v>
      </c>
      <c r="F434">
        <v>5.4</v>
      </c>
      <c r="G434">
        <v>5.77</v>
      </c>
      <c r="H434">
        <v>6.06</v>
      </c>
      <c r="I434">
        <v>6.39</v>
      </c>
      <c r="K434">
        <f t="shared" si="51"/>
        <v>3.0000000000000249</v>
      </c>
      <c r="L434">
        <f t="shared" si="52"/>
        <v>4.0000000000000036</v>
      </c>
      <c r="M434">
        <f t="shared" si="53"/>
        <v>4.0000000000000036</v>
      </c>
      <c r="N434">
        <f t="shared" si="54"/>
        <v>4.9999999999999822</v>
      </c>
      <c r="O434">
        <f t="shared" si="55"/>
        <v>7.0000000000000284</v>
      </c>
      <c r="P434">
        <f t="shared" si="56"/>
        <v>7.9999999999999183</v>
      </c>
      <c r="Q434">
        <f t="shared" si="57"/>
        <v>8.9999999999999858</v>
      </c>
      <c r="R434">
        <f t="shared" si="58"/>
        <v>8.9999999999999858</v>
      </c>
    </row>
    <row r="435" spans="1:18">
      <c r="A435" s="9">
        <v>37347</v>
      </c>
      <c r="B435">
        <v>3.06</v>
      </c>
      <c r="C435">
        <v>4.1399999999999997</v>
      </c>
      <c r="D435">
        <v>4.75</v>
      </c>
      <c r="E435">
        <v>5.15</v>
      </c>
      <c r="F435">
        <v>5.43</v>
      </c>
      <c r="G435">
        <v>5.8</v>
      </c>
      <c r="H435">
        <v>6.09</v>
      </c>
      <c r="I435">
        <v>6.41</v>
      </c>
      <c r="K435">
        <f t="shared" si="51"/>
        <v>0</v>
      </c>
      <c r="L435">
        <f t="shared" si="52"/>
        <v>0.99999999999997868</v>
      </c>
      <c r="M435">
        <f t="shared" si="53"/>
        <v>1.9999999999999574</v>
      </c>
      <c r="N435">
        <f t="shared" si="54"/>
        <v>3.0000000000000249</v>
      </c>
      <c r="O435">
        <f t="shared" si="55"/>
        <v>2.9999999999999361</v>
      </c>
      <c r="P435">
        <f t="shared" si="56"/>
        <v>3.0000000000000249</v>
      </c>
      <c r="Q435">
        <f t="shared" si="57"/>
        <v>3.0000000000000249</v>
      </c>
      <c r="R435">
        <f t="shared" si="58"/>
        <v>2.0000000000000462</v>
      </c>
    </row>
    <row r="436" spans="1:18">
      <c r="A436" s="9">
        <v>37348</v>
      </c>
      <c r="B436">
        <v>3.04</v>
      </c>
      <c r="C436">
        <v>4.1100000000000003</v>
      </c>
      <c r="D436">
        <v>4.72</v>
      </c>
      <c r="E436">
        <v>5.12</v>
      </c>
      <c r="F436">
        <v>5.41</v>
      </c>
      <c r="G436">
        <v>5.78</v>
      </c>
      <c r="H436">
        <v>6.08</v>
      </c>
      <c r="I436">
        <v>6.41</v>
      </c>
      <c r="K436">
        <f t="shared" si="51"/>
        <v>-2.0000000000000018</v>
      </c>
      <c r="L436">
        <f t="shared" si="52"/>
        <v>-2.9999999999999361</v>
      </c>
      <c r="M436">
        <f t="shared" si="53"/>
        <v>-3.0000000000000249</v>
      </c>
      <c r="N436">
        <f t="shared" si="54"/>
        <v>-3.0000000000000249</v>
      </c>
      <c r="O436">
        <f t="shared" si="55"/>
        <v>-1.9999999999999574</v>
      </c>
      <c r="P436">
        <f t="shared" si="56"/>
        <v>-1.9999999999999574</v>
      </c>
      <c r="Q436">
        <f t="shared" si="57"/>
        <v>-0.99999999999997868</v>
      </c>
      <c r="R436">
        <f t="shared" si="58"/>
        <v>0</v>
      </c>
    </row>
    <row r="437" spans="1:18">
      <c r="A437" s="9">
        <v>37349</v>
      </c>
      <c r="B437">
        <v>2.96</v>
      </c>
      <c r="C437">
        <v>3.99</v>
      </c>
      <c r="D437">
        <v>4.58</v>
      </c>
      <c r="E437">
        <v>4.97</v>
      </c>
      <c r="F437">
        <v>5.25</v>
      </c>
      <c r="G437">
        <v>5.63</v>
      </c>
      <c r="H437">
        <v>5.94</v>
      </c>
      <c r="I437">
        <v>6.29</v>
      </c>
      <c r="K437">
        <f t="shared" si="51"/>
        <v>-8.0000000000000071</v>
      </c>
      <c r="L437">
        <f t="shared" si="52"/>
        <v>-12.000000000000011</v>
      </c>
      <c r="M437">
        <f t="shared" si="53"/>
        <v>-13.999999999999968</v>
      </c>
      <c r="N437">
        <f t="shared" si="54"/>
        <v>-15.000000000000036</v>
      </c>
      <c r="O437">
        <f t="shared" si="55"/>
        <v>-16.000000000000014</v>
      </c>
      <c r="P437">
        <f t="shared" si="56"/>
        <v>-15.000000000000036</v>
      </c>
      <c r="Q437">
        <f t="shared" si="57"/>
        <v>-13.999999999999968</v>
      </c>
      <c r="R437">
        <f t="shared" si="58"/>
        <v>-12.000000000000011</v>
      </c>
    </row>
    <row r="438" spans="1:18">
      <c r="A438" s="9">
        <v>37350</v>
      </c>
      <c r="B438">
        <v>2.94</v>
      </c>
      <c r="C438">
        <v>3.96</v>
      </c>
      <c r="D438">
        <v>4.55</v>
      </c>
      <c r="E438">
        <v>4.9400000000000004</v>
      </c>
      <c r="F438">
        <v>5.22</v>
      </c>
      <c r="G438">
        <v>5.58</v>
      </c>
      <c r="H438">
        <v>5.89</v>
      </c>
      <c r="I438">
        <v>6.27</v>
      </c>
      <c r="K438">
        <f t="shared" si="51"/>
        <v>-2.0000000000000018</v>
      </c>
      <c r="L438">
        <f t="shared" si="52"/>
        <v>-3.0000000000000249</v>
      </c>
      <c r="M438">
        <f t="shared" si="53"/>
        <v>-3.0000000000000249</v>
      </c>
      <c r="N438">
        <f t="shared" si="54"/>
        <v>-2.9999999999999361</v>
      </c>
      <c r="O438">
        <f t="shared" si="55"/>
        <v>-3.0000000000000249</v>
      </c>
      <c r="P438">
        <f t="shared" si="56"/>
        <v>-4.9999999999999822</v>
      </c>
      <c r="Q438">
        <f t="shared" si="57"/>
        <v>-5.0000000000000711</v>
      </c>
      <c r="R438">
        <f t="shared" si="58"/>
        <v>-2.0000000000000462</v>
      </c>
    </row>
    <row r="439" spans="1:18">
      <c r="A439" s="9">
        <v>37351</v>
      </c>
      <c r="B439">
        <v>2.9</v>
      </c>
      <c r="C439">
        <v>3.94</v>
      </c>
      <c r="D439">
        <v>4.5199999999999996</v>
      </c>
      <c r="E439">
        <v>4.91</v>
      </c>
      <c r="F439">
        <v>5.19</v>
      </c>
      <c r="G439">
        <v>5.56</v>
      </c>
      <c r="H439">
        <v>5.88</v>
      </c>
      <c r="I439">
        <v>6.25</v>
      </c>
      <c r="K439">
        <f t="shared" si="51"/>
        <v>-4.0000000000000036</v>
      </c>
      <c r="L439">
        <f t="shared" si="52"/>
        <v>-2.0000000000000018</v>
      </c>
      <c r="M439">
        <f t="shared" si="53"/>
        <v>-3.0000000000000249</v>
      </c>
      <c r="N439">
        <f t="shared" si="54"/>
        <v>-3.0000000000000249</v>
      </c>
      <c r="O439">
        <f t="shared" si="55"/>
        <v>-2.9999999999999361</v>
      </c>
      <c r="P439">
        <f t="shared" si="56"/>
        <v>-2.0000000000000462</v>
      </c>
      <c r="Q439">
        <f t="shared" si="57"/>
        <v>-0.99999999999997868</v>
      </c>
      <c r="R439">
        <f t="shared" si="58"/>
        <v>-1.9999999999999574</v>
      </c>
    </row>
    <row r="440" spans="1:18">
      <c r="A440" s="9">
        <v>37354</v>
      </c>
      <c r="B440">
        <v>2.83</v>
      </c>
      <c r="C440">
        <v>3.88</v>
      </c>
      <c r="D440">
        <v>4.4800000000000004</v>
      </c>
      <c r="E440">
        <v>4.88</v>
      </c>
      <c r="F440">
        <v>5.16</v>
      </c>
      <c r="G440">
        <v>5.54</v>
      </c>
      <c r="H440">
        <v>5.85</v>
      </c>
      <c r="I440">
        <v>6.24</v>
      </c>
      <c r="K440">
        <f t="shared" si="51"/>
        <v>-6.999999999999984</v>
      </c>
      <c r="L440">
        <f t="shared" si="52"/>
        <v>-6.0000000000000053</v>
      </c>
      <c r="M440">
        <f t="shared" si="53"/>
        <v>-3.9999999999999147</v>
      </c>
      <c r="N440">
        <f t="shared" si="54"/>
        <v>-3.0000000000000249</v>
      </c>
      <c r="O440">
        <f t="shared" si="55"/>
        <v>-3.0000000000000249</v>
      </c>
      <c r="P440">
        <f t="shared" si="56"/>
        <v>-1.9999999999999574</v>
      </c>
      <c r="Q440">
        <f t="shared" si="57"/>
        <v>-3.0000000000000249</v>
      </c>
      <c r="R440">
        <f t="shared" si="58"/>
        <v>-0.99999999999997868</v>
      </c>
    </row>
    <row r="441" spans="1:18">
      <c r="A441" s="9">
        <v>37355</v>
      </c>
      <c r="B441">
        <v>2.86</v>
      </c>
      <c r="C441">
        <v>3.93</v>
      </c>
      <c r="D441">
        <v>4.53</v>
      </c>
      <c r="E441">
        <v>4.93</v>
      </c>
      <c r="F441">
        <v>5.21</v>
      </c>
      <c r="G441">
        <v>5.58</v>
      </c>
      <c r="H441">
        <v>5.89</v>
      </c>
      <c r="I441">
        <v>6.26</v>
      </c>
      <c r="K441">
        <f t="shared" si="51"/>
        <v>2.9999999999999805</v>
      </c>
      <c r="L441">
        <f t="shared" si="52"/>
        <v>5.0000000000000266</v>
      </c>
      <c r="M441">
        <f t="shared" si="53"/>
        <v>4.9999999999999822</v>
      </c>
      <c r="N441">
        <f t="shared" si="54"/>
        <v>4.9999999999999822</v>
      </c>
      <c r="O441">
        <f t="shared" si="55"/>
        <v>4.9999999999999822</v>
      </c>
      <c r="P441">
        <f t="shared" si="56"/>
        <v>4.0000000000000036</v>
      </c>
      <c r="Q441">
        <f t="shared" si="57"/>
        <v>4.0000000000000036</v>
      </c>
      <c r="R441">
        <f t="shared" si="58"/>
        <v>1.9999999999999574</v>
      </c>
    </row>
    <row r="442" spans="1:18">
      <c r="A442" s="9">
        <v>37356</v>
      </c>
      <c r="B442">
        <v>2.84</v>
      </c>
      <c r="C442">
        <v>3.88</v>
      </c>
      <c r="D442">
        <v>4.49</v>
      </c>
      <c r="E442">
        <v>4.8899999999999997</v>
      </c>
      <c r="F442">
        <v>5.17</v>
      </c>
      <c r="G442">
        <v>5.55</v>
      </c>
      <c r="H442">
        <v>5.86</v>
      </c>
      <c r="I442">
        <v>6.24</v>
      </c>
      <c r="K442">
        <f t="shared" si="51"/>
        <v>-2.0000000000000018</v>
      </c>
      <c r="L442">
        <f t="shared" si="52"/>
        <v>-5.0000000000000266</v>
      </c>
      <c r="M442">
        <f t="shared" si="53"/>
        <v>-4.0000000000000036</v>
      </c>
      <c r="N442">
        <f t="shared" si="54"/>
        <v>-4.0000000000000036</v>
      </c>
      <c r="O442">
        <f t="shared" si="55"/>
        <v>-4.0000000000000036</v>
      </c>
      <c r="P442">
        <f t="shared" si="56"/>
        <v>-3.0000000000000249</v>
      </c>
      <c r="Q442">
        <f t="shared" si="57"/>
        <v>-2.9999999999999361</v>
      </c>
      <c r="R442">
        <f t="shared" si="58"/>
        <v>-1.9999999999999574</v>
      </c>
    </row>
    <row r="443" spans="1:18">
      <c r="A443" s="9">
        <v>37357</v>
      </c>
      <c r="B443">
        <v>2.83</v>
      </c>
      <c r="C443">
        <v>3.86</v>
      </c>
      <c r="D443">
        <v>4.45</v>
      </c>
      <c r="E443">
        <v>4.8600000000000003</v>
      </c>
      <c r="F443">
        <v>5.14</v>
      </c>
      <c r="G443">
        <v>5.53</v>
      </c>
      <c r="H443">
        <v>5.85</v>
      </c>
      <c r="I443">
        <v>6.24</v>
      </c>
      <c r="K443">
        <f t="shared" si="51"/>
        <v>-0.99999999999997868</v>
      </c>
      <c r="L443">
        <f t="shared" si="52"/>
        <v>-2.0000000000000018</v>
      </c>
      <c r="M443">
        <f t="shared" si="53"/>
        <v>-4.0000000000000036</v>
      </c>
      <c r="N443">
        <f t="shared" si="54"/>
        <v>-2.9999999999999361</v>
      </c>
      <c r="O443">
        <f t="shared" si="55"/>
        <v>-3.0000000000000249</v>
      </c>
      <c r="P443">
        <f t="shared" si="56"/>
        <v>-1.9999999999999574</v>
      </c>
      <c r="Q443">
        <f t="shared" si="57"/>
        <v>-1.0000000000000675</v>
      </c>
      <c r="R443">
        <f t="shared" si="58"/>
        <v>0</v>
      </c>
    </row>
    <row r="444" spans="1:18">
      <c r="A444" s="9">
        <v>37358</v>
      </c>
      <c r="B444">
        <v>2.79</v>
      </c>
      <c r="C444">
        <v>3.83</v>
      </c>
      <c r="D444">
        <v>4.45</v>
      </c>
      <c r="E444">
        <v>4.8499999999999996</v>
      </c>
      <c r="F444">
        <v>5.13</v>
      </c>
      <c r="G444">
        <v>5.51</v>
      </c>
      <c r="H444">
        <v>5.84</v>
      </c>
      <c r="I444">
        <v>6.24</v>
      </c>
      <c r="K444">
        <f t="shared" si="51"/>
        <v>-4.0000000000000036</v>
      </c>
      <c r="L444">
        <f t="shared" si="52"/>
        <v>-2.9999999999999805</v>
      </c>
      <c r="M444">
        <f t="shared" si="53"/>
        <v>0</v>
      </c>
      <c r="N444">
        <f t="shared" si="54"/>
        <v>-1.0000000000000675</v>
      </c>
      <c r="O444">
        <f t="shared" si="55"/>
        <v>-0.99999999999997868</v>
      </c>
      <c r="P444">
        <f t="shared" si="56"/>
        <v>-2.0000000000000462</v>
      </c>
      <c r="Q444">
        <f t="shared" si="57"/>
        <v>-0.99999999999997868</v>
      </c>
      <c r="R444">
        <f t="shared" si="58"/>
        <v>0</v>
      </c>
    </row>
    <row r="445" spans="1:18">
      <c r="A445" s="9">
        <v>37361</v>
      </c>
      <c r="B445">
        <v>2.77</v>
      </c>
      <c r="C445">
        <v>3.81</v>
      </c>
      <c r="D445">
        <v>4.42</v>
      </c>
      <c r="E445">
        <v>4.82</v>
      </c>
      <c r="F445">
        <v>5.1100000000000003</v>
      </c>
      <c r="G445">
        <v>5.49</v>
      </c>
      <c r="H445">
        <v>5.81</v>
      </c>
      <c r="I445">
        <v>6.22</v>
      </c>
      <c r="K445">
        <f t="shared" si="51"/>
        <v>-2.0000000000000018</v>
      </c>
      <c r="L445">
        <f t="shared" si="52"/>
        <v>-2.0000000000000018</v>
      </c>
      <c r="M445">
        <f t="shared" si="53"/>
        <v>-3.0000000000000249</v>
      </c>
      <c r="N445">
        <f t="shared" si="54"/>
        <v>-2.9999999999999361</v>
      </c>
      <c r="O445">
        <f t="shared" si="55"/>
        <v>-1.9999999999999574</v>
      </c>
      <c r="P445">
        <f t="shared" si="56"/>
        <v>-1.9999999999999574</v>
      </c>
      <c r="Q445">
        <f t="shared" si="57"/>
        <v>-3.0000000000000249</v>
      </c>
      <c r="R445">
        <f t="shared" si="58"/>
        <v>-2.0000000000000462</v>
      </c>
    </row>
    <row r="446" spans="1:18">
      <c r="A446" s="9">
        <v>37362</v>
      </c>
      <c r="B446">
        <v>2.85</v>
      </c>
      <c r="C446">
        <v>3.89</v>
      </c>
      <c r="D446">
        <v>4.5</v>
      </c>
      <c r="E446">
        <v>4.9000000000000004</v>
      </c>
      <c r="F446">
        <v>5.17</v>
      </c>
      <c r="G446">
        <v>5.56</v>
      </c>
      <c r="H446">
        <v>5.88</v>
      </c>
      <c r="I446">
        <v>6.25</v>
      </c>
      <c r="K446">
        <f t="shared" si="51"/>
        <v>8.0000000000000071</v>
      </c>
      <c r="L446">
        <f t="shared" si="52"/>
        <v>8.0000000000000071</v>
      </c>
      <c r="M446">
        <f t="shared" si="53"/>
        <v>8.0000000000000071</v>
      </c>
      <c r="N446">
        <f t="shared" si="54"/>
        <v>8.0000000000000071</v>
      </c>
      <c r="O446">
        <f t="shared" si="55"/>
        <v>5.9999999999999609</v>
      </c>
      <c r="P446">
        <f t="shared" si="56"/>
        <v>6.9999999999999396</v>
      </c>
      <c r="Q446">
        <f t="shared" si="57"/>
        <v>7.0000000000000284</v>
      </c>
      <c r="R446">
        <f t="shared" si="58"/>
        <v>3.0000000000000249</v>
      </c>
    </row>
    <row r="447" spans="1:18">
      <c r="A447" s="9">
        <v>37363</v>
      </c>
      <c r="B447">
        <v>2.74</v>
      </c>
      <c r="C447">
        <v>3.79</v>
      </c>
      <c r="D447">
        <v>4.42</v>
      </c>
      <c r="E447">
        <v>4.82</v>
      </c>
      <c r="F447">
        <v>5.0999999999999996</v>
      </c>
      <c r="G447">
        <v>5.5</v>
      </c>
      <c r="H447">
        <v>5.85</v>
      </c>
      <c r="I447">
        <v>6.23</v>
      </c>
      <c r="K447">
        <f t="shared" si="51"/>
        <v>-10.999999999999988</v>
      </c>
      <c r="L447">
        <f t="shared" si="52"/>
        <v>-10.000000000000009</v>
      </c>
      <c r="M447">
        <f t="shared" si="53"/>
        <v>-8.0000000000000071</v>
      </c>
      <c r="N447">
        <f t="shared" si="54"/>
        <v>-8.0000000000000071</v>
      </c>
      <c r="O447">
        <f t="shared" si="55"/>
        <v>-7.0000000000000284</v>
      </c>
      <c r="P447">
        <f t="shared" si="56"/>
        <v>-5.9999999999999609</v>
      </c>
      <c r="Q447">
        <f t="shared" si="57"/>
        <v>-3.0000000000000249</v>
      </c>
      <c r="R447">
        <f t="shared" si="58"/>
        <v>-1.9999999999999574</v>
      </c>
    </row>
    <row r="448" spans="1:18">
      <c r="A448" s="9">
        <v>37364</v>
      </c>
      <c r="B448">
        <v>2.71</v>
      </c>
      <c r="C448">
        <v>3.79</v>
      </c>
      <c r="D448">
        <v>4.42</v>
      </c>
      <c r="E448">
        <v>4.83</v>
      </c>
      <c r="F448">
        <v>5.12</v>
      </c>
      <c r="G448">
        <v>5.52</v>
      </c>
      <c r="H448">
        <v>5.85</v>
      </c>
      <c r="I448">
        <v>6.26</v>
      </c>
      <c r="K448">
        <f t="shared" si="51"/>
        <v>-3.0000000000000249</v>
      </c>
      <c r="L448">
        <f t="shared" si="52"/>
        <v>0</v>
      </c>
      <c r="M448">
        <f t="shared" si="53"/>
        <v>0</v>
      </c>
      <c r="N448">
        <f t="shared" si="54"/>
        <v>0.99999999999997868</v>
      </c>
      <c r="O448">
        <f t="shared" si="55"/>
        <v>2.0000000000000462</v>
      </c>
      <c r="P448">
        <f t="shared" si="56"/>
        <v>1.9999999999999574</v>
      </c>
      <c r="Q448">
        <f t="shared" si="57"/>
        <v>0</v>
      </c>
      <c r="R448">
        <f t="shared" si="58"/>
        <v>2.9999999999999361</v>
      </c>
    </row>
    <row r="449" spans="1:18">
      <c r="A449" s="9">
        <v>37365</v>
      </c>
      <c r="B449">
        <v>2.73</v>
      </c>
      <c r="C449">
        <v>3.8</v>
      </c>
      <c r="D449">
        <v>4.43</v>
      </c>
      <c r="E449">
        <v>4.83</v>
      </c>
      <c r="F449">
        <v>5.1100000000000003</v>
      </c>
      <c r="G449">
        <v>5.51</v>
      </c>
      <c r="H449">
        <v>5.84</v>
      </c>
      <c r="I449">
        <v>6.22</v>
      </c>
      <c r="K449">
        <f t="shared" si="51"/>
        <v>2.0000000000000018</v>
      </c>
      <c r="L449">
        <f t="shared" si="52"/>
        <v>0.99999999999997868</v>
      </c>
      <c r="M449">
        <f t="shared" si="53"/>
        <v>0.99999999999997868</v>
      </c>
      <c r="N449">
        <f t="shared" si="54"/>
        <v>0</v>
      </c>
      <c r="O449">
        <f t="shared" si="55"/>
        <v>-0.99999999999997868</v>
      </c>
      <c r="P449">
        <f t="shared" si="56"/>
        <v>-0.99999999999997868</v>
      </c>
      <c r="Q449">
        <f t="shared" si="57"/>
        <v>-0.99999999999997868</v>
      </c>
      <c r="R449">
        <f t="shared" si="58"/>
        <v>-4.0000000000000036</v>
      </c>
    </row>
    <row r="450" spans="1:18">
      <c r="A450" s="9">
        <v>37368</v>
      </c>
      <c r="B450">
        <v>2.72</v>
      </c>
      <c r="C450">
        <v>3.78</v>
      </c>
      <c r="D450">
        <v>4.4000000000000004</v>
      </c>
      <c r="E450">
        <v>4.8099999999999996</v>
      </c>
      <c r="F450">
        <v>5.09</v>
      </c>
      <c r="G450">
        <v>5.48</v>
      </c>
      <c r="H450">
        <v>5.81</v>
      </c>
      <c r="I450">
        <v>6.2</v>
      </c>
      <c r="K450">
        <f t="shared" si="51"/>
        <v>-0.99999999999997868</v>
      </c>
      <c r="L450">
        <f t="shared" si="52"/>
        <v>-2.0000000000000018</v>
      </c>
      <c r="M450">
        <f t="shared" si="53"/>
        <v>-2.9999999999999361</v>
      </c>
      <c r="N450">
        <f t="shared" si="54"/>
        <v>-2.0000000000000462</v>
      </c>
      <c r="O450">
        <f t="shared" si="55"/>
        <v>-2.0000000000000462</v>
      </c>
      <c r="P450">
        <f t="shared" si="56"/>
        <v>-2.9999999999999361</v>
      </c>
      <c r="Q450">
        <f t="shared" si="57"/>
        <v>-3.0000000000000249</v>
      </c>
      <c r="R450">
        <f t="shared" si="58"/>
        <v>-1.9999999999999574</v>
      </c>
    </row>
    <row r="451" spans="1:18">
      <c r="A451" s="9">
        <v>37369</v>
      </c>
      <c r="B451">
        <v>2.74</v>
      </c>
      <c r="C451">
        <v>3.78</v>
      </c>
      <c r="D451">
        <v>4.3899999999999997</v>
      </c>
      <c r="E451">
        <v>4.78</v>
      </c>
      <c r="F451">
        <v>5.0599999999999996</v>
      </c>
      <c r="G451">
        <v>5.44</v>
      </c>
      <c r="H451">
        <v>5.76</v>
      </c>
      <c r="I451">
        <v>6.15</v>
      </c>
      <c r="K451">
        <f t="shared" si="51"/>
        <v>2.0000000000000018</v>
      </c>
      <c r="L451">
        <f t="shared" si="52"/>
        <v>0</v>
      </c>
      <c r="M451">
        <f t="shared" si="53"/>
        <v>-1.0000000000000675</v>
      </c>
      <c r="N451">
        <f t="shared" si="54"/>
        <v>-2.9999999999999361</v>
      </c>
      <c r="O451">
        <f t="shared" si="55"/>
        <v>-3.0000000000000249</v>
      </c>
      <c r="P451">
        <f t="shared" si="56"/>
        <v>-4.0000000000000036</v>
      </c>
      <c r="Q451">
        <f t="shared" si="57"/>
        <v>-4.9999999999999822</v>
      </c>
      <c r="R451">
        <f t="shared" si="58"/>
        <v>-4.9999999999999822</v>
      </c>
    </row>
    <row r="452" spans="1:18">
      <c r="A452" s="9">
        <v>37370</v>
      </c>
      <c r="B452">
        <v>2.73</v>
      </c>
      <c r="C452">
        <v>3.75</v>
      </c>
      <c r="D452">
        <v>4.3499999999999996</v>
      </c>
      <c r="E452">
        <v>4.75</v>
      </c>
      <c r="F452">
        <v>5.0199999999999996</v>
      </c>
      <c r="G452">
        <v>5.41</v>
      </c>
      <c r="H452">
        <v>5.72</v>
      </c>
      <c r="I452">
        <v>6.15</v>
      </c>
      <c r="K452">
        <f t="shared" si="51"/>
        <v>-1.0000000000000231</v>
      </c>
      <c r="L452">
        <f t="shared" si="52"/>
        <v>-2.9999999999999805</v>
      </c>
      <c r="M452">
        <f t="shared" si="53"/>
        <v>-4.0000000000000036</v>
      </c>
      <c r="N452">
        <f t="shared" si="54"/>
        <v>-3.0000000000000249</v>
      </c>
      <c r="O452">
        <f t="shared" si="55"/>
        <v>-4.0000000000000036</v>
      </c>
      <c r="P452">
        <f t="shared" si="56"/>
        <v>-3.0000000000000249</v>
      </c>
      <c r="Q452">
        <f t="shared" si="57"/>
        <v>-4.0000000000000036</v>
      </c>
      <c r="R452">
        <f t="shared" si="58"/>
        <v>0</v>
      </c>
    </row>
    <row r="453" spans="1:18">
      <c r="A453" s="9">
        <v>37371</v>
      </c>
      <c r="B453">
        <v>2.66</v>
      </c>
      <c r="C453">
        <v>3.66</v>
      </c>
      <c r="D453">
        <v>4.26</v>
      </c>
      <c r="E453">
        <v>4.6500000000000004</v>
      </c>
      <c r="F453">
        <v>4.93</v>
      </c>
      <c r="G453">
        <v>5.33</v>
      </c>
      <c r="H453">
        <v>5.66</v>
      </c>
      <c r="I453">
        <v>6.1</v>
      </c>
      <c r="K453">
        <f t="shared" ref="K453:K516" si="59">(B453-B452)*100</f>
        <v>-6.999999999999984</v>
      </c>
      <c r="L453">
        <f t="shared" ref="L453:L516" si="60">(C453-C452)*100</f>
        <v>-8.9999999999999858</v>
      </c>
      <c r="M453">
        <f t="shared" ref="M453:M516" si="61">(D453-D452)*100</f>
        <v>-8.9999999999999858</v>
      </c>
      <c r="N453">
        <f t="shared" ref="N453:N516" si="62">(E453-E452)*100</f>
        <v>-9.9999999999999645</v>
      </c>
      <c r="O453">
        <f t="shared" ref="O453:O516" si="63">(F453-F452)*100</f>
        <v>-8.9999999999999858</v>
      </c>
      <c r="P453">
        <f t="shared" ref="P453:P516" si="64">(G453-G452)*100</f>
        <v>-8.0000000000000071</v>
      </c>
      <c r="Q453">
        <f t="shared" ref="Q453:Q516" si="65">(H453-H452)*100</f>
        <v>-5.9999999999999609</v>
      </c>
      <c r="R453">
        <f t="shared" ref="R453:R516" si="66">(I453-I452)*100</f>
        <v>-5.0000000000000711</v>
      </c>
    </row>
    <row r="454" spans="1:18">
      <c r="A454" s="9">
        <v>37372</v>
      </c>
      <c r="B454">
        <v>2.64</v>
      </c>
      <c r="C454">
        <v>3.64</v>
      </c>
      <c r="D454">
        <v>4.25</v>
      </c>
      <c r="E454">
        <v>4.6399999999999997</v>
      </c>
      <c r="F454">
        <v>4.93</v>
      </c>
      <c r="G454">
        <v>5.33</v>
      </c>
      <c r="H454">
        <v>5.65</v>
      </c>
      <c r="I454">
        <v>6.12</v>
      </c>
      <c r="K454">
        <f t="shared" si="59"/>
        <v>-2.0000000000000018</v>
      </c>
      <c r="L454">
        <f t="shared" si="60"/>
        <v>-2.0000000000000018</v>
      </c>
      <c r="M454">
        <f t="shared" si="61"/>
        <v>-0.99999999999997868</v>
      </c>
      <c r="N454">
        <f t="shared" si="62"/>
        <v>-1.0000000000000675</v>
      </c>
      <c r="O454">
        <f t="shared" si="63"/>
        <v>0</v>
      </c>
      <c r="P454">
        <f t="shared" si="64"/>
        <v>0</v>
      </c>
      <c r="Q454">
        <f t="shared" si="65"/>
        <v>-0.99999999999997868</v>
      </c>
      <c r="R454">
        <f t="shared" si="66"/>
        <v>2.0000000000000462</v>
      </c>
    </row>
    <row r="455" spans="1:18">
      <c r="A455" s="9">
        <v>37375</v>
      </c>
      <c r="B455">
        <v>2.65</v>
      </c>
      <c r="C455">
        <v>3.65</v>
      </c>
      <c r="D455">
        <v>4.26</v>
      </c>
      <c r="E455">
        <v>4.66</v>
      </c>
      <c r="F455">
        <v>4.9400000000000004</v>
      </c>
      <c r="G455">
        <v>5.35</v>
      </c>
      <c r="H455">
        <v>5.67</v>
      </c>
      <c r="I455">
        <v>6.14</v>
      </c>
      <c r="K455">
        <f t="shared" si="59"/>
        <v>0.99999999999997868</v>
      </c>
      <c r="L455">
        <f t="shared" si="60"/>
        <v>0.99999999999997868</v>
      </c>
      <c r="M455">
        <f t="shared" si="61"/>
        <v>0.99999999999997868</v>
      </c>
      <c r="N455">
        <f t="shared" si="62"/>
        <v>2.0000000000000462</v>
      </c>
      <c r="O455">
        <f t="shared" si="63"/>
        <v>1.0000000000000675</v>
      </c>
      <c r="P455">
        <f t="shared" si="64"/>
        <v>1.9999999999999574</v>
      </c>
      <c r="Q455">
        <f t="shared" si="65"/>
        <v>1.9999999999999574</v>
      </c>
      <c r="R455">
        <f t="shared" si="66"/>
        <v>1.9999999999999574</v>
      </c>
    </row>
    <row r="456" spans="1:18">
      <c r="A456" s="9">
        <v>37376</v>
      </c>
      <c r="B456">
        <v>2.66</v>
      </c>
      <c r="C456">
        <v>3.65</v>
      </c>
      <c r="D456">
        <v>4.25</v>
      </c>
      <c r="E456">
        <v>4.6500000000000004</v>
      </c>
      <c r="F456">
        <v>4.9400000000000004</v>
      </c>
      <c r="G456">
        <v>5.33</v>
      </c>
      <c r="H456">
        <v>5.64</v>
      </c>
      <c r="I456">
        <v>6.1</v>
      </c>
      <c r="K456">
        <f t="shared" si="59"/>
        <v>1.0000000000000231</v>
      </c>
      <c r="L456">
        <f t="shared" si="60"/>
        <v>0</v>
      </c>
      <c r="M456">
        <f t="shared" si="61"/>
        <v>-0.99999999999997868</v>
      </c>
      <c r="N456">
        <f t="shared" si="62"/>
        <v>-0.99999999999997868</v>
      </c>
      <c r="O456">
        <f t="shared" si="63"/>
        <v>0</v>
      </c>
      <c r="P456">
        <f t="shared" si="64"/>
        <v>-1.9999999999999574</v>
      </c>
      <c r="Q456">
        <f t="shared" si="65"/>
        <v>-3.0000000000000249</v>
      </c>
      <c r="R456">
        <f t="shared" si="66"/>
        <v>-4.0000000000000036</v>
      </c>
    </row>
    <row r="457" spans="1:18">
      <c r="A457" s="9">
        <v>37377</v>
      </c>
      <c r="B457">
        <v>2.62</v>
      </c>
      <c r="C457">
        <v>3.58</v>
      </c>
      <c r="D457">
        <v>4.1900000000000004</v>
      </c>
      <c r="E457">
        <v>4.59</v>
      </c>
      <c r="F457">
        <v>4.88</v>
      </c>
      <c r="G457">
        <v>5.27</v>
      </c>
      <c r="H457">
        <v>5.51</v>
      </c>
      <c r="I457">
        <v>6.05</v>
      </c>
      <c r="K457">
        <f t="shared" si="59"/>
        <v>-4.0000000000000036</v>
      </c>
      <c r="L457">
        <f t="shared" si="60"/>
        <v>-6.999999999999984</v>
      </c>
      <c r="M457">
        <f t="shared" si="61"/>
        <v>-5.9999999999999609</v>
      </c>
      <c r="N457">
        <f t="shared" si="62"/>
        <v>-6.0000000000000497</v>
      </c>
      <c r="O457">
        <f t="shared" si="63"/>
        <v>-6.0000000000000497</v>
      </c>
      <c r="P457">
        <f t="shared" si="64"/>
        <v>-6.0000000000000497</v>
      </c>
      <c r="Q457">
        <f t="shared" si="65"/>
        <v>-12.999999999999989</v>
      </c>
      <c r="R457">
        <f t="shared" si="66"/>
        <v>-4.9999999999999822</v>
      </c>
    </row>
    <row r="458" spans="1:18">
      <c r="A458" s="9">
        <v>37378</v>
      </c>
      <c r="B458">
        <v>2.69</v>
      </c>
      <c r="C458">
        <v>3.67</v>
      </c>
      <c r="D458">
        <v>4.2699999999999996</v>
      </c>
      <c r="E458">
        <v>4.67</v>
      </c>
      <c r="F458">
        <v>4.96</v>
      </c>
      <c r="G458">
        <v>5.35</v>
      </c>
      <c r="H458">
        <v>5.66</v>
      </c>
      <c r="I458">
        <v>6.12</v>
      </c>
      <c r="K458">
        <f t="shared" si="59"/>
        <v>6.999999999999984</v>
      </c>
      <c r="L458">
        <f t="shared" si="60"/>
        <v>8.9999999999999858</v>
      </c>
      <c r="M458">
        <f t="shared" si="61"/>
        <v>7.9999999999999183</v>
      </c>
      <c r="N458">
        <f t="shared" si="62"/>
        <v>8.0000000000000071</v>
      </c>
      <c r="O458">
        <f t="shared" si="63"/>
        <v>8.0000000000000071</v>
      </c>
      <c r="P458">
        <f t="shared" si="64"/>
        <v>8.0000000000000071</v>
      </c>
      <c r="Q458">
        <f t="shared" si="65"/>
        <v>15.000000000000036</v>
      </c>
      <c r="R458">
        <f t="shared" si="66"/>
        <v>7.0000000000000284</v>
      </c>
    </row>
    <row r="459" spans="1:18">
      <c r="A459" s="9">
        <v>37379</v>
      </c>
      <c r="B459">
        <v>2.61</v>
      </c>
      <c r="C459">
        <v>3.58</v>
      </c>
      <c r="D459">
        <v>4.1900000000000004</v>
      </c>
      <c r="E459">
        <v>4.5999999999999996</v>
      </c>
      <c r="F459">
        <v>4.9000000000000004</v>
      </c>
      <c r="G459">
        <v>5.29</v>
      </c>
      <c r="H459">
        <v>5.61</v>
      </c>
      <c r="I459">
        <v>6.08</v>
      </c>
      <c r="K459">
        <f t="shared" si="59"/>
        <v>-8.0000000000000071</v>
      </c>
      <c r="L459">
        <f t="shared" si="60"/>
        <v>-8.9999999999999858</v>
      </c>
      <c r="M459">
        <f t="shared" si="61"/>
        <v>-7.9999999999999183</v>
      </c>
      <c r="N459">
        <f t="shared" si="62"/>
        <v>-7.0000000000000284</v>
      </c>
      <c r="O459">
        <f t="shared" si="63"/>
        <v>-5.9999999999999609</v>
      </c>
      <c r="P459">
        <f t="shared" si="64"/>
        <v>-5.9999999999999609</v>
      </c>
      <c r="Q459">
        <f t="shared" si="65"/>
        <v>-4.9999999999999822</v>
      </c>
      <c r="R459">
        <f t="shared" si="66"/>
        <v>-4.0000000000000036</v>
      </c>
    </row>
    <row r="460" spans="1:18">
      <c r="A460" s="9">
        <v>37382</v>
      </c>
      <c r="B460">
        <v>2.61</v>
      </c>
      <c r="C460">
        <v>3.61</v>
      </c>
      <c r="D460">
        <v>4.22</v>
      </c>
      <c r="E460">
        <v>4.63</v>
      </c>
      <c r="F460">
        <v>4.93</v>
      </c>
      <c r="G460">
        <v>5.32</v>
      </c>
      <c r="H460">
        <v>5.64</v>
      </c>
      <c r="I460">
        <v>6.1</v>
      </c>
      <c r="K460">
        <f t="shared" si="59"/>
        <v>0</v>
      </c>
      <c r="L460">
        <f t="shared" si="60"/>
        <v>2.9999999999999805</v>
      </c>
      <c r="M460">
        <f t="shared" si="61"/>
        <v>2.9999999999999361</v>
      </c>
      <c r="N460">
        <f t="shared" si="62"/>
        <v>3.0000000000000249</v>
      </c>
      <c r="O460">
        <f t="shared" si="63"/>
        <v>2.9999999999999361</v>
      </c>
      <c r="P460">
        <f t="shared" si="64"/>
        <v>3.0000000000000249</v>
      </c>
      <c r="Q460">
        <f t="shared" si="65"/>
        <v>2.9999999999999361</v>
      </c>
      <c r="R460">
        <f t="shared" si="66"/>
        <v>1.9999999999999574</v>
      </c>
    </row>
    <row r="461" spans="1:18">
      <c r="A461" s="9">
        <v>37383</v>
      </c>
      <c r="B461">
        <v>2.57</v>
      </c>
      <c r="C461">
        <v>3.58</v>
      </c>
      <c r="D461">
        <v>4.2</v>
      </c>
      <c r="E461">
        <v>4.62</v>
      </c>
      <c r="F461">
        <v>4.92</v>
      </c>
      <c r="G461">
        <v>5.31</v>
      </c>
      <c r="H461">
        <v>5.62</v>
      </c>
      <c r="I461">
        <v>6.09</v>
      </c>
      <c r="K461">
        <f t="shared" si="59"/>
        <v>-4.0000000000000036</v>
      </c>
      <c r="L461">
        <f t="shared" si="60"/>
        <v>-2.9999999999999805</v>
      </c>
      <c r="M461">
        <f t="shared" si="61"/>
        <v>-1.9999999999999574</v>
      </c>
      <c r="N461">
        <f t="shared" si="62"/>
        <v>-0.99999999999997868</v>
      </c>
      <c r="O461">
        <f t="shared" si="63"/>
        <v>-0.99999999999997868</v>
      </c>
      <c r="P461">
        <f t="shared" si="64"/>
        <v>-1.0000000000000675</v>
      </c>
      <c r="Q461">
        <f t="shared" si="65"/>
        <v>-1.9999999999999574</v>
      </c>
      <c r="R461">
        <f t="shared" si="66"/>
        <v>-0.99999999999997868</v>
      </c>
    </row>
    <row r="462" spans="1:18">
      <c r="A462" s="9">
        <v>37384</v>
      </c>
      <c r="B462">
        <v>2.6</v>
      </c>
      <c r="C462">
        <v>3.62</v>
      </c>
      <c r="D462">
        <v>4.26</v>
      </c>
      <c r="E462">
        <v>4.67</v>
      </c>
      <c r="F462">
        <v>4.97</v>
      </c>
      <c r="G462">
        <v>5.37</v>
      </c>
      <c r="H462">
        <v>5.69</v>
      </c>
      <c r="I462">
        <v>6.16</v>
      </c>
      <c r="K462">
        <f t="shared" si="59"/>
        <v>3.0000000000000249</v>
      </c>
      <c r="L462">
        <f t="shared" si="60"/>
        <v>4.0000000000000036</v>
      </c>
      <c r="M462">
        <f t="shared" si="61"/>
        <v>5.9999999999999609</v>
      </c>
      <c r="N462">
        <f t="shared" si="62"/>
        <v>4.9999999999999822</v>
      </c>
      <c r="O462">
        <f t="shared" si="63"/>
        <v>4.9999999999999822</v>
      </c>
      <c r="P462">
        <f t="shared" si="64"/>
        <v>6.0000000000000497</v>
      </c>
      <c r="Q462">
        <f t="shared" si="65"/>
        <v>7.0000000000000284</v>
      </c>
      <c r="R462">
        <f t="shared" si="66"/>
        <v>7.0000000000000284</v>
      </c>
    </row>
    <row r="463" spans="1:18">
      <c r="A463" s="9">
        <v>37385</v>
      </c>
      <c r="B463">
        <v>2.68</v>
      </c>
      <c r="C463">
        <v>3.72</v>
      </c>
      <c r="D463">
        <v>4.3499999999999996</v>
      </c>
      <c r="E463">
        <v>4.76</v>
      </c>
      <c r="F463">
        <v>5.05</v>
      </c>
      <c r="G463">
        <v>5.45</v>
      </c>
      <c r="H463">
        <v>5.78</v>
      </c>
      <c r="I463">
        <v>6.23</v>
      </c>
      <c r="K463">
        <f t="shared" si="59"/>
        <v>8.0000000000000071</v>
      </c>
      <c r="L463">
        <f t="shared" si="60"/>
        <v>10.000000000000009</v>
      </c>
      <c r="M463">
        <f t="shared" si="61"/>
        <v>8.9999999999999858</v>
      </c>
      <c r="N463">
        <f t="shared" si="62"/>
        <v>8.9999999999999858</v>
      </c>
      <c r="O463">
        <f t="shared" si="63"/>
        <v>8.0000000000000071</v>
      </c>
      <c r="P463">
        <f t="shared" si="64"/>
        <v>8.0000000000000071</v>
      </c>
      <c r="Q463">
        <f t="shared" si="65"/>
        <v>8.9999999999999858</v>
      </c>
      <c r="R463">
        <f t="shared" si="66"/>
        <v>7.0000000000000284</v>
      </c>
    </row>
    <row r="464" spans="1:18">
      <c r="A464" s="9">
        <v>37386</v>
      </c>
      <c r="B464">
        <v>2.64</v>
      </c>
      <c r="C464">
        <v>3.67</v>
      </c>
      <c r="D464">
        <v>4.29</v>
      </c>
      <c r="E464">
        <v>4.6900000000000004</v>
      </c>
      <c r="F464">
        <v>4.99</v>
      </c>
      <c r="G464">
        <v>5.4</v>
      </c>
      <c r="H464">
        <v>5.74</v>
      </c>
      <c r="I464">
        <v>6.21</v>
      </c>
      <c r="K464">
        <f t="shared" si="59"/>
        <v>-4.0000000000000036</v>
      </c>
      <c r="L464">
        <f t="shared" si="60"/>
        <v>-5.0000000000000266</v>
      </c>
      <c r="M464">
        <f t="shared" si="61"/>
        <v>-5.9999999999999609</v>
      </c>
      <c r="N464">
        <f t="shared" si="62"/>
        <v>-6.9999999999999396</v>
      </c>
      <c r="O464">
        <f t="shared" si="63"/>
        <v>-5.9999999999999609</v>
      </c>
      <c r="P464">
        <f t="shared" si="64"/>
        <v>-4.9999999999999822</v>
      </c>
      <c r="Q464">
        <f t="shared" si="65"/>
        <v>-4.0000000000000036</v>
      </c>
      <c r="R464">
        <f t="shared" si="66"/>
        <v>-2.0000000000000462</v>
      </c>
    </row>
    <row r="465" spans="1:18">
      <c r="A465" s="9">
        <v>37389</v>
      </c>
      <c r="B465">
        <v>2.61</v>
      </c>
      <c r="C465">
        <v>3.63</v>
      </c>
      <c r="D465">
        <v>4.25</v>
      </c>
      <c r="E465">
        <v>4.66</v>
      </c>
      <c r="F465">
        <v>4.96</v>
      </c>
      <c r="G465">
        <v>5.38</v>
      </c>
      <c r="H465">
        <v>5.74</v>
      </c>
      <c r="I465">
        <v>6.21</v>
      </c>
      <c r="K465">
        <f t="shared" si="59"/>
        <v>-3.0000000000000249</v>
      </c>
      <c r="L465">
        <f t="shared" si="60"/>
        <v>-4.0000000000000036</v>
      </c>
      <c r="M465">
        <f t="shared" si="61"/>
        <v>-4.0000000000000036</v>
      </c>
      <c r="N465">
        <f t="shared" si="62"/>
        <v>-3.0000000000000249</v>
      </c>
      <c r="O465">
        <f t="shared" si="63"/>
        <v>-3.0000000000000249</v>
      </c>
      <c r="P465">
        <f t="shared" si="64"/>
        <v>-2.0000000000000462</v>
      </c>
      <c r="Q465">
        <f t="shared" si="65"/>
        <v>0</v>
      </c>
      <c r="R465">
        <f t="shared" si="66"/>
        <v>0</v>
      </c>
    </row>
    <row r="466" spans="1:18">
      <c r="A466" s="9">
        <v>37390</v>
      </c>
      <c r="B466">
        <v>2.75</v>
      </c>
      <c r="C466">
        <v>3.8</v>
      </c>
      <c r="D466">
        <v>4.42</v>
      </c>
      <c r="E466">
        <v>4.82</v>
      </c>
      <c r="F466">
        <v>5.0999999999999996</v>
      </c>
      <c r="G466">
        <v>5.52</v>
      </c>
      <c r="H466">
        <v>5.86</v>
      </c>
      <c r="I466">
        <v>6.31</v>
      </c>
      <c r="K466">
        <f t="shared" si="59"/>
        <v>14.000000000000012</v>
      </c>
      <c r="L466">
        <f t="shared" si="60"/>
        <v>16.999999999999993</v>
      </c>
      <c r="M466">
        <f t="shared" si="61"/>
        <v>16.999999999999993</v>
      </c>
      <c r="N466">
        <f t="shared" si="62"/>
        <v>16.000000000000014</v>
      </c>
      <c r="O466">
        <f t="shared" si="63"/>
        <v>13.999999999999968</v>
      </c>
      <c r="P466">
        <f t="shared" si="64"/>
        <v>13.999999999999968</v>
      </c>
      <c r="Q466">
        <f t="shared" si="65"/>
        <v>12.000000000000011</v>
      </c>
      <c r="R466">
        <f t="shared" si="66"/>
        <v>9.9999999999999645</v>
      </c>
    </row>
    <row r="467" spans="1:18">
      <c r="A467" s="9">
        <v>37391</v>
      </c>
      <c r="B467">
        <v>2.76</v>
      </c>
      <c r="C467">
        <v>3.79</v>
      </c>
      <c r="D467">
        <v>4.38</v>
      </c>
      <c r="E467">
        <v>4.78</v>
      </c>
      <c r="F467">
        <v>5.07</v>
      </c>
      <c r="G467">
        <v>5.47</v>
      </c>
      <c r="H467">
        <v>5.81</v>
      </c>
      <c r="I467">
        <v>6.28</v>
      </c>
      <c r="K467">
        <f t="shared" si="59"/>
        <v>0.99999999999997868</v>
      </c>
      <c r="L467">
        <f t="shared" si="60"/>
        <v>-0.99999999999997868</v>
      </c>
      <c r="M467">
        <f t="shared" si="61"/>
        <v>-4.0000000000000036</v>
      </c>
      <c r="N467">
        <f t="shared" si="62"/>
        <v>-4.0000000000000036</v>
      </c>
      <c r="O467">
        <f t="shared" si="63"/>
        <v>-2.9999999999999361</v>
      </c>
      <c r="P467">
        <f t="shared" si="64"/>
        <v>-4.9999999999999822</v>
      </c>
      <c r="Q467">
        <f t="shared" si="65"/>
        <v>-5.0000000000000711</v>
      </c>
      <c r="R467">
        <f t="shared" si="66"/>
        <v>-2.9999999999999361</v>
      </c>
    </row>
    <row r="468" spans="1:18">
      <c r="A468" s="9">
        <v>37392</v>
      </c>
      <c r="B468">
        <v>2.69</v>
      </c>
      <c r="C468">
        <v>3.71</v>
      </c>
      <c r="D468">
        <v>4.3099999999999996</v>
      </c>
      <c r="E468">
        <v>4.71</v>
      </c>
      <c r="F468">
        <v>5</v>
      </c>
      <c r="G468">
        <v>5.4</v>
      </c>
      <c r="H468">
        <v>5.76</v>
      </c>
      <c r="I468">
        <v>6.26</v>
      </c>
      <c r="K468">
        <f t="shared" si="59"/>
        <v>-6.999999999999984</v>
      </c>
      <c r="L468">
        <f t="shared" si="60"/>
        <v>-8.0000000000000071</v>
      </c>
      <c r="M468">
        <f t="shared" si="61"/>
        <v>-7.0000000000000284</v>
      </c>
      <c r="N468">
        <f t="shared" si="62"/>
        <v>-7.0000000000000284</v>
      </c>
      <c r="O468">
        <f t="shared" si="63"/>
        <v>-7.0000000000000284</v>
      </c>
      <c r="P468">
        <f t="shared" si="64"/>
        <v>-6.9999999999999396</v>
      </c>
      <c r="Q468">
        <f t="shared" si="65"/>
        <v>-4.9999999999999822</v>
      </c>
      <c r="R468">
        <f t="shared" si="66"/>
        <v>-2.0000000000000462</v>
      </c>
    </row>
    <row r="469" spans="1:18">
      <c r="A469" s="9">
        <v>37393</v>
      </c>
      <c r="B469">
        <v>2.73</v>
      </c>
      <c r="C469">
        <v>3.76</v>
      </c>
      <c r="D469">
        <v>4.3499999999999996</v>
      </c>
      <c r="E469">
        <v>4.74</v>
      </c>
      <c r="F469">
        <v>5.0199999999999996</v>
      </c>
      <c r="G469">
        <v>5.42</v>
      </c>
      <c r="H469">
        <v>5.76</v>
      </c>
      <c r="I469">
        <v>6.27</v>
      </c>
      <c r="K469">
        <f t="shared" si="59"/>
        <v>4.0000000000000036</v>
      </c>
      <c r="L469">
        <f t="shared" si="60"/>
        <v>4.9999999999999822</v>
      </c>
      <c r="M469">
        <f t="shared" si="61"/>
        <v>4.0000000000000036</v>
      </c>
      <c r="N469">
        <f t="shared" si="62"/>
        <v>3.0000000000000249</v>
      </c>
      <c r="O469">
        <f t="shared" si="63"/>
        <v>1.9999999999999574</v>
      </c>
      <c r="P469">
        <f t="shared" si="64"/>
        <v>1.9999999999999574</v>
      </c>
      <c r="Q469">
        <f t="shared" si="65"/>
        <v>0</v>
      </c>
      <c r="R469">
        <f t="shared" si="66"/>
        <v>0.99999999999997868</v>
      </c>
    </row>
    <row r="470" spans="1:18">
      <c r="A470" s="9">
        <v>37396</v>
      </c>
      <c r="B470">
        <v>2.7</v>
      </c>
      <c r="C470">
        <v>3.71</v>
      </c>
      <c r="D470">
        <v>4.29</v>
      </c>
      <c r="E470">
        <v>4.68</v>
      </c>
      <c r="F470">
        <v>4.96</v>
      </c>
      <c r="G470">
        <v>5.36</v>
      </c>
      <c r="H470">
        <v>5.72</v>
      </c>
      <c r="I470">
        <v>6.23</v>
      </c>
      <c r="K470">
        <f t="shared" si="59"/>
        <v>-2.9999999999999805</v>
      </c>
      <c r="L470">
        <f t="shared" si="60"/>
        <v>-4.9999999999999822</v>
      </c>
      <c r="M470">
        <f t="shared" si="61"/>
        <v>-5.9999999999999609</v>
      </c>
      <c r="N470">
        <f t="shared" si="62"/>
        <v>-6.0000000000000497</v>
      </c>
      <c r="O470">
        <f t="shared" si="63"/>
        <v>-5.9999999999999609</v>
      </c>
      <c r="P470">
        <f t="shared" si="64"/>
        <v>-5.9999999999999609</v>
      </c>
      <c r="Q470">
        <f t="shared" si="65"/>
        <v>-4.0000000000000036</v>
      </c>
      <c r="R470">
        <f t="shared" si="66"/>
        <v>-3.9999999999999147</v>
      </c>
    </row>
    <row r="471" spans="1:18">
      <c r="A471" s="9">
        <v>37397</v>
      </c>
      <c r="B471">
        <v>2.66</v>
      </c>
      <c r="C471">
        <v>3.65</v>
      </c>
      <c r="D471">
        <v>4.22</v>
      </c>
      <c r="E471">
        <v>4.6100000000000003</v>
      </c>
      <c r="F471">
        <v>4.9000000000000004</v>
      </c>
      <c r="G471">
        <v>5.3</v>
      </c>
      <c r="H471">
        <v>5.66</v>
      </c>
      <c r="I471">
        <v>6.17</v>
      </c>
      <c r="K471">
        <f t="shared" si="59"/>
        <v>-4.0000000000000036</v>
      </c>
      <c r="L471">
        <f t="shared" si="60"/>
        <v>-6.0000000000000053</v>
      </c>
      <c r="M471">
        <f t="shared" si="61"/>
        <v>-7.0000000000000284</v>
      </c>
      <c r="N471">
        <f t="shared" si="62"/>
        <v>-6.9999999999999396</v>
      </c>
      <c r="O471">
        <f t="shared" si="63"/>
        <v>-5.9999999999999609</v>
      </c>
      <c r="P471">
        <f t="shared" si="64"/>
        <v>-6.0000000000000497</v>
      </c>
      <c r="Q471">
        <f t="shared" si="65"/>
        <v>-5.9999999999999609</v>
      </c>
      <c r="R471">
        <f t="shared" si="66"/>
        <v>-6.0000000000000497</v>
      </c>
    </row>
    <row r="472" spans="1:18">
      <c r="A472" s="9">
        <v>37398</v>
      </c>
      <c r="B472">
        <v>2.62</v>
      </c>
      <c r="C472">
        <v>3.59</v>
      </c>
      <c r="D472">
        <v>4.17</v>
      </c>
      <c r="E472">
        <v>4.55</v>
      </c>
      <c r="F472">
        <v>4.84</v>
      </c>
      <c r="G472">
        <v>5.25</v>
      </c>
      <c r="H472">
        <v>5.62</v>
      </c>
      <c r="I472">
        <v>6.13</v>
      </c>
      <c r="K472">
        <f t="shared" si="59"/>
        <v>-4.0000000000000036</v>
      </c>
      <c r="L472">
        <f t="shared" si="60"/>
        <v>-6.0000000000000053</v>
      </c>
      <c r="M472">
        <f t="shared" si="61"/>
        <v>-4.9999999999999822</v>
      </c>
      <c r="N472">
        <f t="shared" si="62"/>
        <v>-6.0000000000000497</v>
      </c>
      <c r="O472">
        <f t="shared" si="63"/>
        <v>-6.0000000000000497</v>
      </c>
      <c r="P472">
        <f t="shared" si="64"/>
        <v>-4.9999999999999822</v>
      </c>
      <c r="Q472">
        <f t="shared" si="65"/>
        <v>-4.0000000000000036</v>
      </c>
      <c r="R472">
        <f t="shared" si="66"/>
        <v>-4.0000000000000036</v>
      </c>
    </row>
    <row r="473" spans="1:18">
      <c r="A473" s="9">
        <v>37399</v>
      </c>
      <c r="B473">
        <v>2.66</v>
      </c>
      <c r="C473">
        <v>3.63</v>
      </c>
      <c r="D473">
        <v>4.2</v>
      </c>
      <c r="E473">
        <v>4.58</v>
      </c>
      <c r="F473">
        <v>4.8600000000000003</v>
      </c>
      <c r="G473">
        <v>5.26</v>
      </c>
      <c r="H473">
        <v>5.62</v>
      </c>
      <c r="I473">
        <v>6.14</v>
      </c>
      <c r="K473">
        <f t="shared" si="59"/>
        <v>4.0000000000000036</v>
      </c>
      <c r="L473">
        <f t="shared" si="60"/>
        <v>4.0000000000000036</v>
      </c>
      <c r="M473">
        <f t="shared" si="61"/>
        <v>3.0000000000000249</v>
      </c>
      <c r="N473">
        <f t="shared" si="62"/>
        <v>3.0000000000000249</v>
      </c>
      <c r="O473">
        <f t="shared" si="63"/>
        <v>2.0000000000000462</v>
      </c>
      <c r="P473">
        <f t="shared" si="64"/>
        <v>0.99999999999997868</v>
      </c>
      <c r="Q473">
        <f t="shared" si="65"/>
        <v>0</v>
      </c>
      <c r="R473">
        <f t="shared" si="66"/>
        <v>0.99999999999997868</v>
      </c>
    </row>
    <row r="474" spans="1:18">
      <c r="A474" s="9">
        <v>37400</v>
      </c>
      <c r="B474">
        <v>2.67</v>
      </c>
      <c r="C474">
        <v>3.64</v>
      </c>
      <c r="D474">
        <v>4.22</v>
      </c>
      <c r="E474">
        <v>4.59</v>
      </c>
      <c r="F474">
        <v>4.88</v>
      </c>
      <c r="G474">
        <v>5.28</v>
      </c>
      <c r="H474">
        <v>5.64</v>
      </c>
      <c r="I474">
        <v>6.17</v>
      </c>
      <c r="K474">
        <f t="shared" si="59"/>
        <v>0.99999999999997868</v>
      </c>
      <c r="L474">
        <f t="shared" si="60"/>
        <v>1.0000000000000231</v>
      </c>
      <c r="M474">
        <f t="shared" si="61"/>
        <v>1.9999999999999574</v>
      </c>
      <c r="N474">
        <f t="shared" si="62"/>
        <v>0.99999999999997868</v>
      </c>
      <c r="O474">
        <f t="shared" si="63"/>
        <v>1.9999999999999574</v>
      </c>
      <c r="P474">
        <f t="shared" si="64"/>
        <v>2.0000000000000462</v>
      </c>
      <c r="Q474">
        <f t="shared" si="65"/>
        <v>1.9999999999999574</v>
      </c>
      <c r="R474">
        <f t="shared" si="66"/>
        <v>3.0000000000000249</v>
      </c>
    </row>
    <row r="475" spans="1:18">
      <c r="A475" s="9">
        <v>37404</v>
      </c>
      <c r="B475">
        <v>2.69</v>
      </c>
      <c r="C475">
        <v>3.66</v>
      </c>
      <c r="D475">
        <v>4.24</v>
      </c>
      <c r="E475">
        <v>4.6100000000000003</v>
      </c>
      <c r="F475">
        <v>4.8899999999999997</v>
      </c>
      <c r="G475">
        <v>5.29</v>
      </c>
      <c r="H475">
        <v>5.64</v>
      </c>
      <c r="I475">
        <v>6.16</v>
      </c>
      <c r="K475">
        <f t="shared" si="59"/>
        <v>2.0000000000000018</v>
      </c>
      <c r="L475">
        <f t="shared" si="60"/>
        <v>2.0000000000000018</v>
      </c>
      <c r="M475">
        <f t="shared" si="61"/>
        <v>2.0000000000000462</v>
      </c>
      <c r="N475">
        <f t="shared" si="62"/>
        <v>2.0000000000000462</v>
      </c>
      <c r="O475">
        <f t="shared" si="63"/>
        <v>0.99999999999997868</v>
      </c>
      <c r="P475">
        <f t="shared" si="64"/>
        <v>0.99999999999997868</v>
      </c>
      <c r="Q475">
        <f t="shared" si="65"/>
        <v>0</v>
      </c>
      <c r="R475">
        <f t="shared" si="66"/>
        <v>-0.99999999999997868</v>
      </c>
    </row>
    <row r="476" spans="1:18">
      <c r="A476" s="9">
        <v>37405</v>
      </c>
      <c r="B476">
        <v>2.65</v>
      </c>
      <c r="C476">
        <v>3.62</v>
      </c>
      <c r="D476">
        <v>4.2</v>
      </c>
      <c r="E476">
        <v>4.57</v>
      </c>
      <c r="F476">
        <v>4.84</v>
      </c>
      <c r="G476">
        <v>5.24</v>
      </c>
      <c r="H476">
        <v>5.6</v>
      </c>
      <c r="I476">
        <v>6.13</v>
      </c>
      <c r="K476">
        <f t="shared" si="59"/>
        <v>-4.0000000000000036</v>
      </c>
      <c r="L476">
        <f t="shared" si="60"/>
        <v>-4.0000000000000036</v>
      </c>
      <c r="M476">
        <f t="shared" si="61"/>
        <v>-4.0000000000000036</v>
      </c>
      <c r="N476">
        <f t="shared" si="62"/>
        <v>-4.0000000000000036</v>
      </c>
      <c r="O476">
        <f t="shared" si="63"/>
        <v>-4.9999999999999822</v>
      </c>
      <c r="P476">
        <f t="shared" si="64"/>
        <v>-4.9999999999999822</v>
      </c>
      <c r="Q476">
        <f t="shared" si="65"/>
        <v>-4.0000000000000036</v>
      </c>
      <c r="R476">
        <f t="shared" si="66"/>
        <v>-3.0000000000000249</v>
      </c>
    </row>
    <row r="477" spans="1:18">
      <c r="A477" s="9">
        <v>37406</v>
      </c>
      <c r="B477">
        <v>2.63</v>
      </c>
      <c r="C477">
        <v>3.59</v>
      </c>
      <c r="D477">
        <v>4.1500000000000004</v>
      </c>
      <c r="E477">
        <v>4.53</v>
      </c>
      <c r="F477">
        <v>4.8</v>
      </c>
      <c r="G477">
        <v>5.2</v>
      </c>
      <c r="H477">
        <v>5.54</v>
      </c>
      <c r="I477">
        <v>6.11</v>
      </c>
      <c r="K477">
        <f t="shared" si="59"/>
        <v>-2.0000000000000018</v>
      </c>
      <c r="L477">
        <f t="shared" si="60"/>
        <v>-3.0000000000000249</v>
      </c>
      <c r="M477">
        <f t="shared" si="61"/>
        <v>-4.9999999999999822</v>
      </c>
      <c r="N477">
        <f t="shared" si="62"/>
        <v>-4.0000000000000036</v>
      </c>
      <c r="O477">
        <f t="shared" si="63"/>
        <v>-4.0000000000000036</v>
      </c>
      <c r="P477">
        <f t="shared" si="64"/>
        <v>-4.0000000000000036</v>
      </c>
      <c r="Q477">
        <f t="shared" si="65"/>
        <v>-5.9999999999999609</v>
      </c>
      <c r="R477">
        <f t="shared" si="66"/>
        <v>-1.9999999999999574</v>
      </c>
    </row>
    <row r="478" spans="1:18">
      <c r="A478" s="9">
        <v>37407</v>
      </c>
      <c r="B478">
        <v>2.65</v>
      </c>
      <c r="C478">
        <v>3.59</v>
      </c>
      <c r="D478">
        <v>4.16</v>
      </c>
      <c r="E478">
        <v>4.54</v>
      </c>
      <c r="F478">
        <v>4.82</v>
      </c>
      <c r="G478">
        <v>5.22</v>
      </c>
      <c r="H478">
        <v>5.57</v>
      </c>
      <c r="I478">
        <v>6.13</v>
      </c>
      <c r="K478">
        <f t="shared" si="59"/>
        <v>2.0000000000000018</v>
      </c>
      <c r="L478">
        <f t="shared" si="60"/>
        <v>0</v>
      </c>
      <c r="M478">
        <f t="shared" si="61"/>
        <v>0.99999999999997868</v>
      </c>
      <c r="N478">
        <f t="shared" si="62"/>
        <v>0.99999999999997868</v>
      </c>
      <c r="O478">
        <f t="shared" si="63"/>
        <v>2.0000000000000462</v>
      </c>
      <c r="P478">
        <f t="shared" si="64"/>
        <v>1.9999999999999574</v>
      </c>
      <c r="Q478">
        <f t="shared" si="65"/>
        <v>3.0000000000000249</v>
      </c>
      <c r="R478">
        <f t="shared" si="66"/>
        <v>1.9999999999999574</v>
      </c>
    </row>
    <row r="479" spans="1:18">
      <c r="A479" s="9">
        <v>37410</v>
      </c>
      <c r="B479">
        <v>2.65</v>
      </c>
      <c r="C479">
        <v>3.6</v>
      </c>
      <c r="D479">
        <v>4.16</v>
      </c>
      <c r="E479">
        <v>4.54</v>
      </c>
      <c r="F479">
        <v>4.83</v>
      </c>
      <c r="G479">
        <v>5.23</v>
      </c>
      <c r="H479">
        <v>5.58</v>
      </c>
      <c r="I479">
        <v>6.13</v>
      </c>
      <c r="K479">
        <f t="shared" si="59"/>
        <v>0</v>
      </c>
      <c r="L479">
        <f t="shared" si="60"/>
        <v>1.0000000000000231</v>
      </c>
      <c r="M479">
        <f t="shared" si="61"/>
        <v>0</v>
      </c>
      <c r="N479">
        <f t="shared" si="62"/>
        <v>0</v>
      </c>
      <c r="O479">
        <f t="shared" si="63"/>
        <v>0.99999999999997868</v>
      </c>
      <c r="P479">
        <f t="shared" si="64"/>
        <v>1.0000000000000675</v>
      </c>
      <c r="Q479">
        <f t="shared" si="65"/>
        <v>0.99999999999997868</v>
      </c>
      <c r="R479">
        <f t="shared" si="66"/>
        <v>0</v>
      </c>
    </row>
    <row r="480" spans="1:18">
      <c r="A480" s="9">
        <v>37411</v>
      </c>
      <c r="B480">
        <v>2.58</v>
      </c>
      <c r="C480">
        <v>3.5</v>
      </c>
      <c r="D480">
        <v>4.0599999999999996</v>
      </c>
      <c r="E480">
        <v>4.45</v>
      </c>
      <c r="F480">
        <v>4.7300000000000004</v>
      </c>
      <c r="G480">
        <v>5.13</v>
      </c>
      <c r="H480">
        <v>5.48</v>
      </c>
      <c r="I480">
        <v>6.06</v>
      </c>
      <c r="K480">
        <f t="shared" si="59"/>
        <v>-6.999999999999984</v>
      </c>
      <c r="L480">
        <f t="shared" si="60"/>
        <v>-10.000000000000009</v>
      </c>
      <c r="M480">
        <f t="shared" si="61"/>
        <v>-10.000000000000053</v>
      </c>
      <c r="N480">
        <f t="shared" si="62"/>
        <v>-8.9999999999999858</v>
      </c>
      <c r="O480">
        <f t="shared" si="63"/>
        <v>-9.9999999999999645</v>
      </c>
      <c r="P480">
        <f t="shared" si="64"/>
        <v>-10.000000000000053</v>
      </c>
      <c r="Q480">
        <f t="shared" si="65"/>
        <v>-9.9999999999999645</v>
      </c>
      <c r="R480">
        <f t="shared" si="66"/>
        <v>-7.0000000000000284</v>
      </c>
    </row>
    <row r="481" spans="1:18">
      <c r="A481" s="9">
        <v>37412</v>
      </c>
      <c r="B481">
        <v>2.6</v>
      </c>
      <c r="C481">
        <v>3.54</v>
      </c>
      <c r="D481">
        <v>4.1100000000000003</v>
      </c>
      <c r="E481">
        <v>4.5</v>
      </c>
      <c r="F481">
        <v>4.78</v>
      </c>
      <c r="G481">
        <v>5.19</v>
      </c>
      <c r="H481">
        <v>5.55</v>
      </c>
      <c r="I481">
        <v>6.13</v>
      </c>
      <c r="K481">
        <f t="shared" si="59"/>
        <v>2.0000000000000018</v>
      </c>
      <c r="L481">
        <f t="shared" si="60"/>
        <v>4.0000000000000036</v>
      </c>
      <c r="M481">
        <f t="shared" si="61"/>
        <v>5.0000000000000711</v>
      </c>
      <c r="N481">
        <f t="shared" si="62"/>
        <v>4.9999999999999822</v>
      </c>
      <c r="O481">
        <f t="shared" si="63"/>
        <v>4.9999999999999822</v>
      </c>
      <c r="P481">
        <f t="shared" si="64"/>
        <v>6.0000000000000497</v>
      </c>
      <c r="Q481">
        <f t="shared" si="65"/>
        <v>6.9999999999999396</v>
      </c>
      <c r="R481">
        <f t="shared" si="66"/>
        <v>7.0000000000000284</v>
      </c>
    </row>
    <row r="482" spans="1:18">
      <c r="A482" s="9">
        <v>37413</v>
      </c>
      <c r="B482">
        <v>2.61</v>
      </c>
      <c r="C482">
        <v>3.55</v>
      </c>
      <c r="D482">
        <v>4.1100000000000003</v>
      </c>
      <c r="E482">
        <v>4.49</v>
      </c>
      <c r="F482">
        <v>4.78</v>
      </c>
      <c r="G482">
        <v>5.19</v>
      </c>
      <c r="H482">
        <v>5.55</v>
      </c>
      <c r="I482">
        <v>6.13</v>
      </c>
      <c r="K482">
        <f t="shared" si="59"/>
        <v>0.99999999999997868</v>
      </c>
      <c r="L482">
        <f t="shared" si="60"/>
        <v>0.99999999999997868</v>
      </c>
      <c r="M482">
        <f t="shared" si="61"/>
        <v>0</v>
      </c>
      <c r="N482">
        <f t="shared" si="62"/>
        <v>-0.99999999999997868</v>
      </c>
      <c r="O482">
        <f t="shared" si="63"/>
        <v>0</v>
      </c>
      <c r="P482">
        <f t="shared" si="64"/>
        <v>0</v>
      </c>
      <c r="Q482">
        <f t="shared" si="65"/>
        <v>0</v>
      </c>
      <c r="R482">
        <f t="shared" si="66"/>
        <v>0</v>
      </c>
    </row>
    <row r="483" spans="1:18">
      <c r="A483" s="9">
        <v>37414</v>
      </c>
      <c r="B483">
        <v>2.57</v>
      </c>
      <c r="C483">
        <v>3.52</v>
      </c>
      <c r="D483">
        <v>4.0999999999999996</v>
      </c>
      <c r="E483">
        <v>4.4800000000000004</v>
      </c>
      <c r="F483">
        <v>4.7699999999999996</v>
      </c>
      <c r="G483">
        <v>5.18</v>
      </c>
      <c r="H483">
        <v>5.55</v>
      </c>
      <c r="I483">
        <v>6.12</v>
      </c>
      <c r="K483">
        <f t="shared" si="59"/>
        <v>-4.0000000000000036</v>
      </c>
      <c r="L483">
        <f t="shared" si="60"/>
        <v>-2.9999999999999805</v>
      </c>
      <c r="M483">
        <f t="shared" si="61"/>
        <v>-1.0000000000000675</v>
      </c>
      <c r="N483">
        <f t="shared" si="62"/>
        <v>-0.99999999999997868</v>
      </c>
      <c r="O483">
        <f t="shared" si="63"/>
        <v>-1.0000000000000675</v>
      </c>
      <c r="P483">
        <f t="shared" si="64"/>
        <v>-1.0000000000000675</v>
      </c>
      <c r="Q483">
        <f t="shared" si="65"/>
        <v>0</v>
      </c>
      <c r="R483">
        <f t="shared" si="66"/>
        <v>-0.99999999999997868</v>
      </c>
    </row>
    <row r="484" spans="1:18">
      <c r="A484" s="9">
        <v>37417</v>
      </c>
      <c r="B484">
        <v>2.59</v>
      </c>
      <c r="C484">
        <v>3.57</v>
      </c>
      <c r="D484">
        <v>4.1399999999999997</v>
      </c>
      <c r="E484">
        <v>4.53</v>
      </c>
      <c r="F484">
        <v>4.82</v>
      </c>
      <c r="G484">
        <v>5.23</v>
      </c>
      <c r="H484">
        <v>5.61</v>
      </c>
      <c r="I484">
        <v>6.16</v>
      </c>
      <c r="K484">
        <f t="shared" si="59"/>
        <v>2.0000000000000018</v>
      </c>
      <c r="L484">
        <f t="shared" si="60"/>
        <v>4.9999999999999822</v>
      </c>
      <c r="M484">
        <f t="shared" si="61"/>
        <v>4.0000000000000036</v>
      </c>
      <c r="N484">
        <f t="shared" si="62"/>
        <v>4.9999999999999822</v>
      </c>
      <c r="O484">
        <f t="shared" si="63"/>
        <v>5.0000000000000711</v>
      </c>
      <c r="P484">
        <f t="shared" si="64"/>
        <v>5.0000000000000711</v>
      </c>
      <c r="Q484">
        <f t="shared" si="65"/>
        <v>6.0000000000000497</v>
      </c>
      <c r="R484">
        <f t="shared" si="66"/>
        <v>4.0000000000000036</v>
      </c>
    </row>
    <row r="485" spans="1:18">
      <c r="A485" s="9">
        <v>37418</v>
      </c>
      <c r="B485">
        <v>2.58</v>
      </c>
      <c r="C485">
        <v>3.57</v>
      </c>
      <c r="D485">
        <v>4.1399999999999997</v>
      </c>
      <c r="E485">
        <v>4.5199999999999996</v>
      </c>
      <c r="F485">
        <v>4.8099999999999996</v>
      </c>
      <c r="G485">
        <v>5.22</v>
      </c>
      <c r="H485">
        <v>5.58</v>
      </c>
      <c r="I485">
        <v>6.13</v>
      </c>
      <c r="K485">
        <f t="shared" si="59"/>
        <v>-0.99999999999997868</v>
      </c>
      <c r="L485">
        <f t="shared" si="60"/>
        <v>0</v>
      </c>
      <c r="M485">
        <f t="shared" si="61"/>
        <v>0</v>
      </c>
      <c r="N485">
        <f t="shared" si="62"/>
        <v>-1.0000000000000675</v>
      </c>
      <c r="O485">
        <f t="shared" si="63"/>
        <v>-1.0000000000000675</v>
      </c>
      <c r="P485">
        <f t="shared" si="64"/>
        <v>-1.0000000000000675</v>
      </c>
      <c r="Q485">
        <f t="shared" si="65"/>
        <v>-3.0000000000000249</v>
      </c>
      <c r="R485">
        <f t="shared" si="66"/>
        <v>-3.0000000000000249</v>
      </c>
    </row>
    <row r="486" spans="1:18">
      <c r="A486" s="9">
        <v>37419</v>
      </c>
      <c r="B486">
        <v>2.52</v>
      </c>
      <c r="C486">
        <v>3.47</v>
      </c>
      <c r="D486">
        <v>4.05</v>
      </c>
      <c r="E486">
        <v>4.4400000000000004</v>
      </c>
      <c r="F486">
        <v>4.7300000000000004</v>
      </c>
      <c r="G486">
        <v>5.14</v>
      </c>
      <c r="H486">
        <v>5.52</v>
      </c>
      <c r="I486">
        <v>6.06</v>
      </c>
      <c r="K486">
        <f t="shared" si="59"/>
        <v>-6.0000000000000053</v>
      </c>
      <c r="L486">
        <f t="shared" si="60"/>
        <v>-9.9999999999999645</v>
      </c>
      <c r="M486">
        <f t="shared" si="61"/>
        <v>-8.9999999999999858</v>
      </c>
      <c r="N486">
        <f t="shared" si="62"/>
        <v>-7.9999999999999183</v>
      </c>
      <c r="O486">
        <f t="shared" si="63"/>
        <v>-7.9999999999999183</v>
      </c>
      <c r="P486">
        <f t="shared" si="64"/>
        <v>-8.0000000000000071</v>
      </c>
      <c r="Q486">
        <f t="shared" si="65"/>
        <v>-6.0000000000000497</v>
      </c>
      <c r="R486">
        <f t="shared" si="66"/>
        <v>-7.0000000000000284</v>
      </c>
    </row>
    <row r="487" spans="1:18">
      <c r="A487" s="9">
        <v>37420</v>
      </c>
      <c r="B487">
        <v>2.46</v>
      </c>
      <c r="C487">
        <v>3.42</v>
      </c>
      <c r="D487">
        <v>3.99</v>
      </c>
      <c r="E487">
        <v>4.37</v>
      </c>
      <c r="F487">
        <v>4.6500000000000004</v>
      </c>
      <c r="G487">
        <v>5.0599999999999996</v>
      </c>
      <c r="H487">
        <v>5.43</v>
      </c>
      <c r="I487">
        <v>6.01</v>
      </c>
      <c r="K487">
        <f t="shared" si="59"/>
        <v>-6.0000000000000053</v>
      </c>
      <c r="L487">
        <f t="shared" si="60"/>
        <v>-5.0000000000000266</v>
      </c>
      <c r="M487">
        <f t="shared" si="61"/>
        <v>-5.9999999999999609</v>
      </c>
      <c r="N487">
        <f t="shared" si="62"/>
        <v>-7.0000000000000284</v>
      </c>
      <c r="O487">
        <f t="shared" si="63"/>
        <v>-8.0000000000000071</v>
      </c>
      <c r="P487">
        <f t="shared" si="64"/>
        <v>-8.0000000000000071</v>
      </c>
      <c r="Q487">
        <f t="shared" si="65"/>
        <v>-8.9999999999999858</v>
      </c>
      <c r="R487">
        <f t="shared" si="66"/>
        <v>-4.9999999999999822</v>
      </c>
    </row>
    <row r="488" spans="1:18">
      <c r="A488" s="9">
        <v>37421</v>
      </c>
      <c r="B488">
        <v>2.4</v>
      </c>
      <c r="C488">
        <v>3.33</v>
      </c>
      <c r="D488">
        <v>3.91</v>
      </c>
      <c r="E488">
        <v>4.29</v>
      </c>
      <c r="F488">
        <v>4.57</v>
      </c>
      <c r="G488">
        <v>4.9800000000000004</v>
      </c>
      <c r="H488">
        <v>5.35</v>
      </c>
      <c r="I488">
        <v>5.92</v>
      </c>
      <c r="K488">
        <f t="shared" si="59"/>
        <v>-6.0000000000000053</v>
      </c>
      <c r="L488">
        <f t="shared" si="60"/>
        <v>-8.9999999999999858</v>
      </c>
      <c r="M488">
        <f t="shared" si="61"/>
        <v>-8.0000000000000071</v>
      </c>
      <c r="N488">
        <f t="shared" si="62"/>
        <v>-8.0000000000000071</v>
      </c>
      <c r="O488">
        <f t="shared" si="63"/>
        <v>-8.0000000000000071</v>
      </c>
      <c r="P488">
        <f t="shared" si="64"/>
        <v>-7.9999999999999183</v>
      </c>
      <c r="Q488">
        <f t="shared" si="65"/>
        <v>-8.0000000000000071</v>
      </c>
      <c r="R488">
        <f t="shared" si="66"/>
        <v>-8.9999999999999858</v>
      </c>
    </row>
    <row r="489" spans="1:18">
      <c r="A489" s="9">
        <v>37424</v>
      </c>
      <c r="B489">
        <v>2.44</v>
      </c>
      <c r="C489">
        <v>3.38</v>
      </c>
      <c r="D489">
        <v>3.96</v>
      </c>
      <c r="E489">
        <v>4.3499999999999996</v>
      </c>
      <c r="F489">
        <v>4.6399999999999997</v>
      </c>
      <c r="G489">
        <v>5.04</v>
      </c>
      <c r="H489">
        <v>5.41</v>
      </c>
      <c r="I489">
        <v>5.98</v>
      </c>
      <c r="K489">
        <f t="shared" si="59"/>
        <v>4.0000000000000036</v>
      </c>
      <c r="L489">
        <f t="shared" si="60"/>
        <v>4.9999999999999822</v>
      </c>
      <c r="M489">
        <f t="shared" si="61"/>
        <v>4.9999999999999822</v>
      </c>
      <c r="N489">
        <f t="shared" si="62"/>
        <v>5.9999999999999609</v>
      </c>
      <c r="O489">
        <f t="shared" si="63"/>
        <v>6.9999999999999396</v>
      </c>
      <c r="P489">
        <f t="shared" si="64"/>
        <v>5.9999999999999609</v>
      </c>
      <c r="Q489">
        <f t="shared" si="65"/>
        <v>6.0000000000000497</v>
      </c>
      <c r="R489">
        <f t="shared" si="66"/>
        <v>6.0000000000000497</v>
      </c>
    </row>
    <row r="490" spans="1:18">
      <c r="A490" s="9">
        <v>37425</v>
      </c>
      <c r="B490">
        <v>2.41</v>
      </c>
      <c r="C490">
        <v>3.34</v>
      </c>
      <c r="D490">
        <v>3.93</v>
      </c>
      <c r="E490">
        <v>4.32</v>
      </c>
      <c r="F490">
        <v>4.62</v>
      </c>
      <c r="G490">
        <v>5.03</v>
      </c>
      <c r="H490">
        <v>5.41</v>
      </c>
      <c r="I490">
        <v>5.99</v>
      </c>
      <c r="K490">
        <f t="shared" si="59"/>
        <v>-2.9999999999999805</v>
      </c>
      <c r="L490">
        <f t="shared" si="60"/>
        <v>-4.0000000000000036</v>
      </c>
      <c r="M490">
        <f t="shared" si="61"/>
        <v>-2.9999999999999805</v>
      </c>
      <c r="N490">
        <f t="shared" si="62"/>
        <v>-2.9999999999999361</v>
      </c>
      <c r="O490">
        <f t="shared" si="63"/>
        <v>-1.9999999999999574</v>
      </c>
      <c r="P490">
        <f t="shared" si="64"/>
        <v>-0.99999999999997868</v>
      </c>
      <c r="Q490">
        <f t="shared" si="65"/>
        <v>0</v>
      </c>
      <c r="R490">
        <f t="shared" si="66"/>
        <v>0.99999999999997868</v>
      </c>
    </row>
    <row r="491" spans="1:18">
      <c r="A491" s="9">
        <v>37426</v>
      </c>
      <c r="B491">
        <v>2.36</v>
      </c>
      <c r="C491">
        <v>3.26</v>
      </c>
      <c r="D491">
        <v>3.84</v>
      </c>
      <c r="E491">
        <v>4.24</v>
      </c>
      <c r="F491">
        <v>4.53</v>
      </c>
      <c r="G491">
        <v>4.95</v>
      </c>
      <c r="H491">
        <v>5.33</v>
      </c>
      <c r="I491">
        <v>5.92</v>
      </c>
      <c r="K491">
        <f t="shared" si="59"/>
        <v>-5.0000000000000266</v>
      </c>
      <c r="L491">
        <f t="shared" si="60"/>
        <v>-8.0000000000000071</v>
      </c>
      <c r="M491">
        <f t="shared" si="61"/>
        <v>-9.0000000000000302</v>
      </c>
      <c r="N491">
        <f t="shared" si="62"/>
        <v>-8.0000000000000071</v>
      </c>
      <c r="O491">
        <f t="shared" si="63"/>
        <v>-8.9999999999999858</v>
      </c>
      <c r="P491">
        <f t="shared" si="64"/>
        <v>-8.0000000000000071</v>
      </c>
      <c r="Q491">
        <f t="shared" si="65"/>
        <v>-8.0000000000000071</v>
      </c>
      <c r="R491">
        <f t="shared" si="66"/>
        <v>-7.0000000000000284</v>
      </c>
    </row>
    <row r="492" spans="1:18">
      <c r="A492" s="9">
        <v>37427</v>
      </c>
      <c r="B492">
        <v>2.34</v>
      </c>
      <c r="C492">
        <v>3.23</v>
      </c>
      <c r="D492">
        <v>3.81</v>
      </c>
      <c r="E492">
        <v>4.2</v>
      </c>
      <c r="F492">
        <v>4.4800000000000004</v>
      </c>
      <c r="G492">
        <v>4.9000000000000004</v>
      </c>
      <c r="H492">
        <v>5.25</v>
      </c>
      <c r="I492">
        <v>5.88</v>
      </c>
      <c r="K492">
        <f t="shared" si="59"/>
        <v>-2.0000000000000018</v>
      </c>
      <c r="L492">
        <f t="shared" si="60"/>
        <v>-2.9999999999999805</v>
      </c>
      <c r="M492">
        <f t="shared" si="61"/>
        <v>-2.9999999999999805</v>
      </c>
      <c r="N492">
        <f t="shared" si="62"/>
        <v>-4.0000000000000036</v>
      </c>
      <c r="O492">
        <f t="shared" si="63"/>
        <v>-4.9999999999999822</v>
      </c>
      <c r="P492">
        <f t="shared" si="64"/>
        <v>-4.9999999999999822</v>
      </c>
      <c r="Q492">
        <f t="shared" si="65"/>
        <v>-8.0000000000000071</v>
      </c>
      <c r="R492">
        <f t="shared" si="66"/>
        <v>-4.0000000000000036</v>
      </c>
    </row>
    <row r="493" spans="1:18">
      <c r="A493" s="9">
        <v>37428</v>
      </c>
      <c r="B493">
        <v>2.39</v>
      </c>
      <c r="C493">
        <v>3.3</v>
      </c>
      <c r="D493">
        <v>3.89</v>
      </c>
      <c r="E493">
        <v>4.2699999999999996</v>
      </c>
      <c r="F493">
        <v>4.55</v>
      </c>
      <c r="G493">
        <v>4.95</v>
      </c>
      <c r="H493">
        <v>5.3</v>
      </c>
      <c r="I493">
        <v>5.91</v>
      </c>
      <c r="K493">
        <f t="shared" si="59"/>
        <v>5.0000000000000266</v>
      </c>
      <c r="L493">
        <f t="shared" si="60"/>
        <v>6.999999999999984</v>
      </c>
      <c r="M493">
        <f t="shared" si="61"/>
        <v>8.0000000000000071</v>
      </c>
      <c r="N493">
        <f t="shared" si="62"/>
        <v>6.9999999999999396</v>
      </c>
      <c r="O493">
        <f t="shared" si="63"/>
        <v>6.9999999999999396</v>
      </c>
      <c r="P493">
        <f t="shared" si="64"/>
        <v>4.9999999999999822</v>
      </c>
      <c r="Q493">
        <f t="shared" si="65"/>
        <v>4.9999999999999822</v>
      </c>
      <c r="R493">
        <f t="shared" si="66"/>
        <v>3.0000000000000249</v>
      </c>
    </row>
    <row r="494" spans="1:18">
      <c r="A494" s="9">
        <v>37431</v>
      </c>
      <c r="B494">
        <v>2.33</v>
      </c>
      <c r="C494">
        <v>3.24</v>
      </c>
      <c r="D494">
        <v>3.83</v>
      </c>
      <c r="E494">
        <v>4.22</v>
      </c>
      <c r="F494">
        <v>4.5</v>
      </c>
      <c r="G494">
        <v>4.91</v>
      </c>
      <c r="H494">
        <v>5.28</v>
      </c>
      <c r="I494">
        <v>5.9</v>
      </c>
      <c r="K494">
        <f t="shared" si="59"/>
        <v>-6.0000000000000053</v>
      </c>
      <c r="L494">
        <f t="shared" si="60"/>
        <v>-5.9999999999999609</v>
      </c>
      <c r="M494">
        <f t="shared" si="61"/>
        <v>-6.0000000000000053</v>
      </c>
      <c r="N494">
        <f t="shared" si="62"/>
        <v>-4.9999999999999822</v>
      </c>
      <c r="O494">
        <f t="shared" si="63"/>
        <v>-4.9999999999999822</v>
      </c>
      <c r="P494">
        <f t="shared" si="64"/>
        <v>-4.0000000000000036</v>
      </c>
      <c r="Q494">
        <f t="shared" si="65"/>
        <v>-1.9999999999999574</v>
      </c>
      <c r="R494">
        <f t="shared" si="66"/>
        <v>-0.99999999999997868</v>
      </c>
    </row>
    <row r="495" spans="1:18">
      <c r="A495" s="9">
        <v>37432</v>
      </c>
      <c r="B495">
        <v>2.36</v>
      </c>
      <c r="C495">
        <v>3.32</v>
      </c>
      <c r="D495">
        <v>3.93</v>
      </c>
      <c r="E495">
        <v>4.33</v>
      </c>
      <c r="F495">
        <v>4.63</v>
      </c>
      <c r="G495">
        <v>5.03</v>
      </c>
      <c r="H495">
        <v>5.4</v>
      </c>
      <c r="I495">
        <v>5.99</v>
      </c>
      <c r="K495">
        <f t="shared" si="59"/>
        <v>2.9999999999999805</v>
      </c>
      <c r="L495">
        <f t="shared" si="60"/>
        <v>7.9999999999999627</v>
      </c>
      <c r="M495">
        <f t="shared" si="61"/>
        <v>10.000000000000009</v>
      </c>
      <c r="N495">
        <f t="shared" si="62"/>
        <v>11.000000000000032</v>
      </c>
      <c r="O495">
        <f t="shared" si="63"/>
        <v>12.999999999999989</v>
      </c>
      <c r="P495">
        <f t="shared" si="64"/>
        <v>12.000000000000011</v>
      </c>
      <c r="Q495">
        <f t="shared" si="65"/>
        <v>12.000000000000011</v>
      </c>
      <c r="R495">
        <f t="shared" si="66"/>
        <v>8.9999999999999858</v>
      </c>
    </row>
    <row r="496" spans="1:18">
      <c r="A496" s="9">
        <v>37433</v>
      </c>
      <c r="B496">
        <v>2.21</v>
      </c>
      <c r="C496">
        <v>3.11</v>
      </c>
      <c r="D496">
        <v>3.73</v>
      </c>
      <c r="E496">
        <v>4.1500000000000004</v>
      </c>
      <c r="F496">
        <v>4.45</v>
      </c>
      <c r="G496">
        <v>4.8499999999999996</v>
      </c>
      <c r="H496">
        <v>5.22</v>
      </c>
      <c r="I496">
        <v>5.86</v>
      </c>
      <c r="K496">
        <f t="shared" si="59"/>
        <v>-14.999999999999991</v>
      </c>
      <c r="L496">
        <f t="shared" si="60"/>
        <v>-20.999999999999996</v>
      </c>
      <c r="M496">
        <f t="shared" si="61"/>
        <v>-20.000000000000018</v>
      </c>
      <c r="N496">
        <f t="shared" si="62"/>
        <v>-17.999999999999972</v>
      </c>
      <c r="O496">
        <f t="shared" si="63"/>
        <v>-17.999999999999972</v>
      </c>
      <c r="P496">
        <f t="shared" si="64"/>
        <v>-18.00000000000006</v>
      </c>
      <c r="Q496">
        <f t="shared" si="65"/>
        <v>-18.00000000000006</v>
      </c>
      <c r="R496">
        <f t="shared" si="66"/>
        <v>-12.999999999999989</v>
      </c>
    </row>
    <row r="497" spans="1:18">
      <c r="A497" s="9">
        <v>37434</v>
      </c>
      <c r="B497">
        <v>2.2799999999999998</v>
      </c>
      <c r="C497">
        <v>3.2</v>
      </c>
      <c r="D497">
        <v>3.82</v>
      </c>
      <c r="E497">
        <v>4.2300000000000004</v>
      </c>
      <c r="F497">
        <v>4.5199999999999996</v>
      </c>
      <c r="G497">
        <v>4.92</v>
      </c>
      <c r="H497">
        <v>5.29</v>
      </c>
      <c r="I497">
        <v>5.94</v>
      </c>
      <c r="K497">
        <f t="shared" si="59"/>
        <v>6.999999999999984</v>
      </c>
      <c r="L497">
        <f t="shared" si="60"/>
        <v>9.0000000000000302</v>
      </c>
      <c r="M497">
        <f t="shared" si="61"/>
        <v>8.9999999999999858</v>
      </c>
      <c r="N497">
        <f t="shared" si="62"/>
        <v>8.0000000000000071</v>
      </c>
      <c r="O497">
        <f t="shared" si="63"/>
        <v>6.9999999999999396</v>
      </c>
      <c r="P497">
        <f t="shared" si="64"/>
        <v>7.0000000000000284</v>
      </c>
      <c r="Q497">
        <f t="shared" si="65"/>
        <v>7.0000000000000284</v>
      </c>
      <c r="R497">
        <f t="shared" si="66"/>
        <v>8.0000000000000071</v>
      </c>
    </row>
    <row r="498" spans="1:18">
      <c r="A498" s="9">
        <v>37435</v>
      </c>
      <c r="B498">
        <v>2.3199999999999998</v>
      </c>
      <c r="C498">
        <v>3.29</v>
      </c>
      <c r="D498">
        <v>3.93</v>
      </c>
      <c r="E498">
        <v>4.33</v>
      </c>
      <c r="F498">
        <v>4.62</v>
      </c>
      <c r="G498">
        <v>5.0199999999999996</v>
      </c>
      <c r="H498">
        <v>5.38</v>
      </c>
      <c r="I498">
        <v>6.02</v>
      </c>
      <c r="K498">
        <f t="shared" si="59"/>
        <v>4.0000000000000036</v>
      </c>
      <c r="L498">
        <f t="shared" si="60"/>
        <v>8.9999999999999858</v>
      </c>
      <c r="M498">
        <f t="shared" si="61"/>
        <v>11.000000000000032</v>
      </c>
      <c r="N498">
        <f t="shared" si="62"/>
        <v>9.9999999999999645</v>
      </c>
      <c r="O498">
        <f t="shared" si="63"/>
        <v>10.000000000000053</v>
      </c>
      <c r="P498">
        <f t="shared" si="64"/>
        <v>9.9999999999999645</v>
      </c>
      <c r="Q498">
        <f t="shared" si="65"/>
        <v>8.9999999999999858</v>
      </c>
      <c r="R498">
        <f t="shared" si="66"/>
        <v>7.9999999999999183</v>
      </c>
    </row>
    <row r="499" spans="1:18">
      <c r="A499" s="9">
        <v>37438</v>
      </c>
      <c r="B499">
        <v>2.31</v>
      </c>
      <c r="C499">
        <v>3.27</v>
      </c>
      <c r="D499">
        <v>3.9</v>
      </c>
      <c r="E499">
        <v>4.3</v>
      </c>
      <c r="F499">
        <v>4.59</v>
      </c>
      <c r="G499">
        <v>5.01</v>
      </c>
      <c r="H499">
        <v>5.38</v>
      </c>
      <c r="I499">
        <v>6.03</v>
      </c>
      <c r="K499">
        <f t="shared" si="59"/>
        <v>-0.99999999999997868</v>
      </c>
      <c r="L499">
        <f t="shared" si="60"/>
        <v>-2.0000000000000018</v>
      </c>
      <c r="M499">
        <f t="shared" si="61"/>
        <v>-3.0000000000000249</v>
      </c>
      <c r="N499">
        <f t="shared" si="62"/>
        <v>-3.0000000000000249</v>
      </c>
      <c r="O499">
        <f t="shared" si="63"/>
        <v>-3.0000000000000249</v>
      </c>
      <c r="P499">
        <f t="shared" si="64"/>
        <v>-0.99999999999997868</v>
      </c>
      <c r="Q499">
        <f t="shared" si="65"/>
        <v>0</v>
      </c>
      <c r="R499">
        <f t="shared" si="66"/>
        <v>1.0000000000000675</v>
      </c>
    </row>
    <row r="500" spans="1:18">
      <c r="A500" s="9">
        <v>37439</v>
      </c>
      <c r="B500">
        <v>2.2599999999999998</v>
      </c>
      <c r="C500">
        <v>3.16</v>
      </c>
      <c r="D500">
        <v>3.78</v>
      </c>
      <c r="E500">
        <v>4.1900000000000004</v>
      </c>
      <c r="F500">
        <v>4.49</v>
      </c>
      <c r="G500">
        <v>4.91</v>
      </c>
      <c r="H500">
        <v>5.3</v>
      </c>
      <c r="I500">
        <v>5.95</v>
      </c>
      <c r="K500">
        <f t="shared" si="59"/>
        <v>-5.0000000000000266</v>
      </c>
      <c r="L500">
        <f t="shared" si="60"/>
        <v>-10.999999999999988</v>
      </c>
      <c r="M500">
        <f t="shared" si="61"/>
        <v>-12.000000000000011</v>
      </c>
      <c r="N500">
        <f t="shared" si="62"/>
        <v>-10.999999999999943</v>
      </c>
      <c r="O500">
        <f t="shared" si="63"/>
        <v>-9.9999999999999645</v>
      </c>
      <c r="P500">
        <f t="shared" si="64"/>
        <v>-9.9999999999999645</v>
      </c>
      <c r="Q500">
        <f t="shared" si="65"/>
        <v>-8.0000000000000071</v>
      </c>
      <c r="R500">
        <f t="shared" si="66"/>
        <v>-8.0000000000000071</v>
      </c>
    </row>
    <row r="501" spans="1:18">
      <c r="A501" s="9">
        <v>37440</v>
      </c>
      <c r="B501">
        <v>2.2400000000000002</v>
      </c>
      <c r="C501">
        <v>3.11</v>
      </c>
      <c r="D501">
        <v>3.73</v>
      </c>
      <c r="E501">
        <v>4.1399999999999997</v>
      </c>
      <c r="F501">
        <v>4.4400000000000004</v>
      </c>
      <c r="G501">
        <v>4.87</v>
      </c>
      <c r="H501">
        <v>5.26</v>
      </c>
      <c r="I501">
        <v>5.93</v>
      </c>
      <c r="K501">
        <f t="shared" si="59"/>
        <v>-1.9999999999999574</v>
      </c>
      <c r="L501">
        <f t="shared" si="60"/>
        <v>-5.0000000000000266</v>
      </c>
      <c r="M501">
        <f t="shared" si="61"/>
        <v>-4.9999999999999822</v>
      </c>
      <c r="N501">
        <f t="shared" si="62"/>
        <v>-5.0000000000000711</v>
      </c>
      <c r="O501">
        <f t="shared" si="63"/>
        <v>-4.9999999999999822</v>
      </c>
      <c r="P501">
        <f t="shared" si="64"/>
        <v>-4.0000000000000036</v>
      </c>
      <c r="Q501">
        <f t="shared" si="65"/>
        <v>-4.0000000000000036</v>
      </c>
      <c r="R501">
        <f t="shared" si="66"/>
        <v>-2.0000000000000462</v>
      </c>
    </row>
    <row r="502" spans="1:18">
      <c r="A502" s="9">
        <v>37442</v>
      </c>
      <c r="B502">
        <v>2.3199999999999998</v>
      </c>
      <c r="C502">
        <v>3.24</v>
      </c>
      <c r="D502">
        <v>3.85</v>
      </c>
      <c r="E502">
        <v>4.26</v>
      </c>
      <c r="F502">
        <v>4.57</v>
      </c>
      <c r="G502">
        <v>4.99</v>
      </c>
      <c r="H502">
        <v>5.37</v>
      </c>
      <c r="I502">
        <v>5.99</v>
      </c>
      <c r="K502">
        <f t="shared" si="59"/>
        <v>7.9999999999999627</v>
      </c>
      <c r="L502">
        <f t="shared" si="60"/>
        <v>13.000000000000034</v>
      </c>
      <c r="M502">
        <f t="shared" si="61"/>
        <v>12.000000000000011</v>
      </c>
      <c r="N502">
        <f t="shared" si="62"/>
        <v>12.000000000000011</v>
      </c>
      <c r="O502">
        <f t="shared" si="63"/>
        <v>12.999999999999989</v>
      </c>
      <c r="P502">
        <f t="shared" si="64"/>
        <v>12.000000000000011</v>
      </c>
      <c r="Q502">
        <f t="shared" si="65"/>
        <v>11.000000000000032</v>
      </c>
      <c r="R502">
        <f t="shared" si="66"/>
        <v>6.0000000000000497</v>
      </c>
    </row>
    <row r="503" spans="1:18">
      <c r="A503" s="9">
        <v>37445</v>
      </c>
      <c r="B503">
        <v>2.2999999999999998</v>
      </c>
      <c r="C503">
        <v>3.22</v>
      </c>
      <c r="D503">
        <v>3.83</v>
      </c>
      <c r="E503">
        <v>4.25</v>
      </c>
      <c r="F503">
        <v>4.5599999999999996</v>
      </c>
      <c r="G503">
        <v>4.99</v>
      </c>
      <c r="H503">
        <v>5.38</v>
      </c>
      <c r="I503">
        <v>6.01</v>
      </c>
      <c r="K503">
        <f t="shared" si="59"/>
        <v>-2.0000000000000018</v>
      </c>
      <c r="L503">
        <f t="shared" si="60"/>
        <v>-2.0000000000000018</v>
      </c>
      <c r="M503">
        <f t="shared" si="61"/>
        <v>-2.0000000000000018</v>
      </c>
      <c r="N503">
        <f t="shared" si="62"/>
        <v>-0.99999999999997868</v>
      </c>
      <c r="O503">
        <f t="shared" si="63"/>
        <v>-1.0000000000000675</v>
      </c>
      <c r="P503">
        <f t="shared" si="64"/>
        <v>0</v>
      </c>
      <c r="Q503">
        <f t="shared" si="65"/>
        <v>0.99999999999997868</v>
      </c>
      <c r="R503">
        <f t="shared" si="66"/>
        <v>1.9999999999999574</v>
      </c>
    </row>
    <row r="504" spans="1:18">
      <c r="A504" s="9">
        <v>37446</v>
      </c>
      <c r="B504">
        <v>2.27</v>
      </c>
      <c r="C504">
        <v>3.17</v>
      </c>
      <c r="D504">
        <v>3.79</v>
      </c>
      <c r="E504">
        <v>4.2</v>
      </c>
      <c r="F504">
        <v>4.5199999999999996</v>
      </c>
      <c r="G504">
        <v>4.96</v>
      </c>
      <c r="H504">
        <v>5.36</v>
      </c>
      <c r="I504">
        <v>5.99</v>
      </c>
      <c r="K504">
        <f t="shared" si="59"/>
        <v>-2.9999999999999805</v>
      </c>
      <c r="L504">
        <f t="shared" si="60"/>
        <v>-5.0000000000000266</v>
      </c>
      <c r="M504">
        <f t="shared" si="61"/>
        <v>-4.0000000000000036</v>
      </c>
      <c r="N504">
        <f t="shared" si="62"/>
        <v>-4.9999999999999822</v>
      </c>
      <c r="O504">
        <f t="shared" si="63"/>
        <v>-4.0000000000000036</v>
      </c>
      <c r="P504">
        <f t="shared" si="64"/>
        <v>-3.0000000000000249</v>
      </c>
      <c r="Q504">
        <f t="shared" si="65"/>
        <v>-1.9999999999999574</v>
      </c>
      <c r="R504">
        <f t="shared" si="66"/>
        <v>-1.9999999999999574</v>
      </c>
    </row>
    <row r="505" spans="1:18">
      <c r="A505" s="9">
        <v>37447</v>
      </c>
      <c r="B505">
        <v>2.2200000000000002</v>
      </c>
      <c r="C505">
        <v>3.06</v>
      </c>
      <c r="D505">
        <v>3.67</v>
      </c>
      <c r="E505">
        <v>4.09</v>
      </c>
      <c r="F505">
        <v>4.41</v>
      </c>
      <c r="G505">
        <v>4.8499999999999996</v>
      </c>
      <c r="H505">
        <v>5.26</v>
      </c>
      <c r="I505">
        <v>5.9</v>
      </c>
      <c r="K505">
        <f t="shared" si="59"/>
        <v>-4.9999999999999822</v>
      </c>
      <c r="L505">
        <f t="shared" si="60"/>
        <v>-10.999999999999988</v>
      </c>
      <c r="M505">
        <f t="shared" si="61"/>
        <v>-12.000000000000011</v>
      </c>
      <c r="N505">
        <f t="shared" si="62"/>
        <v>-11.000000000000032</v>
      </c>
      <c r="O505">
        <f t="shared" si="63"/>
        <v>-10.999999999999943</v>
      </c>
      <c r="P505">
        <f t="shared" si="64"/>
        <v>-11.000000000000032</v>
      </c>
      <c r="Q505">
        <f t="shared" si="65"/>
        <v>-10.000000000000053</v>
      </c>
      <c r="R505">
        <f t="shared" si="66"/>
        <v>-8.9999999999999858</v>
      </c>
    </row>
    <row r="506" spans="1:18">
      <c r="A506" s="9">
        <v>37448</v>
      </c>
      <c r="B506">
        <v>2.16</v>
      </c>
      <c r="C506">
        <v>2.93</v>
      </c>
      <c r="D506">
        <v>3.53</v>
      </c>
      <c r="E506">
        <v>3.95</v>
      </c>
      <c r="F506">
        <v>4.2699999999999996</v>
      </c>
      <c r="G506">
        <v>4.71</v>
      </c>
      <c r="H506">
        <v>5.1100000000000003</v>
      </c>
      <c r="I506">
        <v>5.79</v>
      </c>
      <c r="K506">
        <f t="shared" si="59"/>
        <v>-6.0000000000000053</v>
      </c>
      <c r="L506">
        <f t="shared" si="60"/>
        <v>-12.999999999999989</v>
      </c>
      <c r="M506">
        <f t="shared" si="61"/>
        <v>-14.000000000000012</v>
      </c>
      <c r="N506">
        <f t="shared" si="62"/>
        <v>-13.999999999999968</v>
      </c>
      <c r="O506">
        <f t="shared" si="63"/>
        <v>-14.000000000000057</v>
      </c>
      <c r="P506">
        <f t="shared" si="64"/>
        <v>-13.999999999999968</v>
      </c>
      <c r="Q506">
        <f t="shared" si="65"/>
        <v>-14.999999999999947</v>
      </c>
      <c r="R506">
        <f t="shared" si="66"/>
        <v>-11.000000000000032</v>
      </c>
    </row>
    <row r="507" spans="1:18">
      <c r="A507" s="9">
        <v>37449</v>
      </c>
      <c r="B507">
        <v>2.15</v>
      </c>
      <c r="C507">
        <v>2.95</v>
      </c>
      <c r="D507">
        <v>3.56</v>
      </c>
      <c r="E507">
        <v>3.99</v>
      </c>
      <c r="F507">
        <v>4.3099999999999996</v>
      </c>
      <c r="G507">
        <v>4.75</v>
      </c>
      <c r="H507">
        <v>5.15</v>
      </c>
      <c r="I507">
        <v>5.82</v>
      </c>
      <c r="K507">
        <f t="shared" si="59"/>
        <v>-1.0000000000000231</v>
      </c>
      <c r="L507">
        <f t="shared" si="60"/>
        <v>2.0000000000000018</v>
      </c>
      <c r="M507">
        <f t="shared" si="61"/>
        <v>3.0000000000000249</v>
      </c>
      <c r="N507">
        <f t="shared" si="62"/>
        <v>4.0000000000000036</v>
      </c>
      <c r="O507">
        <f t="shared" si="63"/>
        <v>4.0000000000000036</v>
      </c>
      <c r="P507">
        <f t="shared" si="64"/>
        <v>4.0000000000000036</v>
      </c>
      <c r="Q507">
        <f t="shared" si="65"/>
        <v>4.0000000000000036</v>
      </c>
      <c r="R507">
        <f t="shared" si="66"/>
        <v>3.0000000000000249</v>
      </c>
    </row>
    <row r="508" spans="1:18">
      <c r="A508" s="9">
        <v>37452</v>
      </c>
      <c r="B508">
        <v>2.1</v>
      </c>
      <c r="C508">
        <v>2.87</v>
      </c>
      <c r="D508">
        <v>3.48</v>
      </c>
      <c r="E508">
        <v>3.91</v>
      </c>
      <c r="F508">
        <v>4.24</v>
      </c>
      <c r="G508">
        <v>4.68</v>
      </c>
      <c r="H508">
        <v>5.08</v>
      </c>
      <c r="I508">
        <v>5.78</v>
      </c>
      <c r="K508">
        <f t="shared" si="59"/>
        <v>-4.9999999999999822</v>
      </c>
      <c r="L508">
        <f t="shared" si="60"/>
        <v>-8.0000000000000071</v>
      </c>
      <c r="M508">
        <f t="shared" si="61"/>
        <v>-8.0000000000000071</v>
      </c>
      <c r="N508">
        <f t="shared" si="62"/>
        <v>-8.0000000000000071</v>
      </c>
      <c r="O508">
        <f t="shared" si="63"/>
        <v>-6.9999999999999396</v>
      </c>
      <c r="P508">
        <f t="shared" si="64"/>
        <v>-7.0000000000000284</v>
      </c>
      <c r="Q508">
        <f t="shared" si="65"/>
        <v>-7.0000000000000284</v>
      </c>
      <c r="R508">
        <f t="shared" si="66"/>
        <v>-4.0000000000000036</v>
      </c>
    </row>
    <row r="509" spans="1:18">
      <c r="A509" s="9">
        <v>37453</v>
      </c>
      <c r="B509">
        <v>2.15</v>
      </c>
      <c r="C509">
        <v>2.96</v>
      </c>
      <c r="D509">
        <v>3.59</v>
      </c>
      <c r="E509">
        <v>4.03</v>
      </c>
      <c r="F509">
        <v>4.3600000000000003</v>
      </c>
      <c r="G509">
        <v>4.8099999999999996</v>
      </c>
      <c r="H509">
        <v>5.2</v>
      </c>
      <c r="I509">
        <v>5.89</v>
      </c>
      <c r="K509">
        <f t="shared" si="59"/>
        <v>4.9999999999999822</v>
      </c>
      <c r="L509">
        <f t="shared" si="60"/>
        <v>8.9999999999999858</v>
      </c>
      <c r="M509">
        <f t="shared" si="61"/>
        <v>10.999999999999988</v>
      </c>
      <c r="N509">
        <f t="shared" si="62"/>
        <v>12.000000000000011</v>
      </c>
      <c r="O509">
        <f t="shared" si="63"/>
        <v>12.000000000000011</v>
      </c>
      <c r="P509">
        <f t="shared" si="64"/>
        <v>12.999999999999989</v>
      </c>
      <c r="Q509">
        <f t="shared" si="65"/>
        <v>12.000000000000011</v>
      </c>
      <c r="R509">
        <f t="shared" si="66"/>
        <v>10.999999999999943</v>
      </c>
    </row>
    <row r="510" spans="1:18">
      <c r="A510" s="9">
        <v>37454</v>
      </c>
      <c r="B510">
        <v>2.19</v>
      </c>
      <c r="C510">
        <v>3.02</v>
      </c>
      <c r="D510">
        <v>3.65</v>
      </c>
      <c r="E510">
        <v>4.08</v>
      </c>
      <c r="F510">
        <v>4.41</v>
      </c>
      <c r="G510">
        <v>4.8499999999999996</v>
      </c>
      <c r="H510">
        <v>5.26</v>
      </c>
      <c r="I510">
        <v>5.93</v>
      </c>
      <c r="K510">
        <f t="shared" si="59"/>
        <v>4.0000000000000036</v>
      </c>
      <c r="L510">
        <f t="shared" si="60"/>
        <v>6.0000000000000053</v>
      </c>
      <c r="M510">
        <f t="shared" si="61"/>
        <v>6.0000000000000053</v>
      </c>
      <c r="N510">
        <f t="shared" si="62"/>
        <v>4.9999999999999822</v>
      </c>
      <c r="O510">
        <f t="shared" si="63"/>
        <v>4.9999999999999822</v>
      </c>
      <c r="P510">
        <f t="shared" si="64"/>
        <v>4.0000000000000036</v>
      </c>
      <c r="Q510">
        <f t="shared" si="65"/>
        <v>5.9999999999999609</v>
      </c>
      <c r="R510">
        <f t="shared" si="66"/>
        <v>4.0000000000000036</v>
      </c>
    </row>
    <row r="511" spans="1:18">
      <c r="A511" s="9">
        <v>37455</v>
      </c>
      <c r="B511">
        <v>2.17</v>
      </c>
      <c r="C511">
        <v>2.97</v>
      </c>
      <c r="D511">
        <v>3.59</v>
      </c>
      <c r="E511">
        <v>4.0199999999999996</v>
      </c>
      <c r="F511">
        <v>4.3499999999999996</v>
      </c>
      <c r="G511">
        <v>4.8</v>
      </c>
      <c r="H511">
        <v>5.21</v>
      </c>
      <c r="I511">
        <v>5.9</v>
      </c>
      <c r="K511">
        <f t="shared" si="59"/>
        <v>-2.0000000000000018</v>
      </c>
      <c r="L511">
        <f t="shared" si="60"/>
        <v>-4.9999999999999822</v>
      </c>
      <c r="M511">
        <f t="shared" si="61"/>
        <v>-6.0000000000000053</v>
      </c>
      <c r="N511">
        <f t="shared" si="62"/>
        <v>-6.0000000000000497</v>
      </c>
      <c r="O511">
        <f t="shared" si="63"/>
        <v>-6.0000000000000497</v>
      </c>
      <c r="P511">
        <f t="shared" si="64"/>
        <v>-4.9999999999999822</v>
      </c>
      <c r="Q511">
        <f t="shared" si="65"/>
        <v>-4.9999999999999822</v>
      </c>
      <c r="R511">
        <f t="shared" si="66"/>
        <v>-2.9999999999999361</v>
      </c>
    </row>
    <row r="512" spans="1:18">
      <c r="A512" s="9">
        <v>37456</v>
      </c>
      <c r="B512">
        <v>2.12</v>
      </c>
      <c r="C512">
        <v>2.88</v>
      </c>
      <c r="D512">
        <v>3.5</v>
      </c>
      <c r="E512">
        <v>3.92</v>
      </c>
      <c r="F512">
        <v>4.25</v>
      </c>
      <c r="G512">
        <v>4.7</v>
      </c>
      <c r="H512">
        <v>5.0999999999999996</v>
      </c>
      <c r="I512">
        <v>5.81</v>
      </c>
      <c r="K512">
        <f t="shared" si="59"/>
        <v>-4.9999999999999822</v>
      </c>
      <c r="L512">
        <f t="shared" si="60"/>
        <v>-9.0000000000000302</v>
      </c>
      <c r="M512">
        <f t="shared" si="61"/>
        <v>-8.9999999999999858</v>
      </c>
      <c r="N512">
        <f t="shared" si="62"/>
        <v>-9.9999999999999645</v>
      </c>
      <c r="O512">
        <f t="shared" si="63"/>
        <v>-9.9999999999999645</v>
      </c>
      <c r="P512">
        <f t="shared" si="64"/>
        <v>-9.9999999999999645</v>
      </c>
      <c r="Q512">
        <f t="shared" si="65"/>
        <v>-11.000000000000032</v>
      </c>
      <c r="R512">
        <f t="shared" si="66"/>
        <v>-9.0000000000000746</v>
      </c>
    </row>
    <row r="513" spans="1:18">
      <c r="A513" s="9">
        <v>37459</v>
      </c>
      <c r="B513">
        <v>2.09</v>
      </c>
      <c r="C513">
        <v>2.84</v>
      </c>
      <c r="D513">
        <v>3.44</v>
      </c>
      <c r="E513">
        <v>3.86</v>
      </c>
      <c r="F513">
        <v>4.18</v>
      </c>
      <c r="G513">
        <v>4.6399999999999997</v>
      </c>
      <c r="H513">
        <v>5.05</v>
      </c>
      <c r="I513">
        <v>5.78</v>
      </c>
      <c r="K513">
        <f t="shared" si="59"/>
        <v>-3.0000000000000249</v>
      </c>
      <c r="L513">
        <f t="shared" si="60"/>
        <v>-4.0000000000000036</v>
      </c>
      <c r="M513">
        <f t="shared" si="61"/>
        <v>-6.0000000000000053</v>
      </c>
      <c r="N513">
        <f t="shared" si="62"/>
        <v>-6.0000000000000053</v>
      </c>
      <c r="O513">
        <f t="shared" si="63"/>
        <v>-7.0000000000000284</v>
      </c>
      <c r="P513">
        <f t="shared" si="64"/>
        <v>-6.0000000000000497</v>
      </c>
      <c r="Q513">
        <f t="shared" si="65"/>
        <v>-4.9999999999999822</v>
      </c>
      <c r="R513">
        <f t="shared" si="66"/>
        <v>-2.9999999999999361</v>
      </c>
    </row>
    <row r="514" spans="1:18">
      <c r="A514" s="9">
        <v>37460</v>
      </c>
      <c r="B514">
        <v>2.0699999999999998</v>
      </c>
      <c r="C514">
        <v>2.81</v>
      </c>
      <c r="D514">
        <v>3.4</v>
      </c>
      <c r="E514">
        <v>3.82</v>
      </c>
      <c r="F514">
        <v>4.1399999999999997</v>
      </c>
      <c r="G514">
        <v>4.5999999999999996</v>
      </c>
      <c r="H514">
        <v>5.0199999999999996</v>
      </c>
      <c r="I514">
        <v>5.77</v>
      </c>
      <c r="K514">
        <f t="shared" si="59"/>
        <v>-2.0000000000000018</v>
      </c>
      <c r="L514">
        <f t="shared" si="60"/>
        <v>-2.9999999999999805</v>
      </c>
      <c r="M514">
        <f t="shared" si="61"/>
        <v>-4.0000000000000036</v>
      </c>
      <c r="N514">
        <f t="shared" si="62"/>
        <v>-4.0000000000000036</v>
      </c>
      <c r="O514">
        <f t="shared" si="63"/>
        <v>-4.0000000000000036</v>
      </c>
      <c r="P514">
        <f t="shared" si="64"/>
        <v>-4.0000000000000036</v>
      </c>
      <c r="Q514">
        <f t="shared" si="65"/>
        <v>-3.0000000000000249</v>
      </c>
      <c r="R514">
        <f t="shared" si="66"/>
        <v>-1.0000000000000675</v>
      </c>
    </row>
    <row r="515" spans="1:18">
      <c r="A515" s="9">
        <v>37461</v>
      </c>
      <c r="B515">
        <v>1.96</v>
      </c>
      <c r="C515">
        <v>2.65</v>
      </c>
      <c r="D515">
        <v>3.25</v>
      </c>
      <c r="E515">
        <v>3.68</v>
      </c>
      <c r="F515">
        <v>4</v>
      </c>
      <c r="G515">
        <v>4.47</v>
      </c>
      <c r="H515">
        <v>4.9000000000000004</v>
      </c>
      <c r="I515">
        <v>5.71</v>
      </c>
      <c r="K515">
        <f t="shared" si="59"/>
        <v>-10.999999999999988</v>
      </c>
      <c r="L515">
        <f t="shared" si="60"/>
        <v>-16.000000000000014</v>
      </c>
      <c r="M515">
        <f t="shared" si="61"/>
        <v>-14.999999999999991</v>
      </c>
      <c r="N515">
        <f t="shared" si="62"/>
        <v>-13.999999999999968</v>
      </c>
      <c r="O515">
        <f t="shared" si="63"/>
        <v>-13.999999999999968</v>
      </c>
      <c r="P515">
        <f t="shared" si="64"/>
        <v>-12.999999999999989</v>
      </c>
      <c r="Q515">
        <f t="shared" si="65"/>
        <v>-11.999999999999922</v>
      </c>
      <c r="R515">
        <f t="shared" si="66"/>
        <v>-5.9999999999999609</v>
      </c>
    </row>
    <row r="516" spans="1:18">
      <c r="A516" s="9">
        <v>37462</v>
      </c>
      <c r="B516">
        <v>2.02</v>
      </c>
      <c r="C516">
        <v>2.74</v>
      </c>
      <c r="D516">
        <v>3.33</v>
      </c>
      <c r="E516">
        <v>3.77</v>
      </c>
      <c r="F516">
        <v>4.0999999999999996</v>
      </c>
      <c r="G516">
        <v>4.58</v>
      </c>
      <c r="H516">
        <v>5.01</v>
      </c>
      <c r="I516">
        <v>5.8</v>
      </c>
      <c r="K516">
        <f t="shared" si="59"/>
        <v>6.0000000000000053</v>
      </c>
      <c r="L516">
        <f t="shared" si="60"/>
        <v>9.0000000000000302</v>
      </c>
      <c r="M516">
        <f t="shared" si="61"/>
        <v>8.0000000000000071</v>
      </c>
      <c r="N516">
        <f t="shared" si="62"/>
        <v>8.9999999999999858</v>
      </c>
      <c r="O516">
        <f t="shared" si="63"/>
        <v>9.9999999999999645</v>
      </c>
      <c r="P516">
        <f t="shared" si="64"/>
        <v>11.000000000000032</v>
      </c>
      <c r="Q516">
        <f t="shared" si="65"/>
        <v>10.999999999999943</v>
      </c>
      <c r="R516">
        <f t="shared" si="66"/>
        <v>8.9999999999999858</v>
      </c>
    </row>
    <row r="517" spans="1:18">
      <c r="A517" s="9">
        <v>37463</v>
      </c>
      <c r="B517">
        <v>1.98</v>
      </c>
      <c r="C517">
        <v>2.67</v>
      </c>
      <c r="D517">
        <v>3.29</v>
      </c>
      <c r="E517">
        <v>3.74</v>
      </c>
      <c r="F517">
        <v>4.07</v>
      </c>
      <c r="G517">
        <v>4.57</v>
      </c>
      <c r="H517">
        <v>5.04</v>
      </c>
      <c r="I517">
        <v>5.83</v>
      </c>
      <c r="K517">
        <f t="shared" ref="K517:K580" si="67">(B517-B516)*100</f>
        <v>-4.0000000000000036</v>
      </c>
      <c r="L517">
        <f t="shared" ref="L517:L580" si="68">(C517-C516)*100</f>
        <v>-7.0000000000000284</v>
      </c>
      <c r="M517">
        <f t="shared" ref="M517:M580" si="69">(D517-D516)*100</f>
        <v>-4.0000000000000036</v>
      </c>
      <c r="N517">
        <f t="shared" ref="N517:N580" si="70">(E517-E516)*100</f>
        <v>-2.9999999999999805</v>
      </c>
      <c r="O517">
        <f t="shared" ref="O517:O580" si="71">(F517-F516)*100</f>
        <v>-2.9999999999999361</v>
      </c>
      <c r="P517">
        <f t="shared" ref="P517:P580" si="72">(G517-G516)*100</f>
        <v>-0.99999999999997868</v>
      </c>
      <c r="Q517">
        <f t="shared" ref="Q517:Q580" si="73">(H517-H516)*100</f>
        <v>3.0000000000000249</v>
      </c>
      <c r="R517">
        <f t="shared" ref="R517:R580" si="74">(I517-I516)*100</f>
        <v>3.0000000000000249</v>
      </c>
    </row>
    <row r="518" spans="1:18">
      <c r="A518" s="9">
        <v>37466</v>
      </c>
      <c r="B518">
        <v>2.0299999999999998</v>
      </c>
      <c r="C518">
        <v>2.75</v>
      </c>
      <c r="D518">
        <v>3.36</v>
      </c>
      <c r="E518">
        <v>3.81</v>
      </c>
      <c r="F518">
        <v>4.1500000000000004</v>
      </c>
      <c r="G518">
        <v>4.6500000000000004</v>
      </c>
      <c r="H518">
        <v>5.0999999999999996</v>
      </c>
      <c r="I518">
        <v>5.87</v>
      </c>
      <c r="K518">
        <f t="shared" si="67"/>
        <v>4.9999999999999822</v>
      </c>
      <c r="L518">
        <f t="shared" si="68"/>
        <v>8.0000000000000071</v>
      </c>
      <c r="M518">
        <f t="shared" si="69"/>
        <v>6.999999999999984</v>
      </c>
      <c r="N518">
        <f t="shared" si="70"/>
        <v>6.999999999999984</v>
      </c>
      <c r="O518">
        <f t="shared" si="71"/>
        <v>8.0000000000000071</v>
      </c>
      <c r="P518">
        <f t="shared" si="72"/>
        <v>8.0000000000000071</v>
      </c>
      <c r="Q518">
        <f t="shared" si="73"/>
        <v>5.9999999999999609</v>
      </c>
      <c r="R518">
        <f t="shared" si="74"/>
        <v>4.0000000000000036</v>
      </c>
    </row>
    <row r="519" spans="1:18">
      <c r="A519" s="9">
        <v>37467</v>
      </c>
      <c r="B519">
        <v>2.0699999999999998</v>
      </c>
      <c r="C519">
        <v>2.81</v>
      </c>
      <c r="D519">
        <v>3.43</v>
      </c>
      <c r="E519">
        <v>3.89</v>
      </c>
      <c r="F519">
        <v>4.24</v>
      </c>
      <c r="G519">
        <v>4.7300000000000004</v>
      </c>
      <c r="H519">
        <v>5.18</v>
      </c>
      <c r="I519">
        <v>5.89</v>
      </c>
      <c r="K519">
        <f t="shared" si="67"/>
        <v>4.0000000000000036</v>
      </c>
      <c r="L519">
        <f t="shared" si="68"/>
        <v>6.0000000000000053</v>
      </c>
      <c r="M519">
        <f t="shared" si="69"/>
        <v>7.0000000000000284</v>
      </c>
      <c r="N519">
        <f t="shared" si="70"/>
        <v>8.0000000000000071</v>
      </c>
      <c r="O519">
        <f t="shared" si="71"/>
        <v>8.9999999999999858</v>
      </c>
      <c r="P519">
        <f t="shared" si="72"/>
        <v>8.0000000000000071</v>
      </c>
      <c r="Q519">
        <f t="shared" si="73"/>
        <v>8.0000000000000071</v>
      </c>
      <c r="R519">
        <f t="shared" si="74"/>
        <v>1.9999999999999574</v>
      </c>
    </row>
    <row r="520" spans="1:18">
      <c r="A520" s="9">
        <v>37468</v>
      </c>
      <c r="B520">
        <v>2.0299999999999998</v>
      </c>
      <c r="C520">
        <v>2.73</v>
      </c>
      <c r="D520">
        <v>3.37</v>
      </c>
      <c r="E520">
        <v>3.83</v>
      </c>
      <c r="F520">
        <v>4.17</v>
      </c>
      <c r="G520">
        <v>4.68</v>
      </c>
      <c r="H520">
        <v>5.14</v>
      </c>
      <c r="I520">
        <v>5.86</v>
      </c>
      <c r="K520">
        <f t="shared" si="67"/>
        <v>-4.0000000000000036</v>
      </c>
      <c r="L520">
        <f t="shared" si="68"/>
        <v>-8.0000000000000071</v>
      </c>
      <c r="M520">
        <f t="shared" si="69"/>
        <v>-6.0000000000000053</v>
      </c>
      <c r="N520">
        <f t="shared" si="70"/>
        <v>-6.0000000000000053</v>
      </c>
      <c r="O520">
        <f t="shared" si="71"/>
        <v>-7.0000000000000284</v>
      </c>
      <c r="P520">
        <f t="shared" si="72"/>
        <v>-5.0000000000000711</v>
      </c>
      <c r="Q520">
        <f t="shared" si="73"/>
        <v>-4.0000000000000036</v>
      </c>
      <c r="R520">
        <f t="shared" si="74"/>
        <v>-2.9999999999999361</v>
      </c>
    </row>
    <row r="521" spans="1:18">
      <c r="A521" s="9">
        <v>37469</v>
      </c>
      <c r="B521">
        <v>1.93</v>
      </c>
      <c r="C521">
        <v>2.58</v>
      </c>
      <c r="D521">
        <v>3.22</v>
      </c>
      <c r="E521">
        <v>3.69</v>
      </c>
      <c r="F521">
        <v>4.04</v>
      </c>
      <c r="G521">
        <v>4.5599999999999996</v>
      </c>
      <c r="H521">
        <v>5.04</v>
      </c>
      <c r="I521">
        <v>5.81</v>
      </c>
      <c r="K521">
        <f t="shared" si="67"/>
        <v>-9.9999999999999858</v>
      </c>
      <c r="L521">
        <f t="shared" si="68"/>
        <v>-14.999999999999991</v>
      </c>
      <c r="M521">
        <f t="shared" si="69"/>
        <v>-14.999999999999991</v>
      </c>
      <c r="N521">
        <f t="shared" si="70"/>
        <v>-14.000000000000012</v>
      </c>
      <c r="O521">
        <f t="shared" si="71"/>
        <v>-12.999999999999989</v>
      </c>
      <c r="P521">
        <f t="shared" si="72"/>
        <v>-12.000000000000011</v>
      </c>
      <c r="Q521">
        <f t="shared" si="73"/>
        <v>-9.9999999999999645</v>
      </c>
      <c r="R521">
        <f t="shared" si="74"/>
        <v>-5.0000000000000711</v>
      </c>
    </row>
    <row r="522" spans="1:18">
      <c r="A522" s="9">
        <v>37470</v>
      </c>
      <c r="B522">
        <v>1.9</v>
      </c>
      <c r="C522">
        <v>2.54</v>
      </c>
      <c r="D522">
        <v>3.17</v>
      </c>
      <c r="E522">
        <v>3.64</v>
      </c>
      <c r="F522">
        <v>4</v>
      </c>
      <c r="G522">
        <v>4.5199999999999996</v>
      </c>
      <c r="H522">
        <v>5</v>
      </c>
      <c r="I522">
        <v>5.77</v>
      </c>
      <c r="K522">
        <f t="shared" si="67"/>
        <v>-3.0000000000000027</v>
      </c>
      <c r="L522">
        <f t="shared" si="68"/>
        <v>-4.0000000000000036</v>
      </c>
      <c r="M522">
        <f t="shared" si="69"/>
        <v>-5.0000000000000266</v>
      </c>
      <c r="N522">
        <f t="shared" si="70"/>
        <v>-4.9999999999999822</v>
      </c>
      <c r="O522">
        <f t="shared" si="71"/>
        <v>-4.0000000000000036</v>
      </c>
      <c r="P522">
        <f t="shared" si="72"/>
        <v>-4.0000000000000036</v>
      </c>
      <c r="Q522">
        <f t="shared" si="73"/>
        <v>-4.0000000000000036</v>
      </c>
      <c r="R522">
        <f t="shared" si="74"/>
        <v>-4.0000000000000036</v>
      </c>
    </row>
    <row r="523" spans="1:18">
      <c r="A523" s="9">
        <v>37473</v>
      </c>
      <c r="B523">
        <v>1.81</v>
      </c>
      <c r="C523">
        <v>2.4</v>
      </c>
      <c r="D523">
        <v>3.03</v>
      </c>
      <c r="E523">
        <v>3.51</v>
      </c>
      <c r="F523">
        <v>3.87</v>
      </c>
      <c r="G523">
        <v>4.41</v>
      </c>
      <c r="H523">
        <v>4.8899999999999997</v>
      </c>
      <c r="I523">
        <v>5.69</v>
      </c>
      <c r="K523">
        <f t="shared" si="67"/>
        <v>-8.9999999999999858</v>
      </c>
      <c r="L523">
        <f t="shared" si="68"/>
        <v>-14.000000000000012</v>
      </c>
      <c r="M523">
        <f t="shared" si="69"/>
        <v>-14.000000000000012</v>
      </c>
      <c r="N523">
        <f t="shared" si="70"/>
        <v>-13.000000000000034</v>
      </c>
      <c r="O523">
        <f t="shared" si="71"/>
        <v>-12.999999999999989</v>
      </c>
      <c r="P523">
        <f t="shared" si="72"/>
        <v>-10.999999999999943</v>
      </c>
      <c r="Q523">
        <f t="shared" si="73"/>
        <v>-11.000000000000032</v>
      </c>
      <c r="R523">
        <f t="shared" si="74"/>
        <v>-7.9999999999999183</v>
      </c>
    </row>
    <row r="524" spans="1:18">
      <c r="A524" s="9">
        <v>37474</v>
      </c>
      <c r="B524">
        <v>1.84</v>
      </c>
      <c r="C524">
        <v>2.46</v>
      </c>
      <c r="D524">
        <v>3.09</v>
      </c>
      <c r="E524">
        <v>3.58</v>
      </c>
      <c r="F524">
        <v>3.95</v>
      </c>
      <c r="G524">
        <v>4.4800000000000004</v>
      </c>
      <c r="H524">
        <v>4.95</v>
      </c>
      <c r="I524">
        <v>5.73</v>
      </c>
      <c r="K524">
        <f t="shared" si="67"/>
        <v>3.0000000000000027</v>
      </c>
      <c r="L524">
        <f t="shared" si="68"/>
        <v>6.0000000000000053</v>
      </c>
      <c r="M524">
        <f t="shared" si="69"/>
        <v>6.0000000000000053</v>
      </c>
      <c r="N524">
        <f t="shared" si="70"/>
        <v>7.0000000000000284</v>
      </c>
      <c r="O524">
        <f t="shared" si="71"/>
        <v>8.0000000000000071</v>
      </c>
      <c r="P524">
        <f t="shared" si="72"/>
        <v>7.0000000000000284</v>
      </c>
      <c r="Q524">
        <f t="shared" si="73"/>
        <v>6.0000000000000497</v>
      </c>
      <c r="R524">
        <f t="shared" si="74"/>
        <v>4.0000000000000036</v>
      </c>
    </row>
    <row r="525" spans="1:18">
      <c r="A525" s="9">
        <v>37475</v>
      </c>
      <c r="B525">
        <v>1.77</v>
      </c>
      <c r="C525">
        <v>2.4</v>
      </c>
      <c r="D525">
        <v>3.04</v>
      </c>
      <c r="E525">
        <v>3.52</v>
      </c>
      <c r="F525">
        <v>3.88</v>
      </c>
      <c r="G525">
        <v>4.43</v>
      </c>
      <c r="H525">
        <v>4.91</v>
      </c>
      <c r="I525">
        <v>5.69</v>
      </c>
      <c r="K525">
        <f t="shared" si="67"/>
        <v>-7.0000000000000062</v>
      </c>
      <c r="L525">
        <f t="shared" si="68"/>
        <v>-6.0000000000000053</v>
      </c>
      <c r="M525">
        <f t="shared" si="69"/>
        <v>-4.9999999999999822</v>
      </c>
      <c r="N525">
        <f t="shared" si="70"/>
        <v>-6.0000000000000053</v>
      </c>
      <c r="O525">
        <f t="shared" si="71"/>
        <v>-7.0000000000000284</v>
      </c>
      <c r="P525">
        <f t="shared" si="72"/>
        <v>-5.0000000000000711</v>
      </c>
      <c r="Q525">
        <f t="shared" si="73"/>
        <v>-4.0000000000000036</v>
      </c>
      <c r="R525">
        <f t="shared" si="74"/>
        <v>-4.0000000000000036</v>
      </c>
    </row>
    <row r="526" spans="1:18">
      <c r="A526" s="9">
        <v>37476</v>
      </c>
      <c r="B526">
        <v>1.8</v>
      </c>
      <c r="C526">
        <v>2.44</v>
      </c>
      <c r="D526">
        <v>3.06</v>
      </c>
      <c r="E526">
        <v>3.53</v>
      </c>
      <c r="F526">
        <v>3.9</v>
      </c>
      <c r="G526">
        <v>4.4400000000000004</v>
      </c>
      <c r="H526">
        <v>4.92</v>
      </c>
      <c r="I526">
        <v>5.69</v>
      </c>
      <c r="K526">
        <f t="shared" si="67"/>
        <v>3.0000000000000027</v>
      </c>
      <c r="L526">
        <f t="shared" si="68"/>
        <v>4.0000000000000036</v>
      </c>
      <c r="M526">
        <f t="shared" si="69"/>
        <v>2.0000000000000018</v>
      </c>
      <c r="N526">
        <f t="shared" si="70"/>
        <v>0.99999999999997868</v>
      </c>
      <c r="O526">
        <f t="shared" si="71"/>
        <v>2.0000000000000018</v>
      </c>
      <c r="P526">
        <f t="shared" si="72"/>
        <v>1.0000000000000675</v>
      </c>
      <c r="Q526">
        <f t="shared" si="73"/>
        <v>0.99999999999997868</v>
      </c>
      <c r="R526">
        <f t="shared" si="74"/>
        <v>0</v>
      </c>
    </row>
    <row r="527" spans="1:18">
      <c r="A527" s="9">
        <v>37477</v>
      </c>
      <c r="B527">
        <v>1.85</v>
      </c>
      <c r="C527">
        <v>2.4900000000000002</v>
      </c>
      <c r="D527">
        <v>3.08</v>
      </c>
      <c r="E527">
        <v>3.53</v>
      </c>
      <c r="F527">
        <v>3.88</v>
      </c>
      <c r="G527">
        <v>4.41</v>
      </c>
      <c r="H527">
        <v>4.8600000000000003</v>
      </c>
      <c r="I527">
        <v>5.63</v>
      </c>
      <c r="K527">
        <f t="shared" si="67"/>
        <v>5.0000000000000044</v>
      </c>
      <c r="L527">
        <f t="shared" si="68"/>
        <v>5.0000000000000266</v>
      </c>
      <c r="M527">
        <f t="shared" si="69"/>
        <v>2.0000000000000018</v>
      </c>
      <c r="N527">
        <f t="shared" si="70"/>
        <v>0</v>
      </c>
      <c r="O527">
        <f t="shared" si="71"/>
        <v>-2.0000000000000018</v>
      </c>
      <c r="P527">
        <f t="shared" si="72"/>
        <v>-3.0000000000000249</v>
      </c>
      <c r="Q527">
        <f t="shared" si="73"/>
        <v>-5.9999999999999609</v>
      </c>
      <c r="R527">
        <f t="shared" si="74"/>
        <v>-6.0000000000000497</v>
      </c>
    </row>
    <row r="528" spans="1:18">
      <c r="A528" s="9">
        <v>37480</v>
      </c>
      <c r="B528">
        <v>1.86</v>
      </c>
      <c r="C528">
        <v>2.5</v>
      </c>
      <c r="D528">
        <v>3.07</v>
      </c>
      <c r="E528">
        <v>3.49</v>
      </c>
      <c r="F528">
        <v>3.83</v>
      </c>
      <c r="G528">
        <v>4.33</v>
      </c>
      <c r="H528">
        <v>4.76</v>
      </c>
      <c r="I528">
        <v>5.54</v>
      </c>
      <c r="K528">
        <f t="shared" si="67"/>
        <v>1.0000000000000009</v>
      </c>
      <c r="L528">
        <f t="shared" si="68"/>
        <v>0.99999999999997868</v>
      </c>
      <c r="M528">
        <f t="shared" si="69"/>
        <v>-1.0000000000000231</v>
      </c>
      <c r="N528">
        <f t="shared" si="70"/>
        <v>-3.9999999999999591</v>
      </c>
      <c r="O528">
        <f t="shared" si="71"/>
        <v>-4.9999999999999822</v>
      </c>
      <c r="P528">
        <f t="shared" si="72"/>
        <v>-8.0000000000000071</v>
      </c>
      <c r="Q528">
        <f t="shared" si="73"/>
        <v>-10.000000000000053</v>
      </c>
      <c r="R528">
        <f t="shared" si="74"/>
        <v>-8.9999999999999858</v>
      </c>
    </row>
    <row r="529" spans="1:18">
      <c r="A529" s="9">
        <v>37481</v>
      </c>
      <c r="B529">
        <v>1.85</v>
      </c>
      <c r="C529">
        <v>2.4700000000000002</v>
      </c>
      <c r="D529">
        <v>3.03</v>
      </c>
      <c r="E529">
        <v>3.46</v>
      </c>
      <c r="F529">
        <v>3.79</v>
      </c>
      <c r="G529">
        <v>4.3</v>
      </c>
      <c r="H529">
        <v>4.7300000000000004</v>
      </c>
      <c r="I529">
        <v>5.51</v>
      </c>
      <c r="K529">
        <f t="shared" si="67"/>
        <v>-1.0000000000000009</v>
      </c>
      <c r="L529">
        <f t="shared" si="68"/>
        <v>-2.9999999999999805</v>
      </c>
      <c r="M529">
        <f t="shared" si="69"/>
        <v>-4.0000000000000036</v>
      </c>
      <c r="N529">
        <f t="shared" si="70"/>
        <v>-3.0000000000000249</v>
      </c>
      <c r="O529">
        <f t="shared" si="71"/>
        <v>-4.0000000000000036</v>
      </c>
      <c r="P529">
        <f t="shared" si="72"/>
        <v>-3.0000000000000249</v>
      </c>
      <c r="Q529">
        <f t="shared" si="73"/>
        <v>-2.9999999999999361</v>
      </c>
      <c r="R529">
        <f t="shared" si="74"/>
        <v>-3.0000000000000249</v>
      </c>
    </row>
    <row r="530" spans="1:18">
      <c r="A530" s="9">
        <v>37482</v>
      </c>
      <c r="B530">
        <v>1.77</v>
      </c>
      <c r="C530">
        <v>2.35</v>
      </c>
      <c r="D530">
        <v>2.89</v>
      </c>
      <c r="E530">
        <v>3.31</v>
      </c>
      <c r="F530">
        <v>3.64</v>
      </c>
      <c r="G530">
        <v>4.13</v>
      </c>
      <c r="H530">
        <v>4.5599999999999996</v>
      </c>
      <c r="I530">
        <v>5.3</v>
      </c>
      <c r="K530">
        <f t="shared" si="67"/>
        <v>-8.0000000000000071</v>
      </c>
      <c r="L530">
        <f t="shared" si="68"/>
        <v>-12.000000000000011</v>
      </c>
      <c r="M530">
        <f t="shared" si="69"/>
        <v>-13.999999999999968</v>
      </c>
      <c r="N530">
        <f t="shared" si="70"/>
        <v>-14.999999999999991</v>
      </c>
      <c r="O530">
        <f t="shared" si="71"/>
        <v>-14.999999999999991</v>
      </c>
      <c r="P530">
        <f t="shared" si="72"/>
        <v>-16.999999999999993</v>
      </c>
      <c r="Q530">
        <f t="shared" si="73"/>
        <v>-17.000000000000082</v>
      </c>
      <c r="R530">
        <f t="shared" si="74"/>
        <v>-20.999999999999996</v>
      </c>
    </row>
    <row r="531" spans="1:18">
      <c r="A531" s="9">
        <v>37483</v>
      </c>
      <c r="B531">
        <v>1.96</v>
      </c>
      <c r="C531">
        <v>2.6</v>
      </c>
      <c r="D531">
        <v>3.15</v>
      </c>
      <c r="E531">
        <v>3.57</v>
      </c>
      <c r="F531">
        <v>3.91</v>
      </c>
      <c r="G531">
        <v>4.37</v>
      </c>
      <c r="H531">
        <v>4.75</v>
      </c>
      <c r="I531">
        <v>5.43</v>
      </c>
      <c r="K531">
        <f t="shared" si="67"/>
        <v>18.999999999999993</v>
      </c>
      <c r="L531">
        <f t="shared" si="68"/>
        <v>25</v>
      </c>
      <c r="M531">
        <f t="shared" si="69"/>
        <v>25.999999999999979</v>
      </c>
      <c r="N531">
        <f t="shared" si="70"/>
        <v>25.999999999999979</v>
      </c>
      <c r="O531">
        <f t="shared" si="71"/>
        <v>27</v>
      </c>
      <c r="P531">
        <f t="shared" si="72"/>
        <v>24.000000000000021</v>
      </c>
      <c r="Q531">
        <f t="shared" si="73"/>
        <v>19.000000000000039</v>
      </c>
      <c r="R531">
        <f t="shared" si="74"/>
        <v>12.999999999999989</v>
      </c>
    </row>
    <row r="532" spans="1:18">
      <c r="A532" s="9">
        <v>37484</v>
      </c>
      <c r="B532">
        <v>1.95</v>
      </c>
      <c r="C532">
        <v>2.61</v>
      </c>
      <c r="D532">
        <v>3.18</v>
      </c>
      <c r="E532">
        <v>3.61</v>
      </c>
      <c r="F532">
        <v>3.95</v>
      </c>
      <c r="G532">
        <v>4.42</v>
      </c>
      <c r="H532">
        <v>4.84</v>
      </c>
      <c r="I532">
        <v>5.5</v>
      </c>
      <c r="K532">
        <f t="shared" si="67"/>
        <v>-1.0000000000000009</v>
      </c>
      <c r="L532">
        <f t="shared" si="68"/>
        <v>0.99999999999997868</v>
      </c>
      <c r="M532">
        <f t="shared" si="69"/>
        <v>3.0000000000000249</v>
      </c>
      <c r="N532">
        <f t="shared" si="70"/>
        <v>4.0000000000000036</v>
      </c>
      <c r="O532">
        <f t="shared" si="71"/>
        <v>4.0000000000000036</v>
      </c>
      <c r="P532">
        <f t="shared" si="72"/>
        <v>4.9999999999999822</v>
      </c>
      <c r="Q532">
        <f t="shared" si="73"/>
        <v>8.9999999999999858</v>
      </c>
      <c r="R532">
        <f t="shared" si="74"/>
        <v>7.0000000000000284</v>
      </c>
    </row>
    <row r="533" spans="1:18">
      <c r="A533" s="9">
        <v>37487</v>
      </c>
      <c r="B533">
        <v>1.96</v>
      </c>
      <c r="C533">
        <v>2.64</v>
      </c>
      <c r="D533">
        <v>3.21</v>
      </c>
      <c r="E533">
        <v>3.64</v>
      </c>
      <c r="F533">
        <v>4</v>
      </c>
      <c r="G533">
        <v>4.47</v>
      </c>
      <c r="H533">
        <v>4.9000000000000004</v>
      </c>
      <c r="I533">
        <v>5.53</v>
      </c>
      <c r="K533">
        <f t="shared" si="67"/>
        <v>1.0000000000000009</v>
      </c>
      <c r="L533">
        <f t="shared" si="68"/>
        <v>3.0000000000000249</v>
      </c>
      <c r="M533">
        <f t="shared" si="69"/>
        <v>2.9999999999999805</v>
      </c>
      <c r="N533">
        <f t="shared" si="70"/>
        <v>3.0000000000000249</v>
      </c>
      <c r="O533">
        <f t="shared" si="71"/>
        <v>4.9999999999999822</v>
      </c>
      <c r="P533">
        <f t="shared" si="72"/>
        <v>4.9999999999999822</v>
      </c>
      <c r="Q533">
        <f t="shared" si="73"/>
        <v>6.0000000000000497</v>
      </c>
      <c r="R533">
        <f t="shared" si="74"/>
        <v>3.0000000000000249</v>
      </c>
    </row>
    <row r="534" spans="1:18">
      <c r="A534" s="9">
        <v>37488</v>
      </c>
      <c r="B534">
        <v>1.9</v>
      </c>
      <c r="C534">
        <v>2.54</v>
      </c>
      <c r="D534">
        <v>3.1</v>
      </c>
      <c r="E534">
        <v>3.54</v>
      </c>
      <c r="F534">
        <v>3.89</v>
      </c>
      <c r="G534">
        <v>4.37</v>
      </c>
      <c r="H534">
        <v>4.8</v>
      </c>
      <c r="I534">
        <v>5.48</v>
      </c>
      <c r="K534">
        <f t="shared" si="67"/>
        <v>-6.0000000000000053</v>
      </c>
      <c r="L534">
        <f t="shared" si="68"/>
        <v>-10.000000000000009</v>
      </c>
      <c r="M534">
        <f t="shared" si="69"/>
        <v>-10.999999999999988</v>
      </c>
      <c r="N534">
        <f t="shared" si="70"/>
        <v>-10.000000000000009</v>
      </c>
      <c r="O534">
        <f t="shared" si="71"/>
        <v>-10.999999999999988</v>
      </c>
      <c r="P534">
        <f t="shared" si="72"/>
        <v>-9.9999999999999645</v>
      </c>
      <c r="Q534">
        <f t="shared" si="73"/>
        <v>-10.000000000000053</v>
      </c>
      <c r="R534">
        <f t="shared" si="74"/>
        <v>-4.9999999999999822</v>
      </c>
    </row>
    <row r="535" spans="1:18">
      <c r="A535" s="9">
        <v>37489</v>
      </c>
      <c r="B535">
        <v>1.9</v>
      </c>
      <c r="C535">
        <v>2.52</v>
      </c>
      <c r="D535">
        <v>3.06</v>
      </c>
      <c r="E535">
        <v>3.49</v>
      </c>
      <c r="F535">
        <v>3.83</v>
      </c>
      <c r="G535">
        <v>4.3099999999999996</v>
      </c>
      <c r="H535">
        <v>4.7300000000000004</v>
      </c>
      <c r="I535">
        <v>5.42</v>
      </c>
      <c r="K535">
        <f t="shared" si="67"/>
        <v>0</v>
      </c>
      <c r="L535">
        <f t="shared" si="68"/>
        <v>-2.0000000000000018</v>
      </c>
      <c r="M535">
        <f t="shared" si="69"/>
        <v>-4.0000000000000036</v>
      </c>
      <c r="N535">
        <f t="shared" si="70"/>
        <v>-4.9999999999999822</v>
      </c>
      <c r="O535">
        <f t="shared" si="71"/>
        <v>-6.0000000000000053</v>
      </c>
      <c r="P535">
        <f t="shared" si="72"/>
        <v>-6.0000000000000497</v>
      </c>
      <c r="Q535">
        <f t="shared" si="73"/>
        <v>-6.9999999999999396</v>
      </c>
      <c r="R535">
        <f t="shared" si="74"/>
        <v>-6.0000000000000497</v>
      </c>
    </row>
    <row r="536" spans="1:18">
      <c r="A536" s="9">
        <v>37490</v>
      </c>
      <c r="B536">
        <v>1.95</v>
      </c>
      <c r="C536">
        <v>2.5499999999999998</v>
      </c>
      <c r="D536">
        <v>3.09</v>
      </c>
      <c r="E536">
        <v>3.53</v>
      </c>
      <c r="F536">
        <v>3.88</v>
      </c>
      <c r="G536">
        <v>4.37</v>
      </c>
      <c r="H536">
        <v>4.8099999999999996</v>
      </c>
      <c r="I536">
        <v>5.51</v>
      </c>
      <c r="K536">
        <f t="shared" si="67"/>
        <v>5.0000000000000044</v>
      </c>
      <c r="L536">
        <f t="shared" si="68"/>
        <v>2.9999999999999805</v>
      </c>
      <c r="M536">
        <f t="shared" si="69"/>
        <v>2.9999999999999805</v>
      </c>
      <c r="N536">
        <f t="shared" si="70"/>
        <v>3.9999999999999591</v>
      </c>
      <c r="O536">
        <f t="shared" si="71"/>
        <v>4.9999999999999822</v>
      </c>
      <c r="P536">
        <f t="shared" si="72"/>
        <v>6.0000000000000497</v>
      </c>
      <c r="Q536">
        <f t="shared" si="73"/>
        <v>7.9999999999999183</v>
      </c>
      <c r="R536">
        <f t="shared" si="74"/>
        <v>8.9999999999999858</v>
      </c>
    </row>
    <row r="537" spans="1:18">
      <c r="A537" s="9">
        <v>37491</v>
      </c>
      <c r="B537">
        <v>1.95</v>
      </c>
      <c r="C537">
        <v>2.54</v>
      </c>
      <c r="D537">
        <v>3.08</v>
      </c>
      <c r="E537">
        <v>3.51</v>
      </c>
      <c r="F537">
        <v>3.85</v>
      </c>
      <c r="G537">
        <v>4.3499999999999996</v>
      </c>
      <c r="H537">
        <v>4.79</v>
      </c>
      <c r="I537">
        <v>5.49</v>
      </c>
      <c r="K537">
        <f t="shared" si="67"/>
        <v>0</v>
      </c>
      <c r="L537">
        <f t="shared" si="68"/>
        <v>-0.99999999999997868</v>
      </c>
      <c r="M537">
        <f t="shared" si="69"/>
        <v>-0.99999999999997868</v>
      </c>
      <c r="N537">
        <f t="shared" si="70"/>
        <v>-2.0000000000000018</v>
      </c>
      <c r="O537">
        <f t="shared" si="71"/>
        <v>-2.9999999999999805</v>
      </c>
      <c r="P537">
        <f t="shared" si="72"/>
        <v>-2.0000000000000462</v>
      </c>
      <c r="Q537">
        <f t="shared" si="73"/>
        <v>-1.9999999999999574</v>
      </c>
      <c r="R537">
        <f t="shared" si="74"/>
        <v>-1.9999999999999574</v>
      </c>
    </row>
    <row r="538" spans="1:18">
      <c r="A538" s="9">
        <v>37494</v>
      </c>
      <c r="B538">
        <v>1.94</v>
      </c>
      <c r="C538">
        <v>2.5099999999999998</v>
      </c>
      <c r="D538">
        <v>3.03</v>
      </c>
      <c r="E538">
        <v>3.46</v>
      </c>
      <c r="F538">
        <v>4.07</v>
      </c>
      <c r="G538">
        <v>4.46</v>
      </c>
      <c r="H538">
        <v>4.7300000000000004</v>
      </c>
      <c r="I538">
        <v>5.43</v>
      </c>
      <c r="K538">
        <f t="shared" si="67"/>
        <v>-1.0000000000000009</v>
      </c>
      <c r="L538">
        <f t="shared" si="68"/>
        <v>-3.0000000000000249</v>
      </c>
      <c r="M538">
        <f t="shared" si="69"/>
        <v>-5.0000000000000266</v>
      </c>
      <c r="N538">
        <f t="shared" si="70"/>
        <v>-4.9999999999999822</v>
      </c>
      <c r="O538">
        <f t="shared" si="71"/>
        <v>22.000000000000021</v>
      </c>
      <c r="P538">
        <f t="shared" si="72"/>
        <v>11.000000000000032</v>
      </c>
      <c r="Q538">
        <f t="shared" si="73"/>
        <v>-5.9999999999999609</v>
      </c>
      <c r="R538">
        <f t="shared" si="74"/>
        <v>-6.0000000000000497</v>
      </c>
    </row>
    <row r="539" spans="1:18">
      <c r="A539" s="9">
        <v>37495</v>
      </c>
      <c r="B539">
        <v>2</v>
      </c>
      <c r="C539">
        <v>2.6</v>
      </c>
      <c r="D539">
        <v>3.11</v>
      </c>
      <c r="E539">
        <v>3.51</v>
      </c>
      <c r="F539">
        <v>3.85</v>
      </c>
      <c r="G539">
        <v>4.34</v>
      </c>
      <c r="H539">
        <v>4.7699999999999996</v>
      </c>
      <c r="I539">
        <v>5.45</v>
      </c>
      <c r="K539">
        <f t="shared" si="67"/>
        <v>6.0000000000000053</v>
      </c>
      <c r="L539">
        <f t="shared" si="68"/>
        <v>9.0000000000000302</v>
      </c>
      <c r="M539">
        <f t="shared" si="69"/>
        <v>8.0000000000000071</v>
      </c>
      <c r="N539">
        <f t="shared" si="70"/>
        <v>4.9999999999999822</v>
      </c>
      <c r="O539">
        <f t="shared" si="71"/>
        <v>-22.000000000000021</v>
      </c>
      <c r="P539">
        <f t="shared" si="72"/>
        <v>-12.000000000000011</v>
      </c>
      <c r="Q539">
        <f t="shared" si="73"/>
        <v>3.9999999999999147</v>
      </c>
      <c r="R539">
        <f t="shared" si="74"/>
        <v>2.0000000000000462</v>
      </c>
    </row>
    <row r="540" spans="1:18">
      <c r="A540" s="9">
        <v>37496</v>
      </c>
      <c r="B540">
        <v>1.98</v>
      </c>
      <c r="C540">
        <v>2.56</v>
      </c>
      <c r="D540">
        <v>3.07</v>
      </c>
      <c r="E540">
        <v>3.49</v>
      </c>
      <c r="F540">
        <v>3.83</v>
      </c>
      <c r="G540">
        <v>4.32</v>
      </c>
      <c r="H540">
        <v>4.74</v>
      </c>
      <c r="I540">
        <v>5.43</v>
      </c>
      <c r="K540">
        <f t="shared" si="67"/>
        <v>-2.0000000000000018</v>
      </c>
      <c r="L540">
        <f t="shared" si="68"/>
        <v>-4.0000000000000036</v>
      </c>
      <c r="M540">
        <f t="shared" si="69"/>
        <v>-4.0000000000000036</v>
      </c>
      <c r="N540">
        <f t="shared" si="70"/>
        <v>-1.9999999999999574</v>
      </c>
      <c r="O540">
        <f t="shared" si="71"/>
        <v>-2.0000000000000018</v>
      </c>
      <c r="P540">
        <f t="shared" si="72"/>
        <v>-1.9999999999999574</v>
      </c>
      <c r="Q540">
        <f t="shared" si="73"/>
        <v>-2.9999999999999361</v>
      </c>
      <c r="R540">
        <f t="shared" si="74"/>
        <v>-2.0000000000000462</v>
      </c>
    </row>
    <row r="541" spans="1:18">
      <c r="A541" s="9">
        <v>37497</v>
      </c>
      <c r="B541">
        <v>1.92</v>
      </c>
      <c r="C541">
        <v>2.46</v>
      </c>
      <c r="D541">
        <v>2.96</v>
      </c>
      <c r="E541">
        <v>3.38</v>
      </c>
      <c r="F541">
        <v>3.74</v>
      </c>
      <c r="G541">
        <v>4.2300000000000004</v>
      </c>
      <c r="H541">
        <v>4.67</v>
      </c>
      <c r="I541">
        <v>5.38</v>
      </c>
      <c r="K541">
        <f t="shared" si="67"/>
        <v>-6.0000000000000053</v>
      </c>
      <c r="L541">
        <f t="shared" si="68"/>
        <v>-10.000000000000009</v>
      </c>
      <c r="M541">
        <f t="shared" si="69"/>
        <v>-10.999999999999988</v>
      </c>
      <c r="N541">
        <f t="shared" si="70"/>
        <v>-11.000000000000032</v>
      </c>
      <c r="O541">
        <f t="shared" si="71"/>
        <v>-8.9999999999999858</v>
      </c>
      <c r="P541">
        <f t="shared" si="72"/>
        <v>-8.9999999999999858</v>
      </c>
      <c r="Q541">
        <f t="shared" si="73"/>
        <v>-7.0000000000000284</v>
      </c>
      <c r="R541">
        <f t="shared" si="74"/>
        <v>-4.9999999999999822</v>
      </c>
    </row>
    <row r="542" spans="1:18">
      <c r="A542" s="9">
        <v>37498</v>
      </c>
      <c r="B542">
        <v>1.96</v>
      </c>
      <c r="C542">
        <v>2.5099999999999998</v>
      </c>
      <c r="D542">
        <v>3</v>
      </c>
      <c r="E542">
        <v>3.41</v>
      </c>
      <c r="F542">
        <v>3.75</v>
      </c>
      <c r="G542">
        <v>4.25</v>
      </c>
      <c r="H542">
        <v>4.68</v>
      </c>
      <c r="I542">
        <v>5.37</v>
      </c>
      <c r="K542">
        <f t="shared" si="67"/>
        <v>4.0000000000000036</v>
      </c>
      <c r="L542">
        <f t="shared" si="68"/>
        <v>4.9999999999999822</v>
      </c>
      <c r="M542">
        <f t="shared" si="69"/>
        <v>4.0000000000000036</v>
      </c>
      <c r="N542">
        <f t="shared" si="70"/>
        <v>3.0000000000000249</v>
      </c>
      <c r="O542">
        <f t="shared" si="71"/>
        <v>0.99999999999997868</v>
      </c>
      <c r="P542">
        <f t="shared" si="72"/>
        <v>1.9999999999999574</v>
      </c>
      <c r="Q542">
        <f t="shared" si="73"/>
        <v>0.99999999999997868</v>
      </c>
      <c r="R542">
        <f t="shared" si="74"/>
        <v>-0.99999999999997868</v>
      </c>
    </row>
    <row r="543" spans="1:18">
      <c r="A543" s="9">
        <v>37502</v>
      </c>
      <c r="B543">
        <v>1.82</v>
      </c>
      <c r="C543">
        <v>2.34</v>
      </c>
      <c r="D543">
        <v>2.82</v>
      </c>
      <c r="E543">
        <v>3.22</v>
      </c>
      <c r="F543">
        <v>3.56</v>
      </c>
      <c r="G543">
        <v>4.0599999999999996</v>
      </c>
      <c r="H543">
        <v>4.51</v>
      </c>
      <c r="I543">
        <v>5.25</v>
      </c>
      <c r="K543">
        <f t="shared" si="67"/>
        <v>-13.999999999999989</v>
      </c>
      <c r="L543">
        <f t="shared" si="68"/>
        <v>-16.999999999999993</v>
      </c>
      <c r="M543">
        <f t="shared" si="69"/>
        <v>-18.000000000000014</v>
      </c>
      <c r="N543">
        <f t="shared" si="70"/>
        <v>-18.999999999999993</v>
      </c>
      <c r="O543">
        <f t="shared" si="71"/>
        <v>-18.999999999999993</v>
      </c>
      <c r="P543">
        <f t="shared" si="72"/>
        <v>-19.000000000000039</v>
      </c>
      <c r="Q543">
        <f t="shared" si="73"/>
        <v>-16.999999999999993</v>
      </c>
      <c r="R543">
        <f t="shared" si="74"/>
        <v>-12.000000000000011</v>
      </c>
    </row>
    <row r="544" spans="1:18">
      <c r="A544" s="9">
        <v>37503</v>
      </c>
      <c r="B544">
        <v>1.81</v>
      </c>
      <c r="C544">
        <v>2.31</v>
      </c>
      <c r="D544">
        <v>2.81</v>
      </c>
      <c r="E544">
        <v>3.2</v>
      </c>
      <c r="F544">
        <v>3.53</v>
      </c>
      <c r="G544">
        <v>4.04</v>
      </c>
      <c r="H544">
        <v>4.49</v>
      </c>
      <c r="I544">
        <v>5.23</v>
      </c>
      <c r="K544">
        <f t="shared" si="67"/>
        <v>-1.0000000000000009</v>
      </c>
      <c r="L544">
        <f t="shared" si="68"/>
        <v>-2.9999999999999805</v>
      </c>
      <c r="M544">
        <f t="shared" si="69"/>
        <v>-0.99999999999997868</v>
      </c>
      <c r="N544">
        <f t="shared" si="70"/>
        <v>-2.0000000000000018</v>
      </c>
      <c r="O544">
        <f t="shared" si="71"/>
        <v>-3.0000000000000249</v>
      </c>
      <c r="P544">
        <f t="shared" si="72"/>
        <v>-1.9999999999999574</v>
      </c>
      <c r="Q544">
        <f t="shared" si="73"/>
        <v>-1.9999999999999574</v>
      </c>
      <c r="R544">
        <f t="shared" si="74"/>
        <v>-1.9999999999999574</v>
      </c>
    </row>
    <row r="545" spans="1:18">
      <c r="A545" s="9">
        <v>37504</v>
      </c>
      <c r="B545">
        <v>1.81</v>
      </c>
      <c r="C545">
        <v>2.33</v>
      </c>
      <c r="D545">
        <v>2.83</v>
      </c>
      <c r="E545">
        <v>3.22</v>
      </c>
      <c r="F545">
        <v>3.55</v>
      </c>
      <c r="G545">
        <v>4.05</v>
      </c>
      <c r="H545">
        <v>4.51</v>
      </c>
      <c r="I545">
        <v>5.24</v>
      </c>
      <c r="K545">
        <f t="shared" si="67"/>
        <v>0</v>
      </c>
      <c r="L545">
        <f t="shared" si="68"/>
        <v>2.0000000000000018</v>
      </c>
      <c r="M545">
        <f t="shared" si="69"/>
        <v>2.0000000000000018</v>
      </c>
      <c r="N545">
        <f t="shared" si="70"/>
        <v>2.0000000000000018</v>
      </c>
      <c r="O545">
        <f t="shared" si="71"/>
        <v>2.0000000000000018</v>
      </c>
      <c r="P545">
        <f t="shared" si="72"/>
        <v>0.99999999999997868</v>
      </c>
      <c r="Q545">
        <f t="shared" si="73"/>
        <v>1.9999999999999574</v>
      </c>
      <c r="R545">
        <f t="shared" si="74"/>
        <v>0.99999999999997868</v>
      </c>
    </row>
    <row r="546" spans="1:18">
      <c r="A546" s="9">
        <v>37505</v>
      </c>
      <c r="B546">
        <v>1.86</v>
      </c>
      <c r="C546">
        <v>2.38</v>
      </c>
      <c r="D546">
        <v>2.86</v>
      </c>
      <c r="E546">
        <v>3.25</v>
      </c>
      <c r="F546">
        <v>3.56</v>
      </c>
      <c r="G546">
        <v>4.07</v>
      </c>
      <c r="H546">
        <v>4.53</v>
      </c>
      <c r="I546">
        <v>5.24</v>
      </c>
      <c r="K546">
        <f t="shared" si="67"/>
        <v>5.0000000000000044</v>
      </c>
      <c r="L546">
        <f t="shared" si="68"/>
        <v>4.9999999999999822</v>
      </c>
      <c r="M546">
        <f t="shared" si="69"/>
        <v>2.9999999999999805</v>
      </c>
      <c r="N546">
        <f t="shared" si="70"/>
        <v>2.9999999999999805</v>
      </c>
      <c r="O546">
        <f t="shared" si="71"/>
        <v>1.0000000000000231</v>
      </c>
      <c r="P546">
        <f t="shared" si="72"/>
        <v>2.0000000000000462</v>
      </c>
      <c r="Q546">
        <f t="shared" si="73"/>
        <v>2.0000000000000462</v>
      </c>
      <c r="R546">
        <f t="shared" si="74"/>
        <v>0</v>
      </c>
    </row>
    <row r="547" spans="1:18">
      <c r="A547" s="9">
        <v>37508</v>
      </c>
      <c r="B547">
        <v>1.89</v>
      </c>
      <c r="C547">
        <v>2.41</v>
      </c>
      <c r="D547">
        <v>2.91</v>
      </c>
      <c r="E547">
        <v>3.3</v>
      </c>
      <c r="F547">
        <v>3.62</v>
      </c>
      <c r="G547">
        <v>4.12</v>
      </c>
      <c r="H547">
        <v>4.57</v>
      </c>
      <c r="I547">
        <v>5.27</v>
      </c>
      <c r="K547">
        <f t="shared" si="67"/>
        <v>2.9999999999999805</v>
      </c>
      <c r="L547">
        <f t="shared" si="68"/>
        <v>3.0000000000000249</v>
      </c>
      <c r="M547">
        <f t="shared" si="69"/>
        <v>5.0000000000000266</v>
      </c>
      <c r="N547">
        <f t="shared" si="70"/>
        <v>4.9999999999999822</v>
      </c>
      <c r="O547">
        <f t="shared" si="71"/>
        <v>6.0000000000000053</v>
      </c>
      <c r="P547">
        <f t="shared" si="72"/>
        <v>4.9999999999999822</v>
      </c>
      <c r="Q547">
        <f t="shared" si="73"/>
        <v>4.0000000000000036</v>
      </c>
      <c r="R547">
        <f t="shared" si="74"/>
        <v>2.9999999999999361</v>
      </c>
    </row>
    <row r="548" spans="1:18">
      <c r="A548" s="9">
        <v>37509</v>
      </c>
      <c r="B548">
        <v>1.97</v>
      </c>
      <c r="C548">
        <v>2.54</v>
      </c>
      <c r="D548">
        <v>3.02</v>
      </c>
      <c r="E548">
        <v>3.4</v>
      </c>
      <c r="F548">
        <v>3.71</v>
      </c>
      <c r="G548">
        <v>4.2</v>
      </c>
      <c r="H548">
        <v>4.6399999999999997</v>
      </c>
      <c r="I548">
        <v>5.33</v>
      </c>
      <c r="K548">
        <f t="shared" si="67"/>
        <v>8.0000000000000071</v>
      </c>
      <c r="L548">
        <f t="shared" si="68"/>
        <v>12.999999999999989</v>
      </c>
      <c r="M548">
        <f t="shared" si="69"/>
        <v>10.999999999999988</v>
      </c>
      <c r="N548">
        <f t="shared" si="70"/>
        <v>10.000000000000009</v>
      </c>
      <c r="O548">
        <f t="shared" si="71"/>
        <v>8.9999999999999858</v>
      </c>
      <c r="P548">
        <f t="shared" si="72"/>
        <v>8.0000000000000071</v>
      </c>
      <c r="Q548">
        <f t="shared" si="73"/>
        <v>6.9999999999999396</v>
      </c>
      <c r="R548">
        <f t="shared" si="74"/>
        <v>6.0000000000000497</v>
      </c>
    </row>
    <row r="549" spans="1:18">
      <c r="A549" s="9">
        <v>37510</v>
      </c>
      <c r="B549">
        <v>2.02</v>
      </c>
      <c r="C549">
        <v>2.59</v>
      </c>
      <c r="D549">
        <v>3.07</v>
      </c>
      <c r="E549">
        <v>3.44</v>
      </c>
      <c r="F549">
        <v>3.74</v>
      </c>
      <c r="G549">
        <v>4.2300000000000004</v>
      </c>
      <c r="H549">
        <v>4.6500000000000004</v>
      </c>
      <c r="I549">
        <v>5.35</v>
      </c>
      <c r="K549">
        <f t="shared" si="67"/>
        <v>5.0000000000000044</v>
      </c>
      <c r="L549">
        <f t="shared" si="68"/>
        <v>4.9999999999999822</v>
      </c>
      <c r="M549">
        <f t="shared" si="69"/>
        <v>4.9999999999999822</v>
      </c>
      <c r="N549">
        <f t="shared" si="70"/>
        <v>4.0000000000000036</v>
      </c>
      <c r="O549">
        <f t="shared" si="71"/>
        <v>3.0000000000000249</v>
      </c>
      <c r="P549">
        <f t="shared" si="72"/>
        <v>3.0000000000000249</v>
      </c>
      <c r="Q549">
        <f t="shared" si="73"/>
        <v>1.0000000000000675</v>
      </c>
      <c r="R549">
        <f t="shared" si="74"/>
        <v>1.9999999999999574</v>
      </c>
    </row>
    <row r="550" spans="1:18">
      <c r="A550" s="9">
        <v>37511</v>
      </c>
      <c r="B550">
        <v>1.94</v>
      </c>
      <c r="C550">
        <v>2.48</v>
      </c>
      <c r="D550">
        <v>2.95</v>
      </c>
      <c r="E550">
        <v>3.32</v>
      </c>
      <c r="F550">
        <v>3.61</v>
      </c>
      <c r="G550">
        <v>4.0999999999999996</v>
      </c>
      <c r="H550">
        <v>4.54</v>
      </c>
      <c r="I550">
        <v>5.25</v>
      </c>
      <c r="K550">
        <f t="shared" si="67"/>
        <v>-8.0000000000000071</v>
      </c>
      <c r="L550">
        <f t="shared" si="68"/>
        <v>-10.999999999999988</v>
      </c>
      <c r="M550">
        <f t="shared" si="69"/>
        <v>-11.999999999999966</v>
      </c>
      <c r="N550">
        <f t="shared" si="70"/>
        <v>-12.000000000000011</v>
      </c>
      <c r="O550">
        <f t="shared" si="71"/>
        <v>-13.000000000000034</v>
      </c>
      <c r="P550">
        <f t="shared" si="72"/>
        <v>-13.000000000000078</v>
      </c>
      <c r="Q550">
        <f t="shared" si="73"/>
        <v>-11.000000000000032</v>
      </c>
      <c r="R550">
        <f t="shared" si="74"/>
        <v>-9.9999999999999645</v>
      </c>
    </row>
    <row r="551" spans="1:18">
      <c r="A551" s="9">
        <v>37512</v>
      </c>
      <c r="B551">
        <v>1.93</v>
      </c>
      <c r="C551">
        <v>2.4500000000000002</v>
      </c>
      <c r="D551">
        <v>2.9</v>
      </c>
      <c r="E551">
        <v>3.25</v>
      </c>
      <c r="F551">
        <v>3.55</v>
      </c>
      <c r="G551">
        <v>4.04</v>
      </c>
      <c r="H551">
        <v>4.4800000000000004</v>
      </c>
      <c r="I551">
        <v>5.19</v>
      </c>
      <c r="K551">
        <f t="shared" si="67"/>
        <v>-1.0000000000000009</v>
      </c>
      <c r="L551">
        <f t="shared" si="68"/>
        <v>-2.9999999999999805</v>
      </c>
      <c r="M551">
        <f t="shared" si="69"/>
        <v>-5.0000000000000266</v>
      </c>
      <c r="N551">
        <f t="shared" si="70"/>
        <v>-6.999999999999984</v>
      </c>
      <c r="O551">
        <f t="shared" si="71"/>
        <v>-6.0000000000000053</v>
      </c>
      <c r="P551">
        <f t="shared" si="72"/>
        <v>-5.9999999999999609</v>
      </c>
      <c r="Q551">
        <f t="shared" si="73"/>
        <v>-5.9999999999999609</v>
      </c>
      <c r="R551">
        <f t="shared" si="74"/>
        <v>-5.9999999999999609</v>
      </c>
    </row>
    <row r="552" spans="1:18">
      <c r="A552" s="9">
        <v>37515</v>
      </c>
      <c r="B552">
        <v>1.93</v>
      </c>
      <c r="C552">
        <v>2.4300000000000002</v>
      </c>
      <c r="D552">
        <v>2.87</v>
      </c>
      <c r="E552">
        <v>3.22</v>
      </c>
      <c r="F552">
        <v>3.51</v>
      </c>
      <c r="G552">
        <v>3.99</v>
      </c>
      <c r="H552">
        <v>4.43</v>
      </c>
      <c r="I552">
        <v>5.16</v>
      </c>
      <c r="K552">
        <f t="shared" si="67"/>
        <v>0</v>
      </c>
      <c r="L552">
        <f t="shared" si="68"/>
        <v>-2.0000000000000018</v>
      </c>
      <c r="M552">
        <f t="shared" si="69"/>
        <v>-2.9999999999999805</v>
      </c>
      <c r="N552">
        <f t="shared" si="70"/>
        <v>-2.9999999999999805</v>
      </c>
      <c r="O552">
        <f t="shared" si="71"/>
        <v>-4.0000000000000036</v>
      </c>
      <c r="P552">
        <f t="shared" si="72"/>
        <v>-4.9999999999999822</v>
      </c>
      <c r="Q552">
        <f t="shared" si="73"/>
        <v>-5.0000000000000711</v>
      </c>
      <c r="R552">
        <f t="shared" si="74"/>
        <v>-3.0000000000000249</v>
      </c>
    </row>
    <row r="553" spans="1:18">
      <c r="A553" s="9">
        <v>37516</v>
      </c>
      <c r="B553">
        <v>1.96</v>
      </c>
      <c r="C553">
        <v>2.4700000000000002</v>
      </c>
      <c r="D553">
        <v>2.91</v>
      </c>
      <c r="E553">
        <v>3.25</v>
      </c>
      <c r="F553">
        <v>3.54</v>
      </c>
      <c r="G553">
        <v>4.01</v>
      </c>
      <c r="H553">
        <v>4.43</v>
      </c>
      <c r="I553">
        <v>5.16</v>
      </c>
      <c r="K553">
        <f t="shared" si="67"/>
        <v>3.0000000000000027</v>
      </c>
      <c r="L553">
        <f t="shared" si="68"/>
        <v>4.0000000000000036</v>
      </c>
      <c r="M553">
        <f t="shared" si="69"/>
        <v>4.0000000000000036</v>
      </c>
      <c r="N553">
        <f t="shared" si="70"/>
        <v>2.9999999999999805</v>
      </c>
      <c r="O553">
        <f t="shared" si="71"/>
        <v>3.0000000000000249</v>
      </c>
      <c r="P553">
        <f t="shared" si="72"/>
        <v>1.9999999999999574</v>
      </c>
      <c r="Q553">
        <f t="shared" si="73"/>
        <v>0</v>
      </c>
      <c r="R553">
        <f t="shared" si="74"/>
        <v>0</v>
      </c>
    </row>
    <row r="554" spans="1:18">
      <c r="A554" s="9">
        <v>37517</v>
      </c>
      <c r="B554">
        <v>1.9</v>
      </c>
      <c r="C554">
        <v>2.39</v>
      </c>
      <c r="D554">
        <v>2.83</v>
      </c>
      <c r="E554">
        <v>3.17</v>
      </c>
      <c r="F554">
        <v>3.47</v>
      </c>
      <c r="G554">
        <v>3.94</v>
      </c>
      <c r="H554">
        <v>4.3899999999999997</v>
      </c>
      <c r="I554">
        <v>5.15</v>
      </c>
      <c r="K554">
        <f t="shared" si="67"/>
        <v>-6.0000000000000053</v>
      </c>
      <c r="L554">
        <f t="shared" si="68"/>
        <v>-8.0000000000000071</v>
      </c>
      <c r="M554">
        <f t="shared" si="69"/>
        <v>-8.0000000000000071</v>
      </c>
      <c r="N554">
        <f t="shared" si="70"/>
        <v>-8.0000000000000071</v>
      </c>
      <c r="O554">
        <f t="shared" si="71"/>
        <v>-6.999999999999984</v>
      </c>
      <c r="P554">
        <f t="shared" si="72"/>
        <v>-6.999999999999984</v>
      </c>
      <c r="Q554">
        <f t="shared" si="73"/>
        <v>-4.0000000000000036</v>
      </c>
      <c r="R554">
        <f t="shared" si="74"/>
        <v>-0.99999999999997868</v>
      </c>
    </row>
    <row r="555" spans="1:18">
      <c r="A555" s="9">
        <v>37518</v>
      </c>
      <c r="B555">
        <v>1.86</v>
      </c>
      <c r="C555">
        <v>2.34</v>
      </c>
      <c r="D555">
        <v>2.77</v>
      </c>
      <c r="E555">
        <v>3.12</v>
      </c>
      <c r="F555">
        <v>3.41</v>
      </c>
      <c r="G555">
        <v>3.89</v>
      </c>
      <c r="H555">
        <v>4.33</v>
      </c>
      <c r="I555">
        <v>5.12</v>
      </c>
      <c r="K555">
        <f t="shared" si="67"/>
        <v>-3.9999999999999813</v>
      </c>
      <c r="L555">
        <f t="shared" si="68"/>
        <v>-5.0000000000000266</v>
      </c>
      <c r="M555">
        <f t="shared" si="69"/>
        <v>-6.0000000000000053</v>
      </c>
      <c r="N555">
        <f t="shared" si="70"/>
        <v>-4.9999999999999822</v>
      </c>
      <c r="O555">
        <f t="shared" si="71"/>
        <v>-6.0000000000000053</v>
      </c>
      <c r="P555">
        <f t="shared" si="72"/>
        <v>-4.9999999999999822</v>
      </c>
      <c r="Q555">
        <f t="shared" si="73"/>
        <v>-5.9999999999999609</v>
      </c>
      <c r="R555">
        <f t="shared" si="74"/>
        <v>-3.0000000000000249</v>
      </c>
    </row>
    <row r="556" spans="1:18">
      <c r="A556" s="9">
        <v>37519</v>
      </c>
      <c r="B556">
        <v>1.85</v>
      </c>
      <c r="C556">
        <v>2.35</v>
      </c>
      <c r="D556">
        <v>2.79</v>
      </c>
      <c r="E556">
        <v>3.14</v>
      </c>
      <c r="F556">
        <v>3.43</v>
      </c>
      <c r="G556">
        <v>3.91</v>
      </c>
      <c r="H556">
        <v>4.3600000000000003</v>
      </c>
      <c r="I556">
        <v>5.15</v>
      </c>
      <c r="K556">
        <f t="shared" si="67"/>
        <v>-1.0000000000000009</v>
      </c>
      <c r="L556">
        <f t="shared" si="68"/>
        <v>1.0000000000000231</v>
      </c>
      <c r="M556">
        <f t="shared" si="69"/>
        <v>2.0000000000000018</v>
      </c>
      <c r="N556">
        <f t="shared" si="70"/>
        <v>2.0000000000000018</v>
      </c>
      <c r="O556">
        <f t="shared" si="71"/>
        <v>2.0000000000000018</v>
      </c>
      <c r="P556">
        <f t="shared" si="72"/>
        <v>2.0000000000000018</v>
      </c>
      <c r="Q556">
        <f t="shared" si="73"/>
        <v>3.0000000000000249</v>
      </c>
      <c r="R556">
        <f t="shared" si="74"/>
        <v>3.0000000000000249</v>
      </c>
    </row>
    <row r="557" spans="1:18">
      <c r="A557" s="9">
        <v>37522</v>
      </c>
      <c r="B557">
        <v>1.81</v>
      </c>
      <c r="C557">
        <v>2.33</v>
      </c>
      <c r="D557">
        <v>2.76</v>
      </c>
      <c r="E557">
        <v>3.1</v>
      </c>
      <c r="F557">
        <v>3.38</v>
      </c>
      <c r="G557">
        <v>3.86</v>
      </c>
      <c r="H557">
        <v>4.3099999999999996</v>
      </c>
      <c r="I557">
        <v>5.13</v>
      </c>
      <c r="K557">
        <f t="shared" si="67"/>
        <v>-4.0000000000000036</v>
      </c>
      <c r="L557">
        <f t="shared" si="68"/>
        <v>-2.0000000000000018</v>
      </c>
      <c r="M557">
        <f t="shared" si="69"/>
        <v>-3.0000000000000249</v>
      </c>
      <c r="N557">
        <f t="shared" si="70"/>
        <v>-4.0000000000000036</v>
      </c>
      <c r="O557">
        <f t="shared" si="71"/>
        <v>-5.0000000000000266</v>
      </c>
      <c r="P557">
        <f t="shared" si="72"/>
        <v>-5.0000000000000266</v>
      </c>
      <c r="Q557">
        <f t="shared" si="73"/>
        <v>-5.0000000000000711</v>
      </c>
      <c r="R557">
        <f t="shared" si="74"/>
        <v>-2.0000000000000462</v>
      </c>
    </row>
    <row r="558" spans="1:18">
      <c r="A558" s="9">
        <v>37523</v>
      </c>
      <c r="B558">
        <v>1.78</v>
      </c>
      <c r="C558">
        <v>2.2999999999999998</v>
      </c>
      <c r="D558">
        <v>2.74</v>
      </c>
      <c r="E558">
        <v>3.08</v>
      </c>
      <c r="F558">
        <v>3.36</v>
      </c>
      <c r="G558">
        <v>3.84</v>
      </c>
      <c r="H558">
        <v>4.3</v>
      </c>
      <c r="I558">
        <v>5.1100000000000003</v>
      </c>
      <c r="K558">
        <f t="shared" si="67"/>
        <v>-3.0000000000000027</v>
      </c>
      <c r="L558">
        <f t="shared" si="68"/>
        <v>-3.0000000000000249</v>
      </c>
      <c r="M558">
        <f t="shared" si="69"/>
        <v>-1.9999999999999574</v>
      </c>
      <c r="N558">
        <f t="shared" si="70"/>
        <v>-2.0000000000000018</v>
      </c>
      <c r="O558">
        <f t="shared" si="71"/>
        <v>-2.0000000000000018</v>
      </c>
      <c r="P558">
        <f t="shared" si="72"/>
        <v>-2.0000000000000018</v>
      </c>
      <c r="Q558">
        <f t="shared" si="73"/>
        <v>-0.99999999999997868</v>
      </c>
      <c r="R558">
        <f t="shared" si="74"/>
        <v>-1.9999999999999574</v>
      </c>
    </row>
    <row r="559" spans="1:18">
      <c r="A559" s="9">
        <v>37524</v>
      </c>
      <c r="B559">
        <v>1.79</v>
      </c>
      <c r="C559">
        <v>2.3199999999999998</v>
      </c>
      <c r="D559">
        <v>2.76</v>
      </c>
      <c r="E559">
        <v>3.1</v>
      </c>
      <c r="F559">
        <v>3.38</v>
      </c>
      <c r="G559">
        <v>3.86</v>
      </c>
      <c r="H559">
        <v>4.32</v>
      </c>
      <c r="I559">
        <v>5.12</v>
      </c>
      <c r="K559">
        <f t="shared" si="67"/>
        <v>1.0000000000000009</v>
      </c>
      <c r="L559">
        <f t="shared" si="68"/>
        <v>2.0000000000000018</v>
      </c>
      <c r="M559">
        <f t="shared" si="69"/>
        <v>1.9999999999999574</v>
      </c>
      <c r="N559">
        <f t="shared" si="70"/>
        <v>2.0000000000000018</v>
      </c>
      <c r="O559">
        <f t="shared" si="71"/>
        <v>2.0000000000000018</v>
      </c>
      <c r="P559">
        <f t="shared" si="72"/>
        <v>2.0000000000000018</v>
      </c>
      <c r="Q559">
        <f t="shared" si="73"/>
        <v>2.0000000000000462</v>
      </c>
      <c r="R559">
        <f t="shared" si="74"/>
        <v>0.99999999999997868</v>
      </c>
    </row>
    <row r="560" spans="1:18">
      <c r="A560" s="9">
        <v>37525</v>
      </c>
      <c r="B560">
        <v>1.84</v>
      </c>
      <c r="C560">
        <v>2.38</v>
      </c>
      <c r="D560">
        <v>2.85</v>
      </c>
      <c r="E560">
        <v>3.21</v>
      </c>
      <c r="F560">
        <v>3.51</v>
      </c>
      <c r="G560">
        <v>4</v>
      </c>
      <c r="H560">
        <v>4.45</v>
      </c>
      <c r="I560">
        <v>5.22</v>
      </c>
      <c r="K560">
        <f t="shared" si="67"/>
        <v>5.0000000000000044</v>
      </c>
      <c r="L560">
        <f t="shared" si="68"/>
        <v>6.0000000000000053</v>
      </c>
      <c r="M560">
        <f t="shared" si="69"/>
        <v>9.0000000000000302</v>
      </c>
      <c r="N560">
        <f t="shared" si="70"/>
        <v>10.999999999999988</v>
      </c>
      <c r="O560">
        <f t="shared" si="71"/>
        <v>12.999999999999989</v>
      </c>
      <c r="P560">
        <f t="shared" si="72"/>
        <v>14.000000000000012</v>
      </c>
      <c r="Q560">
        <f t="shared" si="73"/>
        <v>12.999999999999989</v>
      </c>
      <c r="R560">
        <f t="shared" si="74"/>
        <v>9.9999999999999645</v>
      </c>
    </row>
    <row r="561" spans="1:18">
      <c r="A561" s="9">
        <v>37526</v>
      </c>
      <c r="B561">
        <v>1.8</v>
      </c>
      <c r="C561">
        <v>2.31</v>
      </c>
      <c r="D561">
        <v>2.78</v>
      </c>
      <c r="E561">
        <v>3.13</v>
      </c>
      <c r="F561">
        <v>3.43</v>
      </c>
      <c r="G561">
        <v>3.92</v>
      </c>
      <c r="H561">
        <v>4.38</v>
      </c>
      <c r="I561">
        <v>5.16</v>
      </c>
      <c r="K561">
        <f t="shared" si="67"/>
        <v>-4.0000000000000036</v>
      </c>
      <c r="L561">
        <f t="shared" si="68"/>
        <v>-6.999999999999984</v>
      </c>
      <c r="M561">
        <f t="shared" si="69"/>
        <v>-7.0000000000000284</v>
      </c>
      <c r="N561">
        <f t="shared" si="70"/>
        <v>-8.0000000000000071</v>
      </c>
      <c r="O561">
        <f t="shared" si="71"/>
        <v>-7.9999999999999627</v>
      </c>
      <c r="P561">
        <f t="shared" si="72"/>
        <v>-8.0000000000000071</v>
      </c>
      <c r="Q561">
        <f t="shared" si="73"/>
        <v>-7.0000000000000284</v>
      </c>
      <c r="R561">
        <f t="shared" si="74"/>
        <v>-5.9999999999999609</v>
      </c>
    </row>
    <row r="562" spans="1:18">
      <c r="A562" s="9">
        <v>37529</v>
      </c>
      <c r="B562">
        <v>1.66</v>
      </c>
      <c r="C562">
        <v>2.12</v>
      </c>
      <c r="D562">
        <v>2.58</v>
      </c>
      <c r="E562">
        <v>2.95</v>
      </c>
      <c r="F562">
        <v>3.26</v>
      </c>
      <c r="G562">
        <v>3.77</v>
      </c>
      <c r="H562">
        <v>4.26</v>
      </c>
      <c r="I562">
        <v>5.08</v>
      </c>
      <c r="K562">
        <f t="shared" si="67"/>
        <v>-14.000000000000012</v>
      </c>
      <c r="L562">
        <f t="shared" si="68"/>
        <v>-18.999999999999993</v>
      </c>
      <c r="M562">
        <f t="shared" si="69"/>
        <v>-19.999999999999972</v>
      </c>
      <c r="N562">
        <f t="shared" si="70"/>
        <v>-17.999999999999972</v>
      </c>
      <c r="O562">
        <f t="shared" si="71"/>
        <v>-17.000000000000036</v>
      </c>
      <c r="P562">
        <f t="shared" si="72"/>
        <v>-14.999999999999991</v>
      </c>
      <c r="Q562">
        <f t="shared" si="73"/>
        <v>-12.000000000000011</v>
      </c>
      <c r="R562">
        <f t="shared" si="74"/>
        <v>-8.0000000000000071</v>
      </c>
    </row>
    <row r="563" spans="1:18">
      <c r="A563" s="9">
        <v>37530</v>
      </c>
      <c r="B563">
        <v>1.67</v>
      </c>
      <c r="C563">
        <v>2.15</v>
      </c>
      <c r="D563">
        <v>2.62</v>
      </c>
      <c r="E563">
        <v>2.99</v>
      </c>
      <c r="F563">
        <v>3.31</v>
      </c>
      <c r="G563">
        <v>3.83</v>
      </c>
      <c r="H563">
        <v>4.32</v>
      </c>
      <c r="I563">
        <v>5.16</v>
      </c>
      <c r="K563">
        <f t="shared" si="67"/>
        <v>1.0000000000000009</v>
      </c>
      <c r="L563">
        <f t="shared" si="68"/>
        <v>2.9999999999999805</v>
      </c>
      <c r="M563">
        <f t="shared" si="69"/>
        <v>4.0000000000000036</v>
      </c>
      <c r="N563">
        <f t="shared" si="70"/>
        <v>4.0000000000000036</v>
      </c>
      <c r="O563">
        <f t="shared" si="71"/>
        <v>5.0000000000000266</v>
      </c>
      <c r="P563">
        <f t="shared" si="72"/>
        <v>6.0000000000000053</v>
      </c>
      <c r="Q563">
        <f t="shared" si="73"/>
        <v>6.0000000000000497</v>
      </c>
      <c r="R563">
        <f t="shared" si="74"/>
        <v>8.0000000000000071</v>
      </c>
    </row>
    <row r="564" spans="1:18">
      <c r="A564" s="9">
        <v>37531</v>
      </c>
      <c r="B564">
        <v>1.71</v>
      </c>
      <c r="C564">
        <v>2.1800000000000002</v>
      </c>
      <c r="D564">
        <v>2.66</v>
      </c>
      <c r="E564">
        <v>3.03</v>
      </c>
      <c r="F564">
        <v>3.35</v>
      </c>
      <c r="G564">
        <v>3.86</v>
      </c>
      <c r="H564">
        <v>4.33</v>
      </c>
      <c r="I564">
        <v>5.15</v>
      </c>
      <c r="K564">
        <f t="shared" si="67"/>
        <v>4.0000000000000036</v>
      </c>
      <c r="L564">
        <f t="shared" si="68"/>
        <v>3.0000000000000249</v>
      </c>
      <c r="M564">
        <f t="shared" si="69"/>
        <v>4.0000000000000036</v>
      </c>
      <c r="N564">
        <f t="shared" si="70"/>
        <v>3.9999999999999591</v>
      </c>
      <c r="O564">
        <f t="shared" si="71"/>
        <v>4.0000000000000036</v>
      </c>
      <c r="P564">
        <f t="shared" si="72"/>
        <v>2.9999999999999805</v>
      </c>
      <c r="Q564">
        <f t="shared" si="73"/>
        <v>0.99999999999997868</v>
      </c>
      <c r="R564">
        <f t="shared" si="74"/>
        <v>-0.99999999999997868</v>
      </c>
    </row>
    <row r="565" spans="1:18">
      <c r="A565" s="9">
        <v>37532</v>
      </c>
      <c r="B565">
        <v>1.7</v>
      </c>
      <c r="C565">
        <v>2.1800000000000002</v>
      </c>
      <c r="D565">
        <v>2.65</v>
      </c>
      <c r="E565">
        <v>3.03</v>
      </c>
      <c r="F565">
        <v>3.34</v>
      </c>
      <c r="G565">
        <v>3.85</v>
      </c>
      <c r="H565">
        <v>4.33</v>
      </c>
      <c r="I565">
        <v>5.16</v>
      </c>
      <c r="K565">
        <f t="shared" si="67"/>
        <v>-1.0000000000000009</v>
      </c>
      <c r="L565">
        <f t="shared" si="68"/>
        <v>0</v>
      </c>
      <c r="M565">
        <f t="shared" si="69"/>
        <v>-1.0000000000000231</v>
      </c>
      <c r="N565">
        <f t="shared" si="70"/>
        <v>0</v>
      </c>
      <c r="O565">
        <f t="shared" si="71"/>
        <v>-1.0000000000000231</v>
      </c>
      <c r="P565">
        <f t="shared" si="72"/>
        <v>-0.99999999999997868</v>
      </c>
      <c r="Q565">
        <f t="shared" si="73"/>
        <v>0</v>
      </c>
      <c r="R565">
        <f t="shared" si="74"/>
        <v>0.99999999999997868</v>
      </c>
    </row>
    <row r="566" spans="1:18">
      <c r="A566" s="9">
        <v>37533</v>
      </c>
      <c r="B566">
        <v>1.77</v>
      </c>
      <c r="C566">
        <v>2.23</v>
      </c>
      <c r="D566">
        <v>2.71</v>
      </c>
      <c r="E566">
        <v>3.08</v>
      </c>
      <c r="F566">
        <v>3.4</v>
      </c>
      <c r="G566">
        <v>3.9</v>
      </c>
      <c r="H566">
        <v>4.3600000000000003</v>
      </c>
      <c r="I566">
        <v>5.2</v>
      </c>
      <c r="K566">
        <f t="shared" si="67"/>
        <v>7.0000000000000062</v>
      </c>
      <c r="L566">
        <f t="shared" si="68"/>
        <v>4.9999999999999822</v>
      </c>
      <c r="M566">
        <f t="shared" si="69"/>
        <v>6.0000000000000053</v>
      </c>
      <c r="N566">
        <f t="shared" si="70"/>
        <v>5.0000000000000266</v>
      </c>
      <c r="O566">
        <f t="shared" si="71"/>
        <v>6.0000000000000053</v>
      </c>
      <c r="P566">
        <f t="shared" si="72"/>
        <v>4.9999999999999822</v>
      </c>
      <c r="Q566">
        <f t="shared" si="73"/>
        <v>3.0000000000000249</v>
      </c>
      <c r="R566">
        <f t="shared" si="74"/>
        <v>4.0000000000000036</v>
      </c>
    </row>
    <row r="567" spans="1:18">
      <c r="A567" s="9">
        <v>37536</v>
      </c>
      <c r="B567">
        <v>1.73</v>
      </c>
      <c r="C567">
        <v>2.1800000000000002</v>
      </c>
      <c r="D567">
        <v>2.63</v>
      </c>
      <c r="E567">
        <v>3</v>
      </c>
      <c r="F567">
        <v>3.32</v>
      </c>
      <c r="G567">
        <v>3.83</v>
      </c>
      <c r="H567">
        <v>4.3</v>
      </c>
      <c r="I567">
        <v>5.14</v>
      </c>
      <c r="K567">
        <f t="shared" si="67"/>
        <v>-4.0000000000000036</v>
      </c>
      <c r="L567">
        <f t="shared" si="68"/>
        <v>-4.9999999999999822</v>
      </c>
      <c r="M567">
        <f t="shared" si="69"/>
        <v>-8.0000000000000071</v>
      </c>
      <c r="N567">
        <f t="shared" si="70"/>
        <v>-8.0000000000000071</v>
      </c>
      <c r="O567">
        <f t="shared" si="71"/>
        <v>-8.0000000000000071</v>
      </c>
      <c r="P567">
        <f t="shared" si="72"/>
        <v>-6.999999999999984</v>
      </c>
      <c r="Q567">
        <f t="shared" si="73"/>
        <v>-6.0000000000000497</v>
      </c>
      <c r="R567">
        <f t="shared" si="74"/>
        <v>-6.0000000000000497</v>
      </c>
    </row>
    <row r="568" spans="1:18">
      <c r="A568" s="9">
        <v>37537</v>
      </c>
      <c r="B568">
        <v>1.76</v>
      </c>
      <c r="C568">
        <v>2.19</v>
      </c>
      <c r="D568">
        <v>2.63</v>
      </c>
      <c r="E568">
        <v>2.99</v>
      </c>
      <c r="F568">
        <v>3.29</v>
      </c>
      <c r="G568">
        <v>3.8</v>
      </c>
      <c r="H568">
        <v>4.2699999999999996</v>
      </c>
      <c r="I568">
        <v>5.12</v>
      </c>
      <c r="K568">
        <f t="shared" si="67"/>
        <v>3.0000000000000027</v>
      </c>
      <c r="L568">
        <f t="shared" si="68"/>
        <v>0.99999999999997868</v>
      </c>
      <c r="M568">
        <f t="shared" si="69"/>
        <v>0</v>
      </c>
      <c r="N568">
        <f t="shared" si="70"/>
        <v>-0.99999999999997868</v>
      </c>
      <c r="O568">
        <f t="shared" si="71"/>
        <v>-2.9999999999999805</v>
      </c>
      <c r="P568">
        <f t="shared" si="72"/>
        <v>-3.0000000000000249</v>
      </c>
      <c r="Q568">
        <f t="shared" si="73"/>
        <v>-3.0000000000000249</v>
      </c>
      <c r="R568">
        <f t="shared" si="74"/>
        <v>-1.9999999999999574</v>
      </c>
    </row>
    <row r="569" spans="1:18">
      <c r="A569" s="9">
        <v>37538</v>
      </c>
      <c r="B569">
        <v>1.75</v>
      </c>
      <c r="C569">
        <v>2.19</v>
      </c>
      <c r="D569">
        <v>2.63</v>
      </c>
      <c r="E569">
        <v>3</v>
      </c>
      <c r="F569">
        <v>3.31</v>
      </c>
      <c r="G569">
        <v>3.81</v>
      </c>
      <c r="H569">
        <v>4.26</v>
      </c>
      <c r="I569">
        <v>5.0999999999999996</v>
      </c>
      <c r="K569">
        <f t="shared" si="67"/>
        <v>-1.0000000000000009</v>
      </c>
      <c r="L569">
        <f t="shared" si="68"/>
        <v>0</v>
      </c>
      <c r="M569">
        <f t="shared" si="69"/>
        <v>0</v>
      </c>
      <c r="N569">
        <f t="shared" si="70"/>
        <v>0.99999999999997868</v>
      </c>
      <c r="O569">
        <f t="shared" si="71"/>
        <v>2.0000000000000018</v>
      </c>
      <c r="P569">
        <f t="shared" si="72"/>
        <v>1.0000000000000231</v>
      </c>
      <c r="Q569">
        <f t="shared" si="73"/>
        <v>-0.99999999999997868</v>
      </c>
      <c r="R569">
        <f t="shared" si="74"/>
        <v>-2.0000000000000462</v>
      </c>
    </row>
    <row r="570" spans="1:18">
      <c r="A570" s="9">
        <v>37539</v>
      </c>
      <c r="B570">
        <v>1.75</v>
      </c>
      <c r="C570">
        <v>2.17</v>
      </c>
      <c r="D570">
        <v>2.63</v>
      </c>
      <c r="E570">
        <v>3</v>
      </c>
      <c r="F570">
        <v>3.32</v>
      </c>
      <c r="G570">
        <v>3.83</v>
      </c>
      <c r="H570">
        <v>4.3099999999999996</v>
      </c>
      <c r="I570">
        <v>5.17</v>
      </c>
      <c r="K570">
        <f t="shared" si="67"/>
        <v>0</v>
      </c>
      <c r="L570">
        <f t="shared" si="68"/>
        <v>-2.0000000000000018</v>
      </c>
      <c r="M570">
        <f t="shared" si="69"/>
        <v>0</v>
      </c>
      <c r="N570">
        <f t="shared" si="70"/>
        <v>0</v>
      </c>
      <c r="O570">
        <f t="shared" si="71"/>
        <v>0.99999999999997868</v>
      </c>
      <c r="P570">
        <f t="shared" si="72"/>
        <v>2.0000000000000018</v>
      </c>
      <c r="Q570">
        <f t="shared" si="73"/>
        <v>4.9999999999999822</v>
      </c>
      <c r="R570">
        <f t="shared" si="74"/>
        <v>7.0000000000000284</v>
      </c>
    </row>
    <row r="571" spans="1:18">
      <c r="A571" s="9">
        <v>37540</v>
      </c>
      <c r="B571">
        <v>1.8</v>
      </c>
      <c r="C571">
        <v>2.2200000000000002</v>
      </c>
      <c r="D571">
        <v>2.66</v>
      </c>
      <c r="E571">
        <v>3.04</v>
      </c>
      <c r="F571">
        <v>3.36</v>
      </c>
      <c r="G571">
        <v>3.89</v>
      </c>
      <c r="H571">
        <v>4.3899999999999997</v>
      </c>
      <c r="I571">
        <v>5.2</v>
      </c>
      <c r="K571">
        <f t="shared" si="67"/>
        <v>5.0000000000000044</v>
      </c>
      <c r="L571">
        <f t="shared" si="68"/>
        <v>5.0000000000000266</v>
      </c>
      <c r="M571">
        <f t="shared" si="69"/>
        <v>3.0000000000000249</v>
      </c>
      <c r="N571">
        <f t="shared" si="70"/>
        <v>4.0000000000000036</v>
      </c>
      <c r="O571">
        <f t="shared" si="71"/>
        <v>4.0000000000000036</v>
      </c>
      <c r="P571">
        <f t="shared" si="72"/>
        <v>6.0000000000000053</v>
      </c>
      <c r="Q571">
        <f t="shared" si="73"/>
        <v>8.0000000000000071</v>
      </c>
      <c r="R571">
        <f t="shared" si="74"/>
        <v>3.0000000000000249</v>
      </c>
    </row>
    <row r="572" spans="1:18">
      <c r="A572" s="9">
        <v>37544</v>
      </c>
      <c r="B572">
        <v>1.92</v>
      </c>
      <c r="C572">
        <v>2.38</v>
      </c>
      <c r="D572">
        <v>2.83</v>
      </c>
      <c r="E572">
        <v>3.22</v>
      </c>
      <c r="F572">
        <v>3.55</v>
      </c>
      <c r="G572">
        <v>4.08</v>
      </c>
      <c r="H572">
        <v>4.5599999999999996</v>
      </c>
      <c r="I572">
        <v>5.34</v>
      </c>
      <c r="K572">
        <f t="shared" si="67"/>
        <v>11.999999999999989</v>
      </c>
      <c r="L572">
        <f t="shared" si="68"/>
        <v>15.99999999999997</v>
      </c>
      <c r="M572">
        <f t="shared" si="69"/>
        <v>16.999999999999993</v>
      </c>
      <c r="N572">
        <f t="shared" si="70"/>
        <v>18.000000000000014</v>
      </c>
      <c r="O572">
        <f t="shared" si="71"/>
        <v>18.999999999999993</v>
      </c>
      <c r="P572">
        <f t="shared" si="72"/>
        <v>18.999999999999993</v>
      </c>
      <c r="Q572">
        <f t="shared" si="73"/>
        <v>16.999999999999993</v>
      </c>
      <c r="R572">
        <f t="shared" si="74"/>
        <v>13.999999999999968</v>
      </c>
    </row>
    <row r="573" spans="1:18">
      <c r="A573" s="9">
        <v>37545</v>
      </c>
      <c r="B573">
        <v>1.94</v>
      </c>
      <c r="C573">
        <v>2.44</v>
      </c>
      <c r="D573">
        <v>2.92</v>
      </c>
      <c r="E573">
        <v>3.32</v>
      </c>
      <c r="F573">
        <v>3.67</v>
      </c>
      <c r="G573">
        <v>4.18</v>
      </c>
      <c r="H573">
        <v>4.66</v>
      </c>
      <c r="I573">
        <v>5.43</v>
      </c>
      <c r="K573">
        <f t="shared" si="67"/>
        <v>2.0000000000000018</v>
      </c>
      <c r="L573">
        <f t="shared" si="68"/>
        <v>6.0000000000000053</v>
      </c>
      <c r="M573">
        <f t="shared" si="69"/>
        <v>8.9999999999999858</v>
      </c>
      <c r="N573">
        <f t="shared" si="70"/>
        <v>9.9999999999999645</v>
      </c>
      <c r="O573">
        <f t="shared" si="71"/>
        <v>12.000000000000011</v>
      </c>
      <c r="P573">
        <f t="shared" si="72"/>
        <v>9.9999999999999645</v>
      </c>
      <c r="Q573">
        <f t="shared" si="73"/>
        <v>10.000000000000053</v>
      </c>
      <c r="R573">
        <f t="shared" si="74"/>
        <v>8.9999999999999858</v>
      </c>
    </row>
    <row r="574" spans="1:18">
      <c r="A574" s="9">
        <v>37546</v>
      </c>
      <c r="B574">
        <v>1.98</v>
      </c>
      <c r="C574">
        <v>2.52</v>
      </c>
      <c r="D574">
        <v>3.02</v>
      </c>
      <c r="E574">
        <v>3.42</v>
      </c>
      <c r="F574">
        <v>3.77</v>
      </c>
      <c r="G574">
        <v>4.28</v>
      </c>
      <c r="H574">
        <v>4.76</v>
      </c>
      <c r="I574">
        <v>5.5</v>
      </c>
      <c r="K574">
        <f t="shared" si="67"/>
        <v>4.0000000000000036</v>
      </c>
      <c r="L574">
        <f t="shared" si="68"/>
        <v>8.0000000000000071</v>
      </c>
      <c r="M574">
        <f t="shared" si="69"/>
        <v>10.000000000000009</v>
      </c>
      <c r="N574">
        <f t="shared" si="70"/>
        <v>10.000000000000009</v>
      </c>
      <c r="O574">
        <f t="shared" si="71"/>
        <v>10.000000000000009</v>
      </c>
      <c r="P574">
        <f t="shared" si="72"/>
        <v>10.000000000000053</v>
      </c>
      <c r="Q574">
        <f t="shared" si="73"/>
        <v>9.9999999999999645</v>
      </c>
      <c r="R574">
        <f t="shared" si="74"/>
        <v>7.0000000000000284</v>
      </c>
    </row>
    <row r="575" spans="1:18">
      <c r="A575" s="9">
        <v>37547</v>
      </c>
      <c r="B575">
        <v>1.99</v>
      </c>
      <c r="C575">
        <v>2.58</v>
      </c>
      <c r="D575">
        <v>3.1</v>
      </c>
      <c r="E575">
        <v>3.52</v>
      </c>
      <c r="F575">
        <v>3.87</v>
      </c>
      <c r="G575">
        <v>4.3899999999999997</v>
      </c>
      <c r="H575">
        <v>4.8600000000000003</v>
      </c>
      <c r="I575">
        <v>5.61</v>
      </c>
      <c r="K575">
        <f t="shared" si="67"/>
        <v>1.0000000000000009</v>
      </c>
      <c r="L575">
        <f t="shared" si="68"/>
        <v>6.0000000000000053</v>
      </c>
      <c r="M575">
        <f t="shared" si="69"/>
        <v>8.0000000000000071</v>
      </c>
      <c r="N575">
        <f t="shared" si="70"/>
        <v>10.000000000000009</v>
      </c>
      <c r="O575">
        <f t="shared" si="71"/>
        <v>10.000000000000009</v>
      </c>
      <c r="P575">
        <f t="shared" si="72"/>
        <v>10.999999999999943</v>
      </c>
      <c r="Q575">
        <f t="shared" si="73"/>
        <v>10.000000000000053</v>
      </c>
      <c r="R575">
        <f t="shared" si="74"/>
        <v>11.000000000000032</v>
      </c>
    </row>
    <row r="576" spans="1:18">
      <c r="A576" s="9">
        <v>37550</v>
      </c>
      <c r="B576">
        <v>1.98</v>
      </c>
      <c r="C576">
        <v>2.56</v>
      </c>
      <c r="D576">
        <v>3.06</v>
      </c>
      <c r="E576">
        <v>3.47</v>
      </c>
      <c r="F576">
        <v>3.8</v>
      </c>
      <c r="G576">
        <v>4.32</v>
      </c>
      <c r="H576">
        <v>4.79</v>
      </c>
      <c r="I576">
        <v>5.53</v>
      </c>
      <c r="K576">
        <f t="shared" si="67"/>
        <v>-1.0000000000000009</v>
      </c>
      <c r="L576">
        <f t="shared" si="68"/>
        <v>-2.0000000000000018</v>
      </c>
      <c r="M576">
        <f t="shared" si="69"/>
        <v>-4.0000000000000036</v>
      </c>
      <c r="N576">
        <f t="shared" si="70"/>
        <v>-4.9999999999999822</v>
      </c>
      <c r="O576">
        <f t="shared" si="71"/>
        <v>-7.0000000000000284</v>
      </c>
      <c r="P576">
        <f t="shared" si="72"/>
        <v>-6.9999999999999396</v>
      </c>
      <c r="Q576">
        <f t="shared" si="73"/>
        <v>-7.0000000000000284</v>
      </c>
      <c r="R576">
        <f t="shared" si="74"/>
        <v>-8.0000000000000071</v>
      </c>
    </row>
    <row r="577" spans="1:18">
      <c r="A577" s="9">
        <v>37551</v>
      </c>
      <c r="B577">
        <v>2.02</v>
      </c>
      <c r="C577">
        <v>2.63</v>
      </c>
      <c r="D577">
        <v>3.15</v>
      </c>
      <c r="E577">
        <v>3.54</v>
      </c>
      <c r="F577">
        <v>3.88</v>
      </c>
      <c r="G577">
        <v>4.3899999999999997</v>
      </c>
      <c r="H577">
        <v>4.87</v>
      </c>
      <c r="I577">
        <v>5.61</v>
      </c>
      <c r="K577">
        <f t="shared" si="67"/>
        <v>4.0000000000000036</v>
      </c>
      <c r="L577">
        <f t="shared" si="68"/>
        <v>6.999999999999984</v>
      </c>
      <c r="M577">
        <f t="shared" si="69"/>
        <v>8.9999999999999858</v>
      </c>
      <c r="N577">
        <f t="shared" si="70"/>
        <v>6.999999999999984</v>
      </c>
      <c r="O577">
        <f t="shared" si="71"/>
        <v>8.0000000000000071</v>
      </c>
      <c r="P577">
        <f t="shared" si="72"/>
        <v>6.9999999999999396</v>
      </c>
      <c r="Q577">
        <f t="shared" si="73"/>
        <v>8.0000000000000071</v>
      </c>
      <c r="R577">
        <f t="shared" si="74"/>
        <v>8.0000000000000071</v>
      </c>
    </row>
    <row r="578" spans="1:18">
      <c r="A578" s="9">
        <v>37552</v>
      </c>
      <c r="B578">
        <v>1.96</v>
      </c>
      <c r="C578">
        <v>2.56</v>
      </c>
      <c r="D578">
        <v>3.08</v>
      </c>
      <c r="E578">
        <v>3.49</v>
      </c>
      <c r="F578">
        <v>3.82</v>
      </c>
      <c r="G578">
        <v>4.34</v>
      </c>
      <c r="H578">
        <v>4.83</v>
      </c>
      <c r="I578">
        <v>5.6</v>
      </c>
      <c r="K578">
        <f t="shared" si="67"/>
        <v>-6.0000000000000053</v>
      </c>
      <c r="L578">
        <f t="shared" si="68"/>
        <v>-6.999999999999984</v>
      </c>
      <c r="M578">
        <f t="shared" si="69"/>
        <v>-6.999999999999984</v>
      </c>
      <c r="N578">
        <f t="shared" si="70"/>
        <v>-4.9999999999999822</v>
      </c>
      <c r="O578">
        <f t="shared" si="71"/>
        <v>-6.0000000000000053</v>
      </c>
      <c r="P578">
        <f t="shared" si="72"/>
        <v>-4.9999999999999822</v>
      </c>
      <c r="Q578">
        <f t="shared" si="73"/>
        <v>-4.0000000000000036</v>
      </c>
      <c r="R578">
        <f t="shared" si="74"/>
        <v>-1.0000000000000675</v>
      </c>
    </row>
    <row r="579" spans="1:18">
      <c r="A579" s="9">
        <v>37553</v>
      </c>
      <c r="B579">
        <v>1.95</v>
      </c>
      <c r="C579">
        <v>2.54</v>
      </c>
      <c r="D579">
        <v>3.08</v>
      </c>
      <c r="E579">
        <v>3.5</v>
      </c>
      <c r="F579">
        <v>3.84</v>
      </c>
      <c r="G579">
        <v>4.3499999999999996</v>
      </c>
      <c r="H579">
        <v>4.8499999999999996</v>
      </c>
      <c r="I579">
        <v>5.61</v>
      </c>
      <c r="K579">
        <f t="shared" si="67"/>
        <v>-1.0000000000000009</v>
      </c>
      <c r="L579">
        <f t="shared" si="68"/>
        <v>-2.0000000000000018</v>
      </c>
      <c r="M579">
        <f t="shared" si="69"/>
        <v>0</v>
      </c>
      <c r="N579">
        <f t="shared" si="70"/>
        <v>0.99999999999997868</v>
      </c>
      <c r="O579">
        <f t="shared" si="71"/>
        <v>2.0000000000000018</v>
      </c>
      <c r="P579">
        <f t="shared" si="72"/>
        <v>0.99999999999997868</v>
      </c>
      <c r="Q579">
        <f t="shared" si="73"/>
        <v>1.9999999999999574</v>
      </c>
      <c r="R579">
        <f t="shared" si="74"/>
        <v>1.0000000000000675</v>
      </c>
    </row>
    <row r="580" spans="1:18">
      <c r="A580" s="9">
        <v>37554</v>
      </c>
      <c r="B580">
        <v>1.88</v>
      </c>
      <c r="C580">
        <v>2.42</v>
      </c>
      <c r="D580">
        <v>2.95</v>
      </c>
      <c r="E580">
        <v>3.35</v>
      </c>
      <c r="F580">
        <v>3.68</v>
      </c>
      <c r="G580">
        <v>4.2</v>
      </c>
      <c r="H580">
        <v>4.6900000000000004</v>
      </c>
      <c r="I580">
        <v>5.5</v>
      </c>
      <c r="K580">
        <f t="shared" si="67"/>
        <v>-7.0000000000000062</v>
      </c>
      <c r="L580">
        <f t="shared" si="68"/>
        <v>-12.000000000000011</v>
      </c>
      <c r="M580">
        <f t="shared" si="69"/>
        <v>-12.999999999999989</v>
      </c>
      <c r="N580">
        <f t="shared" si="70"/>
        <v>-14.999999999999991</v>
      </c>
      <c r="O580">
        <f t="shared" si="71"/>
        <v>-15.99999999999997</v>
      </c>
      <c r="P580">
        <f t="shared" si="72"/>
        <v>-14.999999999999947</v>
      </c>
      <c r="Q580">
        <f t="shared" si="73"/>
        <v>-15.999999999999925</v>
      </c>
      <c r="R580">
        <f t="shared" si="74"/>
        <v>-11.000000000000032</v>
      </c>
    </row>
    <row r="581" spans="1:18">
      <c r="A581" s="9">
        <v>37557</v>
      </c>
      <c r="B581">
        <v>1.74</v>
      </c>
      <c r="C581">
        <v>2.2799999999999998</v>
      </c>
      <c r="D581">
        <v>2.81</v>
      </c>
      <c r="E581">
        <v>3.22</v>
      </c>
      <c r="F581">
        <v>3.57</v>
      </c>
      <c r="G581">
        <v>4.12</v>
      </c>
      <c r="H581">
        <v>4.6399999999999997</v>
      </c>
      <c r="I581">
        <v>5.48</v>
      </c>
      <c r="K581">
        <f t="shared" ref="K581:K644" si="75">(B581-B580)*100</f>
        <v>-13.999999999999989</v>
      </c>
      <c r="L581">
        <f t="shared" ref="L581:L644" si="76">(C581-C580)*100</f>
        <v>-14.000000000000012</v>
      </c>
      <c r="M581">
        <f t="shared" ref="M581:M644" si="77">(D581-D580)*100</f>
        <v>-14.000000000000012</v>
      </c>
      <c r="N581">
        <f t="shared" ref="N581:N644" si="78">(E581-E580)*100</f>
        <v>-12.999999999999989</v>
      </c>
      <c r="O581">
        <f t="shared" ref="O581:O644" si="79">(F581-F580)*100</f>
        <v>-11.000000000000032</v>
      </c>
      <c r="P581">
        <f t="shared" ref="P581:P644" si="80">(G581-G580)*100</f>
        <v>-8.0000000000000071</v>
      </c>
      <c r="Q581">
        <f t="shared" ref="Q581:Q644" si="81">(H581-H580)*100</f>
        <v>-5.0000000000000711</v>
      </c>
      <c r="R581">
        <f t="shared" ref="R581:R644" si="82">(I581-I580)*100</f>
        <v>-1.9999999999999574</v>
      </c>
    </row>
    <row r="582" spans="1:18">
      <c r="A582" s="9">
        <v>37558</v>
      </c>
      <c r="B582">
        <v>1.65</v>
      </c>
      <c r="C582">
        <v>2.13</v>
      </c>
      <c r="D582">
        <v>2.65</v>
      </c>
      <c r="E582">
        <v>3.05</v>
      </c>
      <c r="F582">
        <v>3.38</v>
      </c>
      <c r="G582">
        <v>3.93</v>
      </c>
      <c r="H582">
        <v>4.46</v>
      </c>
      <c r="I582">
        <v>5.35</v>
      </c>
      <c r="K582">
        <f t="shared" si="75"/>
        <v>-9.0000000000000071</v>
      </c>
      <c r="L582">
        <f t="shared" si="76"/>
        <v>-14.999999999999991</v>
      </c>
      <c r="M582">
        <f t="shared" si="77"/>
        <v>-16.000000000000014</v>
      </c>
      <c r="N582">
        <f t="shared" si="78"/>
        <v>-17.000000000000036</v>
      </c>
      <c r="O582">
        <f t="shared" si="79"/>
        <v>-18.999999999999993</v>
      </c>
      <c r="P582">
        <f t="shared" si="80"/>
        <v>-18.999999999999993</v>
      </c>
      <c r="Q582">
        <f t="shared" si="81"/>
        <v>-17.999999999999972</v>
      </c>
      <c r="R582">
        <f t="shared" si="82"/>
        <v>-13.000000000000078</v>
      </c>
    </row>
    <row r="583" spans="1:18">
      <c r="A583" s="9">
        <v>37559</v>
      </c>
      <c r="B583">
        <v>1.67</v>
      </c>
      <c r="C583">
        <v>2.19</v>
      </c>
      <c r="D583">
        <v>2.71</v>
      </c>
      <c r="E583">
        <v>3.12</v>
      </c>
      <c r="F583">
        <v>3.46</v>
      </c>
      <c r="G583">
        <v>4.01</v>
      </c>
      <c r="H583">
        <v>4.55</v>
      </c>
      <c r="I583">
        <v>5.43</v>
      </c>
      <c r="K583">
        <f t="shared" si="75"/>
        <v>2.0000000000000018</v>
      </c>
      <c r="L583">
        <f t="shared" si="76"/>
        <v>6.0000000000000053</v>
      </c>
      <c r="M583">
        <f t="shared" si="77"/>
        <v>6.0000000000000053</v>
      </c>
      <c r="N583">
        <f t="shared" si="78"/>
        <v>7.0000000000000284</v>
      </c>
      <c r="O583">
        <f t="shared" si="79"/>
        <v>8.0000000000000071</v>
      </c>
      <c r="P583">
        <f t="shared" si="80"/>
        <v>7.9999999999999627</v>
      </c>
      <c r="Q583">
        <f t="shared" si="81"/>
        <v>8.9999999999999858</v>
      </c>
      <c r="R583">
        <f t="shared" si="82"/>
        <v>8.0000000000000071</v>
      </c>
    </row>
    <row r="584" spans="1:18">
      <c r="A584" s="9">
        <v>37560</v>
      </c>
      <c r="B584">
        <v>1.62</v>
      </c>
      <c r="C584">
        <v>2.11</v>
      </c>
      <c r="D584">
        <v>2.62</v>
      </c>
      <c r="E584">
        <v>3.04</v>
      </c>
      <c r="F584">
        <v>3.38</v>
      </c>
      <c r="G584">
        <v>3.94</v>
      </c>
      <c r="H584">
        <v>4.51</v>
      </c>
      <c r="I584">
        <v>5.43</v>
      </c>
      <c r="K584">
        <f t="shared" si="75"/>
        <v>-4.9999999999999822</v>
      </c>
      <c r="L584">
        <f t="shared" si="76"/>
        <v>-8.0000000000000071</v>
      </c>
      <c r="M584">
        <f t="shared" si="77"/>
        <v>-8.9999999999999858</v>
      </c>
      <c r="N584">
        <f t="shared" si="78"/>
        <v>-8.0000000000000071</v>
      </c>
      <c r="O584">
        <f t="shared" si="79"/>
        <v>-8.0000000000000071</v>
      </c>
      <c r="P584">
        <f t="shared" si="80"/>
        <v>-6.999999999999984</v>
      </c>
      <c r="Q584">
        <f t="shared" si="81"/>
        <v>-4.0000000000000036</v>
      </c>
      <c r="R584">
        <f t="shared" si="82"/>
        <v>0</v>
      </c>
    </row>
    <row r="585" spans="1:18">
      <c r="A585" s="9">
        <v>37561</v>
      </c>
      <c r="B585">
        <v>1.64</v>
      </c>
      <c r="C585">
        <v>2.17</v>
      </c>
      <c r="D585">
        <v>2.69</v>
      </c>
      <c r="E585">
        <v>3.11</v>
      </c>
      <c r="F585">
        <v>3.46</v>
      </c>
      <c r="G585">
        <v>4.04</v>
      </c>
      <c r="H585">
        <v>4.59</v>
      </c>
      <c r="I585">
        <v>5.49</v>
      </c>
      <c r="K585">
        <f t="shared" si="75"/>
        <v>1.9999999999999796</v>
      </c>
      <c r="L585">
        <f t="shared" si="76"/>
        <v>6.0000000000000053</v>
      </c>
      <c r="M585">
        <f t="shared" si="77"/>
        <v>6.999999999999984</v>
      </c>
      <c r="N585">
        <f t="shared" si="78"/>
        <v>6.999999999999984</v>
      </c>
      <c r="O585">
        <f t="shared" si="79"/>
        <v>8.0000000000000071</v>
      </c>
      <c r="P585">
        <f t="shared" si="80"/>
        <v>10.000000000000009</v>
      </c>
      <c r="Q585">
        <f t="shared" si="81"/>
        <v>8.0000000000000071</v>
      </c>
      <c r="R585">
        <f t="shared" si="82"/>
        <v>6.0000000000000497</v>
      </c>
    </row>
    <row r="586" spans="1:18">
      <c r="A586" s="9">
        <v>37564</v>
      </c>
      <c r="B586">
        <v>1.64</v>
      </c>
      <c r="C586">
        <v>2.1800000000000002</v>
      </c>
      <c r="D586">
        <v>2.72</v>
      </c>
      <c r="E586">
        <v>3.15</v>
      </c>
      <c r="F586">
        <v>3.51</v>
      </c>
      <c r="G586">
        <v>4.07</v>
      </c>
      <c r="H586">
        <v>4.62</v>
      </c>
      <c r="I586">
        <v>5.48</v>
      </c>
      <c r="K586">
        <f t="shared" si="75"/>
        <v>0</v>
      </c>
      <c r="L586">
        <f t="shared" si="76"/>
        <v>1.0000000000000231</v>
      </c>
      <c r="M586">
        <f t="shared" si="77"/>
        <v>3.0000000000000249</v>
      </c>
      <c r="N586">
        <f t="shared" si="78"/>
        <v>4.0000000000000036</v>
      </c>
      <c r="O586">
        <f t="shared" si="79"/>
        <v>4.9999999999999822</v>
      </c>
      <c r="P586">
        <f t="shared" si="80"/>
        <v>3.0000000000000249</v>
      </c>
      <c r="Q586">
        <f t="shared" si="81"/>
        <v>3.0000000000000249</v>
      </c>
      <c r="R586">
        <f t="shared" si="82"/>
        <v>-0.99999999999997868</v>
      </c>
    </row>
    <row r="587" spans="1:18">
      <c r="A587" s="9">
        <v>37565</v>
      </c>
      <c r="B587">
        <v>1.63</v>
      </c>
      <c r="C587">
        <v>2.19</v>
      </c>
      <c r="D587">
        <v>2.73</v>
      </c>
      <c r="E587">
        <v>3.17</v>
      </c>
      <c r="F587">
        <v>3.53</v>
      </c>
      <c r="G587">
        <v>4.08</v>
      </c>
      <c r="H587">
        <v>4.62</v>
      </c>
      <c r="I587">
        <v>5.48</v>
      </c>
      <c r="K587">
        <f t="shared" si="75"/>
        <v>-1.0000000000000009</v>
      </c>
      <c r="L587">
        <f t="shared" si="76"/>
        <v>0.99999999999997868</v>
      </c>
      <c r="M587">
        <f t="shared" si="77"/>
        <v>0.99999999999997868</v>
      </c>
      <c r="N587">
        <f t="shared" si="78"/>
        <v>2.0000000000000018</v>
      </c>
      <c r="O587">
        <f t="shared" si="79"/>
        <v>2.0000000000000018</v>
      </c>
      <c r="P587">
        <f t="shared" si="80"/>
        <v>0.99999999999997868</v>
      </c>
      <c r="Q587">
        <f t="shared" si="81"/>
        <v>0</v>
      </c>
      <c r="R587">
        <f t="shared" si="82"/>
        <v>0</v>
      </c>
    </row>
    <row r="588" spans="1:18">
      <c r="A588" s="9">
        <v>37566</v>
      </c>
      <c r="B588">
        <v>1.63</v>
      </c>
      <c r="C588">
        <v>2.2000000000000002</v>
      </c>
      <c r="D588">
        <v>2.74</v>
      </c>
      <c r="E588">
        <v>3.17</v>
      </c>
      <c r="F588">
        <v>3.54</v>
      </c>
      <c r="G588">
        <v>4.08</v>
      </c>
      <c r="H588">
        <v>4.62</v>
      </c>
      <c r="I588">
        <v>5.51</v>
      </c>
      <c r="K588">
        <f t="shared" si="75"/>
        <v>0</v>
      </c>
      <c r="L588">
        <f t="shared" si="76"/>
        <v>1.0000000000000231</v>
      </c>
      <c r="M588">
        <f t="shared" si="77"/>
        <v>1.0000000000000231</v>
      </c>
      <c r="N588">
        <f t="shared" si="78"/>
        <v>0</v>
      </c>
      <c r="O588">
        <f t="shared" si="79"/>
        <v>1.0000000000000231</v>
      </c>
      <c r="P588">
        <f t="shared" si="80"/>
        <v>0</v>
      </c>
      <c r="Q588">
        <f t="shared" si="81"/>
        <v>0</v>
      </c>
      <c r="R588">
        <f t="shared" si="82"/>
        <v>2.9999999999999361</v>
      </c>
    </row>
    <row r="589" spans="1:18">
      <c r="A589" s="9">
        <v>37567</v>
      </c>
      <c r="B589">
        <v>1.56</v>
      </c>
      <c r="C589">
        <v>2.1800000000000002</v>
      </c>
      <c r="D589">
        <v>2.69</v>
      </c>
      <c r="E589">
        <v>3.07</v>
      </c>
      <c r="F589">
        <v>3.38</v>
      </c>
      <c r="G589">
        <v>3.9</v>
      </c>
      <c r="H589">
        <v>4.4000000000000004</v>
      </c>
      <c r="I589">
        <v>5.3</v>
      </c>
      <c r="K589">
        <f t="shared" si="75"/>
        <v>-6.999999999999984</v>
      </c>
      <c r="L589">
        <f t="shared" si="76"/>
        <v>-2.0000000000000018</v>
      </c>
      <c r="M589">
        <f t="shared" si="77"/>
        <v>-5.0000000000000266</v>
      </c>
      <c r="N589">
        <f t="shared" si="78"/>
        <v>-10.000000000000009</v>
      </c>
      <c r="O589">
        <f t="shared" si="79"/>
        <v>-16.000000000000014</v>
      </c>
      <c r="P589">
        <f t="shared" si="80"/>
        <v>-18.000000000000014</v>
      </c>
      <c r="Q589">
        <f t="shared" si="81"/>
        <v>-21.999999999999975</v>
      </c>
      <c r="R589">
        <f t="shared" si="82"/>
        <v>-20.999999999999996</v>
      </c>
    </row>
    <row r="590" spans="1:18">
      <c r="A590" s="9">
        <v>37568</v>
      </c>
      <c r="B590">
        <v>1.56</v>
      </c>
      <c r="C590">
        <v>2.16</v>
      </c>
      <c r="D590">
        <v>2.66</v>
      </c>
      <c r="E590">
        <v>3.02</v>
      </c>
      <c r="F590">
        <v>3.33</v>
      </c>
      <c r="G590">
        <v>3.82</v>
      </c>
      <c r="H590">
        <v>4.3099999999999996</v>
      </c>
      <c r="I590">
        <v>5.2</v>
      </c>
      <c r="K590">
        <f t="shared" si="75"/>
        <v>0</v>
      </c>
      <c r="L590">
        <f t="shared" si="76"/>
        <v>-2.0000000000000018</v>
      </c>
      <c r="M590">
        <f t="shared" si="77"/>
        <v>-2.9999999999999805</v>
      </c>
      <c r="N590">
        <f t="shared" si="78"/>
        <v>-4.9999999999999822</v>
      </c>
      <c r="O590">
        <f t="shared" si="79"/>
        <v>-4.9999999999999822</v>
      </c>
      <c r="P590">
        <f t="shared" si="80"/>
        <v>-8.0000000000000071</v>
      </c>
      <c r="Q590">
        <f t="shared" si="81"/>
        <v>-9.0000000000000746</v>
      </c>
      <c r="R590">
        <f t="shared" si="82"/>
        <v>-9.9999999999999645</v>
      </c>
    </row>
    <row r="591" spans="1:18">
      <c r="A591" s="9">
        <v>37572</v>
      </c>
      <c r="B591">
        <v>1.54</v>
      </c>
      <c r="C591">
        <v>2.12</v>
      </c>
      <c r="D591">
        <v>2.62</v>
      </c>
      <c r="E591">
        <v>3</v>
      </c>
      <c r="F591">
        <v>3.3</v>
      </c>
      <c r="G591">
        <v>3.81</v>
      </c>
      <c r="H591">
        <v>4.29</v>
      </c>
      <c r="I591">
        <v>5.16</v>
      </c>
      <c r="K591">
        <f t="shared" si="75"/>
        <v>-2.0000000000000018</v>
      </c>
      <c r="L591">
        <f t="shared" si="76"/>
        <v>-4.0000000000000036</v>
      </c>
      <c r="M591">
        <f t="shared" si="77"/>
        <v>-4.0000000000000036</v>
      </c>
      <c r="N591">
        <f t="shared" si="78"/>
        <v>-2.0000000000000018</v>
      </c>
      <c r="O591">
        <f t="shared" si="79"/>
        <v>-3.0000000000000249</v>
      </c>
      <c r="P591">
        <f t="shared" si="80"/>
        <v>-0.99999999999997868</v>
      </c>
      <c r="Q591">
        <f t="shared" si="81"/>
        <v>-1.9999999999999574</v>
      </c>
      <c r="R591">
        <f t="shared" si="82"/>
        <v>-4.0000000000000036</v>
      </c>
    </row>
    <row r="592" spans="1:18">
      <c r="A592" s="9">
        <v>37573</v>
      </c>
      <c r="B592">
        <v>1.55</v>
      </c>
      <c r="C592">
        <v>2.1</v>
      </c>
      <c r="D592">
        <v>2.61</v>
      </c>
      <c r="E592">
        <v>3</v>
      </c>
      <c r="F592">
        <v>3.32</v>
      </c>
      <c r="G592">
        <v>3.84</v>
      </c>
      <c r="H592">
        <v>4.3600000000000003</v>
      </c>
      <c r="I592">
        <v>5.24</v>
      </c>
      <c r="K592">
        <f t="shared" si="75"/>
        <v>1.0000000000000009</v>
      </c>
      <c r="L592">
        <f t="shared" si="76"/>
        <v>-2.0000000000000018</v>
      </c>
      <c r="M592">
        <f t="shared" si="77"/>
        <v>-1.0000000000000231</v>
      </c>
      <c r="N592">
        <f t="shared" si="78"/>
        <v>0</v>
      </c>
      <c r="O592">
        <f t="shared" si="79"/>
        <v>2.0000000000000018</v>
      </c>
      <c r="P592">
        <f t="shared" si="80"/>
        <v>2.9999999999999805</v>
      </c>
      <c r="Q592">
        <f t="shared" si="81"/>
        <v>7.0000000000000284</v>
      </c>
      <c r="R592">
        <f t="shared" si="82"/>
        <v>8.0000000000000071</v>
      </c>
    </row>
    <row r="593" spans="1:18">
      <c r="A593" s="9">
        <v>37574</v>
      </c>
      <c r="B593">
        <v>1.6</v>
      </c>
      <c r="C593">
        <v>2.19</v>
      </c>
      <c r="D593">
        <v>2.7</v>
      </c>
      <c r="E593">
        <v>3.1</v>
      </c>
      <c r="F593">
        <v>3.42</v>
      </c>
      <c r="G593">
        <v>3.95</v>
      </c>
      <c r="H593">
        <v>4.46</v>
      </c>
      <c r="I593">
        <v>5.33</v>
      </c>
      <c r="K593">
        <f t="shared" si="75"/>
        <v>5.0000000000000044</v>
      </c>
      <c r="L593">
        <f t="shared" si="76"/>
        <v>8.9999999999999858</v>
      </c>
      <c r="M593">
        <f t="shared" si="77"/>
        <v>9.0000000000000302</v>
      </c>
      <c r="N593">
        <f t="shared" si="78"/>
        <v>10.000000000000009</v>
      </c>
      <c r="O593">
        <f t="shared" si="79"/>
        <v>10.000000000000009</v>
      </c>
      <c r="P593">
        <f t="shared" si="80"/>
        <v>11.000000000000032</v>
      </c>
      <c r="Q593">
        <f t="shared" si="81"/>
        <v>9.9999999999999645</v>
      </c>
      <c r="R593">
        <f t="shared" si="82"/>
        <v>8.9999999999999858</v>
      </c>
    </row>
    <row r="594" spans="1:18">
      <c r="A594" s="9">
        <v>37575</v>
      </c>
      <c r="B594">
        <v>1.65</v>
      </c>
      <c r="C594">
        <v>2.2799999999999998</v>
      </c>
      <c r="D594">
        <v>2.82</v>
      </c>
      <c r="E594">
        <v>3.22</v>
      </c>
      <c r="F594">
        <v>3.55</v>
      </c>
      <c r="G594">
        <v>4.07</v>
      </c>
      <c r="H594">
        <v>4.57</v>
      </c>
      <c r="I594">
        <v>5.39</v>
      </c>
      <c r="K594">
        <f t="shared" si="75"/>
        <v>4.9999999999999822</v>
      </c>
      <c r="L594">
        <f t="shared" si="76"/>
        <v>8.9999999999999858</v>
      </c>
      <c r="M594">
        <f t="shared" si="77"/>
        <v>11.999999999999966</v>
      </c>
      <c r="N594">
        <f t="shared" si="78"/>
        <v>12.000000000000011</v>
      </c>
      <c r="O594">
        <f t="shared" si="79"/>
        <v>12.999999999999989</v>
      </c>
      <c r="P594">
        <f t="shared" si="80"/>
        <v>12.000000000000011</v>
      </c>
      <c r="Q594">
        <f t="shared" si="81"/>
        <v>11.000000000000032</v>
      </c>
      <c r="R594">
        <f t="shared" si="82"/>
        <v>5.9999999999999609</v>
      </c>
    </row>
    <row r="595" spans="1:18">
      <c r="A595" s="9">
        <v>37578</v>
      </c>
      <c r="B595">
        <v>1.65</v>
      </c>
      <c r="C595">
        <v>2.2799999999999998</v>
      </c>
      <c r="D595">
        <v>2.81</v>
      </c>
      <c r="E595">
        <v>3.2</v>
      </c>
      <c r="F595">
        <v>3.53</v>
      </c>
      <c r="G595">
        <v>4.04</v>
      </c>
      <c r="H595">
        <v>4.54</v>
      </c>
      <c r="I595">
        <v>5.35</v>
      </c>
      <c r="K595">
        <f t="shared" si="75"/>
        <v>0</v>
      </c>
      <c r="L595">
        <f t="shared" si="76"/>
        <v>0</v>
      </c>
      <c r="M595">
        <f t="shared" si="77"/>
        <v>-0.99999999999997868</v>
      </c>
      <c r="N595">
        <f t="shared" si="78"/>
        <v>-2.0000000000000018</v>
      </c>
      <c r="O595">
        <f t="shared" si="79"/>
        <v>-2.0000000000000018</v>
      </c>
      <c r="P595">
        <f t="shared" si="80"/>
        <v>-3.0000000000000249</v>
      </c>
      <c r="Q595">
        <f t="shared" si="81"/>
        <v>-3.0000000000000249</v>
      </c>
      <c r="R595">
        <f t="shared" si="82"/>
        <v>-4.0000000000000036</v>
      </c>
    </row>
    <row r="596" spans="1:18">
      <c r="A596" s="9">
        <v>37579</v>
      </c>
      <c r="B596">
        <v>1.62</v>
      </c>
      <c r="C596">
        <v>2.2200000000000002</v>
      </c>
      <c r="D596">
        <v>2.73</v>
      </c>
      <c r="E596">
        <v>3.11</v>
      </c>
      <c r="F596">
        <v>3.43</v>
      </c>
      <c r="G596">
        <v>3.93</v>
      </c>
      <c r="H596">
        <v>4.41</v>
      </c>
      <c r="I596">
        <v>5.24</v>
      </c>
      <c r="K596">
        <f t="shared" si="75"/>
        <v>-2.9999999999999805</v>
      </c>
      <c r="L596">
        <f t="shared" si="76"/>
        <v>-5.9999999999999609</v>
      </c>
      <c r="M596">
        <f t="shared" si="77"/>
        <v>-8.0000000000000071</v>
      </c>
      <c r="N596">
        <f t="shared" si="78"/>
        <v>-9.0000000000000302</v>
      </c>
      <c r="O596">
        <f t="shared" si="79"/>
        <v>-9.9999999999999645</v>
      </c>
      <c r="P596">
        <f t="shared" si="80"/>
        <v>-10.999999999999988</v>
      </c>
      <c r="Q596">
        <f t="shared" si="81"/>
        <v>-12.999999999999989</v>
      </c>
      <c r="R596">
        <f t="shared" si="82"/>
        <v>-10.999999999999943</v>
      </c>
    </row>
    <row r="597" spans="1:18">
      <c r="A597" s="9">
        <v>37580</v>
      </c>
      <c r="B597">
        <v>1.62</v>
      </c>
      <c r="C597">
        <v>2.23</v>
      </c>
      <c r="D597">
        <v>2.74</v>
      </c>
      <c r="E597">
        <v>3.13</v>
      </c>
      <c r="F597">
        <v>3.45</v>
      </c>
      <c r="G597">
        <v>3.95</v>
      </c>
      <c r="H597">
        <v>4.42</v>
      </c>
      <c r="I597">
        <v>5.24</v>
      </c>
      <c r="K597">
        <f t="shared" si="75"/>
        <v>0</v>
      </c>
      <c r="L597">
        <f t="shared" si="76"/>
        <v>0.99999999999997868</v>
      </c>
      <c r="M597">
        <f t="shared" si="77"/>
        <v>1.0000000000000231</v>
      </c>
      <c r="N597">
        <f t="shared" si="78"/>
        <v>2.0000000000000018</v>
      </c>
      <c r="O597">
        <f t="shared" si="79"/>
        <v>2.0000000000000018</v>
      </c>
      <c r="P597">
        <f t="shared" si="80"/>
        <v>2.0000000000000018</v>
      </c>
      <c r="Q597">
        <f t="shared" si="81"/>
        <v>0.99999999999997868</v>
      </c>
      <c r="R597">
        <f t="shared" si="82"/>
        <v>0</v>
      </c>
    </row>
    <row r="598" spans="1:18">
      <c r="A598" s="9">
        <v>37581</v>
      </c>
      <c r="B598">
        <v>1.72</v>
      </c>
      <c r="C598">
        <v>2.41</v>
      </c>
      <c r="D598">
        <v>2.95</v>
      </c>
      <c r="E598">
        <v>3.36</v>
      </c>
      <c r="F598">
        <v>3.7</v>
      </c>
      <c r="G598">
        <v>4.18</v>
      </c>
      <c r="H598">
        <v>4.66</v>
      </c>
      <c r="I598">
        <v>5.44</v>
      </c>
      <c r="K598">
        <f t="shared" si="75"/>
        <v>9.9999999999999858</v>
      </c>
      <c r="L598">
        <f t="shared" si="76"/>
        <v>18.000000000000014</v>
      </c>
      <c r="M598">
        <f t="shared" si="77"/>
        <v>20.999999999999996</v>
      </c>
      <c r="N598">
        <f t="shared" si="78"/>
        <v>23</v>
      </c>
      <c r="O598">
        <f t="shared" si="79"/>
        <v>25</v>
      </c>
      <c r="P598">
        <f t="shared" si="80"/>
        <v>22.999999999999954</v>
      </c>
      <c r="Q598">
        <f t="shared" si="81"/>
        <v>24.000000000000021</v>
      </c>
      <c r="R598">
        <f t="shared" si="82"/>
        <v>20.000000000000018</v>
      </c>
    </row>
    <row r="599" spans="1:18">
      <c r="A599" s="9">
        <v>37582</v>
      </c>
      <c r="B599">
        <v>1.72</v>
      </c>
      <c r="C599">
        <v>2.4300000000000002</v>
      </c>
      <c r="D599">
        <v>2.98</v>
      </c>
      <c r="E599">
        <v>3.37</v>
      </c>
      <c r="F599">
        <v>3.69</v>
      </c>
      <c r="G599">
        <v>4.18</v>
      </c>
      <c r="H599">
        <v>4.6500000000000004</v>
      </c>
      <c r="I599">
        <v>5.44</v>
      </c>
      <c r="K599">
        <f t="shared" si="75"/>
        <v>0</v>
      </c>
      <c r="L599">
        <f t="shared" si="76"/>
        <v>2.0000000000000018</v>
      </c>
      <c r="M599">
        <f t="shared" si="77"/>
        <v>2.9999999999999805</v>
      </c>
      <c r="N599">
        <f t="shared" si="78"/>
        <v>1.0000000000000231</v>
      </c>
      <c r="O599">
        <f t="shared" si="79"/>
        <v>-1.0000000000000231</v>
      </c>
      <c r="P599">
        <f t="shared" si="80"/>
        <v>0</v>
      </c>
      <c r="Q599">
        <f t="shared" si="81"/>
        <v>-0.99999999999997868</v>
      </c>
      <c r="R599">
        <f t="shared" si="82"/>
        <v>0</v>
      </c>
    </row>
    <row r="600" spans="1:18">
      <c r="A600" s="9">
        <v>37585</v>
      </c>
      <c r="B600">
        <v>1.72</v>
      </c>
      <c r="C600">
        <v>2.4300000000000002</v>
      </c>
      <c r="D600">
        <v>2.98</v>
      </c>
      <c r="E600">
        <v>3.37</v>
      </c>
      <c r="F600">
        <v>3.69</v>
      </c>
      <c r="G600">
        <v>4.18</v>
      </c>
      <c r="H600">
        <v>4.6399999999999997</v>
      </c>
      <c r="I600">
        <v>5.43</v>
      </c>
      <c r="K600">
        <f t="shared" si="75"/>
        <v>0</v>
      </c>
      <c r="L600">
        <f t="shared" si="76"/>
        <v>0</v>
      </c>
      <c r="M600">
        <f t="shared" si="77"/>
        <v>0</v>
      </c>
      <c r="N600">
        <f t="shared" si="78"/>
        <v>0</v>
      </c>
      <c r="O600">
        <f t="shared" si="79"/>
        <v>0</v>
      </c>
      <c r="P600">
        <f t="shared" si="80"/>
        <v>0</v>
      </c>
      <c r="Q600">
        <f t="shared" si="81"/>
        <v>-1.0000000000000675</v>
      </c>
      <c r="R600">
        <f t="shared" si="82"/>
        <v>-1.0000000000000675</v>
      </c>
    </row>
    <row r="601" spans="1:18">
      <c r="A601" s="9">
        <v>37586</v>
      </c>
      <c r="B601">
        <v>1.65</v>
      </c>
      <c r="C601">
        <v>2.34</v>
      </c>
      <c r="D601">
        <v>2.9</v>
      </c>
      <c r="E601">
        <v>3.3</v>
      </c>
      <c r="F601">
        <v>3.61</v>
      </c>
      <c r="G601">
        <v>4.09</v>
      </c>
      <c r="H601">
        <v>4.5599999999999996</v>
      </c>
      <c r="I601">
        <v>5.38</v>
      </c>
      <c r="K601">
        <f t="shared" si="75"/>
        <v>-7.0000000000000062</v>
      </c>
      <c r="L601">
        <f t="shared" si="76"/>
        <v>-9.0000000000000302</v>
      </c>
      <c r="M601">
        <f t="shared" si="77"/>
        <v>-8.0000000000000071</v>
      </c>
      <c r="N601">
        <f t="shared" si="78"/>
        <v>-7.0000000000000284</v>
      </c>
      <c r="O601">
        <f t="shared" si="79"/>
        <v>-8.0000000000000071</v>
      </c>
      <c r="P601">
        <f t="shared" si="80"/>
        <v>-8.9999999999999858</v>
      </c>
      <c r="Q601">
        <f t="shared" si="81"/>
        <v>-8.0000000000000071</v>
      </c>
      <c r="R601">
        <f t="shared" si="82"/>
        <v>-4.9999999999999822</v>
      </c>
    </row>
    <row r="602" spans="1:18">
      <c r="A602" s="9">
        <v>37587</v>
      </c>
      <c r="B602">
        <v>1.73</v>
      </c>
      <c r="C602">
        <v>2.4500000000000002</v>
      </c>
      <c r="D602">
        <v>3.02</v>
      </c>
      <c r="E602">
        <v>3.43</v>
      </c>
      <c r="F602">
        <v>3.75</v>
      </c>
      <c r="G602">
        <v>4.2300000000000004</v>
      </c>
      <c r="H602">
        <v>4.6900000000000004</v>
      </c>
      <c r="I602">
        <v>5.48</v>
      </c>
      <c r="K602">
        <f t="shared" si="75"/>
        <v>8.0000000000000071</v>
      </c>
      <c r="L602">
        <f t="shared" si="76"/>
        <v>11.000000000000032</v>
      </c>
      <c r="M602">
        <f t="shared" si="77"/>
        <v>12.000000000000011</v>
      </c>
      <c r="N602">
        <f t="shared" si="78"/>
        <v>13.000000000000034</v>
      </c>
      <c r="O602">
        <f t="shared" si="79"/>
        <v>14.000000000000012</v>
      </c>
      <c r="P602">
        <f t="shared" si="80"/>
        <v>14.000000000000057</v>
      </c>
      <c r="Q602">
        <f t="shared" si="81"/>
        <v>13.000000000000078</v>
      </c>
      <c r="R602">
        <f t="shared" si="82"/>
        <v>10.000000000000053</v>
      </c>
    </row>
    <row r="603" spans="1:18">
      <c r="A603" s="9">
        <v>37589</v>
      </c>
      <c r="B603">
        <v>1.7</v>
      </c>
      <c r="C603">
        <v>2.44</v>
      </c>
      <c r="D603">
        <v>3.02</v>
      </c>
      <c r="E603">
        <v>3.43</v>
      </c>
      <c r="F603">
        <v>3.75</v>
      </c>
      <c r="G603">
        <v>4.24</v>
      </c>
      <c r="H603">
        <v>4.71</v>
      </c>
      <c r="I603">
        <v>5.48</v>
      </c>
      <c r="K603">
        <f t="shared" si="75"/>
        <v>-3.0000000000000027</v>
      </c>
      <c r="L603">
        <f t="shared" si="76"/>
        <v>-1.0000000000000231</v>
      </c>
      <c r="M603">
        <f t="shared" si="77"/>
        <v>0</v>
      </c>
      <c r="N603">
        <f t="shared" si="78"/>
        <v>0</v>
      </c>
      <c r="O603">
        <f t="shared" si="79"/>
        <v>0</v>
      </c>
      <c r="P603">
        <f t="shared" si="80"/>
        <v>0.99999999999997868</v>
      </c>
      <c r="Q603">
        <f t="shared" si="81"/>
        <v>1.9999999999999574</v>
      </c>
      <c r="R603">
        <f t="shared" si="82"/>
        <v>0</v>
      </c>
    </row>
    <row r="604" spans="1:18">
      <c r="A604" s="9">
        <v>37592</v>
      </c>
      <c r="B604">
        <v>1.7</v>
      </c>
      <c r="C604">
        <v>2.4300000000000002</v>
      </c>
      <c r="D604">
        <v>3.03</v>
      </c>
      <c r="E604">
        <v>3.43</v>
      </c>
      <c r="F604">
        <v>3.75</v>
      </c>
      <c r="G604">
        <v>4.24</v>
      </c>
      <c r="H604">
        <v>4.7</v>
      </c>
      <c r="I604">
        <v>5.46</v>
      </c>
      <c r="K604">
        <f t="shared" si="75"/>
        <v>0</v>
      </c>
      <c r="L604">
        <f t="shared" si="76"/>
        <v>-0.99999999999997868</v>
      </c>
      <c r="M604">
        <f t="shared" si="77"/>
        <v>0.99999999999997868</v>
      </c>
      <c r="N604">
        <f t="shared" si="78"/>
        <v>0</v>
      </c>
      <c r="O604">
        <f t="shared" si="79"/>
        <v>0</v>
      </c>
      <c r="P604">
        <f t="shared" si="80"/>
        <v>0</v>
      </c>
      <c r="Q604">
        <f t="shared" si="81"/>
        <v>-0.99999999999997868</v>
      </c>
      <c r="R604">
        <f t="shared" si="82"/>
        <v>-2.0000000000000462</v>
      </c>
    </row>
    <row r="605" spans="1:18">
      <c r="A605" s="9">
        <v>37593</v>
      </c>
      <c r="B605">
        <v>1.7</v>
      </c>
      <c r="C605">
        <v>2.4300000000000002</v>
      </c>
      <c r="D605">
        <v>3.02</v>
      </c>
      <c r="E605">
        <v>3.42</v>
      </c>
      <c r="F605">
        <v>3.74</v>
      </c>
      <c r="G605">
        <v>4.22</v>
      </c>
      <c r="H605">
        <v>4.67</v>
      </c>
      <c r="I605">
        <v>5.44</v>
      </c>
      <c r="K605">
        <f t="shared" si="75"/>
        <v>0</v>
      </c>
      <c r="L605">
        <f t="shared" si="76"/>
        <v>0</v>
      </c>
      <c r="M605">
        <f t="shared" si="77"/>
        <v>-0.99999999999997868</v>
      </c>
      <c r="N605">
        <f t="shared" si="78"/>
        <v>-1.0000000000000231</v>
      </c>
      <c r="O605">
        <f t="shared" si="79"/>
        <v>-0.99999999999997868</v>
      </c>
      <c r="P605">
        <f t="shared" si="80"/>
        <v>-2.0000000000000462</v>
      </c>
      <c r="Q605">
        <f t="shared" si="81"/>
        <v>-3.0000000000000249</v>
      </c>
      <c r="R605">
        <f t="shared" si="82"/>
        <v>-1.9999999999999574</v>
      </c>
    </row>
    <row r="606" spans="1:18">
      <c r="A606" s="9">
        <v>37594</v>
      </c>
      <c r="B606">
        <v>1.68</v>
      </c>
      <c r="C606">
        <v>2.39</v>
      </c>
      <c r="D606">
        <v>2.97</v>
      </c>
      <c r="E606">
        <v>3.37</v>
      </c>
      <c r="F606">
        <v>3.69</v>
      </c>
      <c r="G606">
        <v>4.18</v>
      </c>
      <c r="H606">
        <v>4.63</v>
      </c>
      <c r="I606">
        <v>5.41</v>
      </c>
      <c r="K606">
        <f t="shared" si="75"/>
        <v>-2.0000000000000018</v>
      </c>
      <c r="L606">
        <f t="shared" si="76"/>
        <v>-4.0000000000000036</v>
      </c>
      <c r="M606">
        <f t="shared" si="77"/>
        <v>-4.9999999999999822</v>
      </c>
      <c r="N606">
        <f t="shared" si="78"/>
        <v>-4.9999999999999822</v>
      </c>
      <c r="O606">
        <f t="shared" si="79"/>
        <v>-5.0000000000000266</v>
      </c>
      <c r="P606">
        <f t="shared" si="80"/>
        <v>-4.0000000000000036</v>
      </c>
      <c r="Q606">
        <f t="shared" si="81"/>
        <v>-4.0000000000000036</v>
      </c>
      <c r="R606">
        <f t="shared" si="82"/>
        <v>-3.0000000000000249</v>
      </c>
    </row>
    <row r="607" spans="1:18">
      <c r="A607" s="9">
        <v>37595</v>
      </c>
      <c r="B607">
        <v>1.67</v>
      </c>
      <c r="C607">
        <v>2.34</v>
      </c>
      <c r="D607">
        <v>2.91</v>
      </c>
      <c r="E607">
        <v>3.33</v>
      </c>
      <c r="F607">
        <v>3.64</v>
      </c>
      <c r="G607">
        <v>4.1399999999999997</v>
      </c>
      <c r="H607">
        <v>4.5999999999999996</v>
      </c>
      <c r="I607">
        <v>5.4</v>
      </c>
      <c r="K607">
        <f t="shared" si="75"/>
        <v>-1.0000000000000009</v>
      </c>
      <c r="L607">
        <f t="shared" si="76"/>
        <v>-5.0000000000000266</v>
      </c>
      <c r="M607">
        <f t="shared" si="77"/>
        <v>-6.0000000000000053</v>
      </c>
      <c r="N607">
        <f t="shared" si="78"/>
        <v>-4.0000000000000036</v>
      </c>
      <c r="O607">
        <f t="shared" si="79"/>
        <v>-4.9999999999999822</v>
      </c>
      <c r="P607">
        <f t="shared" si="80"/>
        <v>-4.0000000000000036</v>
      </c>
      <c r="Q607">
        <f t="shared" si="81"/>
        <v>-3.0000000000000249</v>
      </c>
      <c r="R607">
        <f t="shared" si="82"/>
        <v>-0.99999999999997868</v>
      </c>
    </row>
    <row r="608" spans="1:18">
      <c r="A608" s="9">
        <v>37596</v>
      </c>
      <c r="B608">
        <v>1.62</v>
      </c>
      <c r="C608">
        <v>2.27</v>
      </c>
      <c r="D608">
        <v>2.84</v>
      </c>
      <c r="E608">
        <v>3.25</v>
      </c>
      <c r="F608">
        <v>3.58</v>
      </c>
      <c r="G608">
        <v>4.08</v>
      </c>
      <c r="H608">
        <v>4.5599999999999996</v>
      </c>
      <c r="I608">
        <v>5.39</v>
      </c>
      <c r="K608">
        <f t="shared" si="75"/>
        <v>-4.9999999999999822</v>
      </c>
      <c r="L608">
        <f t="shared" si="76"/>
        <v>-6.999999999999984</v>
      </c>
      <c r="M608">
        <f t="shared" si="77"/>
        <v>-7.0000000000000284</v>
      </c>
      <c r="N608">
        <f t="shared" si="78"/>
        <v>-8.0000000000000071</v>
      </c>
      <c r="O608">
        <f t="shared" si="79"/>
        <v>-6.0000000000000053</v>
      </c>
      <c r="P608">
        <f t="shared" si="80"/>
        <v>-5.9999999999999609</v>
      </c>
      <c r="Q608">
        <f t="shared" si="81"/>
        <v>-4.0000000000000036</v>
      </c>
      <c r="R608">
        <f t="shared" si="82"/>
        <v>-1.0000000000000675</v>
      </c>
    </row>
    <row r="609" spans="1:18">
      <c r="A609" s="9">
        <v>37599</v>
      </c>
      <c r="B609">
        <v>1.6</v>
      </c>
      <c r="C609">
        <v>2.2200000000000002</v>
      </c>
      <c r="D609">
        <v>2.78</v>
      </c>
      <c r="E609">
        <v>3.19</v>
      </c>
      <c r="F609">
        <v>3.52</v>
      </c>
      <c r="G609">
        <v>4.03</v>
      </c>
      <c r="H609">
        <v>4.51</v>
      </c>
      <c r="I609">
        <v>5.34</v>
      </c>
      <c r="K609">
        <f t="shared" si="75"/>
        <v>-2.0000000000000018</v>
      </c>
      <c r="L609">
        <f t="shared" si="76"/>
        <v>-4.9999999999999822</v>
      </c>
      <c r="M609">
        <f t="shared" si="77"/>
        <v>-6.0000000000000053</v>
      </c>
      <c r="N609">
        <f t="shared" si="78"/>
        <v>-6.0000000000000053</v>
      </c>
      <c r="O609">
        <f t="shared" si="79"/>
        <v>-6.0000000000000053</v>
      </c>
      <c r="P609">
        <f t="shared" si="80"/>
        <v>-4.9999999999999822</v>
      </c>
      <c r="Q609">
        <f t="shared" si="81"/>
        <v>-4.9999999999999822</v>
      </c>
      <c r="R609">
        <f t="shared" si="82"/>
        <v>-4.9999999999999822</v>
      </c>
    </row>
    <row r="610" spans="1:18">
      <c r="A610" s="9">
        <v>37600</v>
      </c>
      <c r="B610">
        <v>1.6</v>
      </c>
      <c r="C610">
        <v>2.2200000000000002</v>
      </c>
      <c r="D610">
        <v>2.77</v>
      </c>
      <c r="E610">
        <v>3.17</v>
      </c>
      <c r="F610">
        <v>3.49</v>
      </c>
      <c r="G610">
        <v>4.01</v>
      </c>
      <c r="H610">
        <v>4.49</v>
      </c>
      <c r="I610">
        <v>5.31</v>
      </c>
      <c r="K610">
        <f t="shared" si="75"/>
        <v>0</v>
      </c>
      <c r="L610">
        <f t="shared" si="76"/>
        <v>0</v>
      </c>
      <c r="M610">
        <f t="shared" si="77"/>
        <v>-0.99999999999997868</v>
      </c>
      <c r="N610">
        <f t="shared" si="78"/>
        <v>-2.0000000000000018</v>
      </c>
      <c r="O610">
        <f t="shared" si="79"/>
        <v>-2.9999999999999805</v>
      </c>
      <c r="P610">
        <f t="shared" si="80"/>
        <v>-2.0000000000000462</v>
      </c>
      <c r="Q610">
        <f t="shared" si="81"/>
        <v>-1.9999999999999574</v>
      </c>
      <c r="R610">
        <f t="shared" si="82"/>
        <v>-3.0000000000000249</v>
      </c>
    </row>
    <row r="611" spans="1:18">
      <c r="A611" s="9">
        <v>37601</v>
      </c>
      <c r="B611">
        <v>1.59</v>
      </c>
      <c r="C611">
        <v>2.21</v>
      </c>
      <c r="D611">
        <v>2.75</v>
      </c>
      <c r="E611">
        <v>3.15</v>
      </c>
      <c r="F611">
        <v>3.46</v>
      </c>
      <c r="G611">
        <v>3.98</v>
      </c>
      <c r="H611">
        <v>4.47</v>
      </c>
      <c r="I611">
        <v>5.27</v>
      </c>
      <c r="K611">
        <f t="shared" si="75"/>
        <v>-1.0000000000000009</v>
      </c>
      <c r="L611">
        <f t="shared" si="76"/>
        <v>-1.0000000000000231</v>
      </c>
      <c r="M611">
        <f t="shared" si="77"/>
        <v>-2.0000000000000018</v>
      </c>
      <c r="N611">
        <f t="shared" si="78"/>
        <v>-2.0000000000000018</v>
      </c>
      <c r="O611">
        <f t="shared" si="79"/>
        <v>-3.0000000000000249</v>
      </c>
      <c r="P611">
        <f t="shared" si="80"/>
        <v>-2.9999999999999805</v>
      </c>
      <c r="Q611">
        <f t="shared" si="81"/>
        <v>-2.0000000000000462</v>
      </c>
      <c r="R611">
        <f t="shared" si="82"/>
        <v>-4.0000000000000036</v>
      </c>
    </row>
    <row r="612" spans="1:18">
      <c r="A612" s="9">
        <v>37602</v>
      </c>
      <c r="B612">
        <v>1.59</v>
      </c>
      <c r="C612">
        <v>2.2000000000000002</v>
      </c>
      <c r="D612">
        <v>2.75</v>
      </c>
      <c r="E612">
        <v>3.16</v>
      </c>
      <c r="F612">
        <v>3.48</v>
      </c>
      <c r="G612">
        <v>4</v>
      </c>
      <c r="H612">
        <v>4.4800000000000004</v>
      </c>
      <c r="I612">
        <v>5.28</v>
      </c>
      <c r="K612">
        <f t="shared" si="75"/>
        <v>0</v>
      </c>
      <c r="L612">
        <f t="shared" si="76"/>
        <v>-0.99999999999997868</v>
      </c>
      <c r="M612">
        <f t="shared" si="77"/>
        <v>0</v>
      </c>
      <c r="N612">
        <f t="shared" si="78"/>
        <v>1.0000000000000231</v>
      </c>
      <c r="O612">
        <f t="shared" si="79"/>
        <v>2.0000000000000018</v>
      </c>
      <c r="P612">
        <f t="shared" si="80"/>
        <v>2.0000000000000018</v>
      </c>
      <c r="Q612">
        <f t="shared" si="81"/>
        <v>1.0000000000000675</v>
      </c>
      <c r="R612">
        <f t="shared" si="82"/>
        <v>1.0000000000000675</v>
      </c>
    </row>
    <row r="613" spans="1:18">
      <c r="A613" s="9">
        <v>37603</v>
      </c>
      <c r="B613">
        <v>1.57</v>
      </c>
      <c r="C613">
        <v>2.1800000000000002</v>
      </c>
      <c r="D613">
        <v>2.73</v>
      </c>
      <c r="E613">
        <v>3.15</v>
      </c>
      <c r="F613">
        <v>3.48</v>
      </c>
      <c r="G613">
        <v>4</v>
      </c>
      <c r="H613">
        <v>4.5</v>
      </c>
      <c r="I613">
        <v>5.29</v>
      </c>
      <c r="K613">
        <f t="shared" si="75"/>
        <v>-2.0000000000000018</v>
      </c>
      <c r="L613">
        <f t="shared" si="76"/>
        <v>-2.0000000000000018</v>
      </c>
      <c r="M613">
        <f t="shared" si="77"/>
        <v>-2.0000000000000018</v>
      </c>
      <c r="N613">
        <f t="shared" si="78"/>
        <v>-1.0000000000000231</v>
      </c>
      <c r="O613">
        <f t="shared" si="79"/>
        <v>0</v>
      </c>
      <c r="P613">
        <f t="shared" si="80"/>
        <v>0</v>
      </c>
      <c r="Q613">
        <f t="shared" si="81"/>
        <v>1.9999999999999574</v>
      </c>
      <c r="R613">
        <f t="shared" si="82"/>
        <v>0.99999999999997868</v>
      </c>
    </row>
    <row r="614" spans="1:18">
      <c r="A614" s="9">
        <v>37606</v>
      </c>
      <c r="B614">
        <v>1.59</v>
      </c>
      <c r="C614">
        <v>2.2200000000000002</v>
      </c>
      <c r="D614">
        <v>2.77</v>
      </c>
      <c r="E614">
        <v>3.18</v>
      </c>
      <c r="F614">
        <v>3.52</v>
      </c>
      <c r="G614">
        <v>4.04</v>
      </c>
      <c r="H614">
        <v>4.54</v>
      </c>
      <c r="I614">
        <v>5.34</v>
      </c>
      <c r="K614">
        <f t="shared" si="75"/>
        <v>2.0000000000000018</v>
      </c>
      <c r="L614">
        <f t="shared" si="76"/>
        <v>4.0000000000000036</v>
      </c>
      <c r="M614">
        <f t="shared" si="77"/>
        <v>4.0000000000000036</v>
      </c>
      <c r="N614">
        <f t="shared" si="78"/>
        <v>3.0000000000000249</v>
      </c>
      <c r="O614">
        <f t="shared" si="79"/>
        <v>4.0000000000000036</v>
      </c>
      <c r="P614">
        <f t="shared" si="80"/>
        <v>4.0000000000000036</v>
      </c>
      <c r="Q614">
        <f t="shared" si="81"/>
        <v>4.0000000000000036</v>
      </c>
      <c r="R614">
        <f t="shared" si="82"/>
        <v>4.9999999999999822</v>
      </c>
    </row>
    <row r="615" spans="1:18">
      <c r="A615" s="9">
        <v>37607</v>
      </c>
      <c r="B615">
        <v>1.58</v>
      </c>
      <c r="C615">
        <v>2.2200000000000002</v>
      </c>
      <c r="D615">
        <v>2.78</v>
      </c>
      <c r="E615">
        <v>3.2</v>
      </c>
      <c r="F615">
        <v>3.54</v>
      </c>
      <c r="G615">
        <v>4.07</v>
      </c>
      <c r="H615">
        <v>4.57</v>
      </c>
      <c r="I615">
        <v>5.39</v>
      </c>
      <c r="K615">
        <f t="shared" si="75"/>
        <v>-1.0000000000000009</v>
      </c>
      <c r="L615">
        <f t="shared" si="76"/>
        <v>0</v>
      </c>
      <c r="M615">
        <f t="shared" si="77"/>
        <v>0.99999999999997868</v>
      </c>
      <c r="N615">
        <f t="shared" si="78"/>
        <v>2.0000000000000018</v>
      </c>
      <c r="O615">
        <f t="shared" si="79"/>
        <v>2.0000000000000018</v>
      </c>
      <c r="P615">
        <f t="shared" si="80"/>
        <v>3.0000000000000249</v>
      </c>
      <c r="Q615">
        <f t="shared" si="81"/>
        <v>3.0000000000000249</v>
      </c>
      <c r="R615">
        <f t="shared" si="82"/>
        <v>4.9999999999999822</v>
      </c>
    </row>
    <row r="616" spans="1:18">
      <c r="A616" s="9">
        <v>37608</v>
      </c>
      <c r="B616">
        <v>1.53</v>
      </c>
      <c r="C616">
        <v>2.12</v>
      </c>
      <c r="D616">
        <v>2.69</v>
      </c>
      <c r="E616">
        <v>3.11</v>
      </c>
      <c r="F616">
        <v>3.45</v>
      </c>
      <c r="G616">
        <v>3.99</v>
      </c>
      <c r="H616">
        <v>4.5</v>
      </c>
      <c r="I616">
        <v>5.36</v>
      </c>
      <c r="K616">
        <f t="shared" si="75"/>
        <v>-5.0000000000000044</v>
      </c>
      <c r="L616">
        <f t="shared" si="76"/>
        <v>-10.000000000000009</v>
      </c>
      <c r="M616">
        <f t="shared" si="77"/>
        <v>-8.9999999999999858</v>
      </c>
      <c r="N616">
        <f t="shared" si="78"/>
        <v>-9.0000000000000302</v>
      </c>
      <c r="O616">
        <f t="shared" si="79"/>
        <v>-8.9999999999999858</v>
      </c>
      <c r="P616">
        <f t="shared" si="80"/>
        <v>-8.0000000000000071</v>
      </c>
      <c r="Q616">
        <f t="shared" si="81"/>
        <v>-7.0000000000000284</v>
      </c>
      <c r="R616">
        <f t="shared" si="82"/>
        <v>-2.9999999999999361</v>
      </c>
    </row>
    <row r="617" spans="1:18">
      <c r="A617" s="9">
        <v>37609</v>
      </c>
      <c r="B617">
        <v>1.52</v>
      </c>
      <c r="C617">
        <v>2.11</v>
      </c>
      <c r="D617">
        <v>2.66</v>
      </c>
      <c r="E617">
        <v>3.07</v>
      </c>
      <c r="F617">
        <v>3.4</v>
      </c>
      <c r="G617">
        <v>3.93</v>
      </c>
      <c r="H617">
        <v>4.45</v>
      </c>
      <c r="I617">
        <v>5.32</v>
      </c>
      <c r="K617">
        <f t="shared" si="75"/>
        <v>-1.0000000000000009</v>
      </c>
      <c r="L617">
        <f t="shared" si="76"/>
        <v>-1.0000000000000231</v>
      </c>
      <c r="M617">
        <f t="shared" si="77"/>
        <v>-2.9999999999999805</v>
      </c>
      <c r="N617">
        <f t="shared" si="78"/>
        <v>-4.0000000000000036</v>
      </c>
      <c r="O617">
        <f t="shared" si="79"/>
        <v>-5.0000000000000266</v>
      </c>
      <c r="P617">
        <f t="shared" si="80"/>
        <v>-6.0000000000000053</v>
      </c>
      <c r="Q617">
        <f t="shared" si="81"/>
        <v>-4.9999999999999822</v>
      </c>
      <c r="R617">
        <f t="shared" si="82"/>
        <v>-4.0000000000000036</v>
      </c>
    </row>
    <row r="618" spans="1:18">
      <c r="A618" s="9">
        <v>37610</v>
      </c>
      <c r="B618">
        <v>1.53</v>
      </c>
      <c r="C618">
        <v>2.11</v>
      </c>
      <c r="D618">
        <v>2.66</v>
      </c>
      <c r="E618">
        <v>3.07</v>
      </c>
      <c r="F618">
        <v>3.4</v>
      </c>
      <c r="G618">
        <v>3.92</v>
      </c>
      <c r="H618">
        <v>4.43</v>
      </c>
      <c r="I618">
        <v>5.28</v>
      </c>
      <c r="K618">
        <f t="shared" si="75"/>
        <v>1.0000000000000009</v>
      </c>
      <c r="L618">
        <f t="shared" si="76"/>
        <v>0</v>
      </c>
      <c r="M618">
        <f t="shared" si="77"/>
        <v>0</v>
      </c>
      <c r="N618">
        <f t="shared" si="78"/>
        <v>0</v>
      </c>
      <c r="O618">
        <f t="shared" si="79"/>
        <v>0</v>
      </c>
      <c r="P618">
        <f t="shared" si="80"/>
        <v>-1.0000000000000231</v>
      </c>
      <c r="Q618">
        <f t="shared" si="81"/>
        <v>-2.0000000000000462</v>
      </c>
      <c r="R618">
        <f t="shared" si="82"/>
        <v>-4.0000000000000036</v>
      </c>
    </row>
    <row r="619" spans="1:18">
      <c r="A619" s="9">
        <v>37613</v>
      </c>
      <c r="B619">
        <v>1.55</v>
      </c>
      <c r="C619">
        <v>2.13</v>
      </c>
      <c r="D619">
        <v>2.68</v>
      </c>
      <c r="E619">
        <v>3.08</v>
      </c>
      <c r="F619">
        <v>3.41</v>
      </c>
      <c r="G619">
        <v>3.94</v>
      </c>
      <c r="H619">
        <v>4.45</v>
      </c>
      <c r="I619">
        <v>5.29</v>
      </c>
      <c r="K619">
        <f t="shared" si="75"/>
        <v>2.0000000000000018</v>
      </c>
      <c r="L619">
        <f t="shared" si="76"/>
        <v>2.0000000000000018</v>
      </c>
      <c r="M619">
        <f t="shared" si="77"/>
        <v>2.0000000000000018</v>
      </c>
      <c r="N619">
        <f t="shared" si="78"/>
        <v>1.0000000000000231</v>
      </c>
      <c r="O619">
        <f t="shared" si="79"/>
        <v>1.0000000000000231</v>
      </c>
      <c r="P619">
        <f t="shared" si="80"/>
        <v>2.0000000000000018</v>
      </c>
      <c r="Q619">
        <f t="shared" si="81"/>
        <v>2.0000000000000462</v>
      </c>
      <c r="R619">
        <f t="shared" si="82"/>
        <v>0.99999999999997868</v>
      </c>
    </row>
    <row r="620" spans="1:18">
      <c r="A620" s="9">
        <v>37614</v>
      </c>
      <c r="B620">
        <v>1.49</v>
      </c>
      <c r="C620">
        <v>2.0299999999999998</v>
      </c>
      <c r="D620">
        <v>2.57</v>
      </c>
      <c r="E620">
        <v>2.99</v>
      </c>
      <c r="F620">
        <v>3.33</v>
      </c>
      <c r="G620">
        <v>3.85</v>
      </c>
      <c r="H620">
        <v>4.37</v>
      </c>
      <c r="I620">
        <v>5.23</v>
      </c>
      <c r="K620">
        <f t="shared" si="75"/>
        <v>-6.0000000000000053</v>
      </c>
      <c r="L620">
        <f t="shared" si="76"/>
        <v>-10.000000000000009</v>
      </c>
      <c r="M620">
        <f t="shared" si="77"/>
        <v>-11.000000000000032</v>
      </c>
      <c r="N620">
        <f t="shared" si="78"/>
        <v>-8.9999999999999858</v>
      </c>
      <c r="O620">
        <f t="shared" si="79"/>
        <v>-8.0000000000000071</v>
      </c>
      <c r="P620">
        <f t="shared" si="80"/>
        <v>-8.9999999999999858</v>
      </c>
      <c r="Q620">
        <f t="shared" si="81"/>
        <v>-8.0000000000000071</v>
      </c>
      <c r="R620">
        <f t="shared" si="82"/>
        <v>-5.9999999999999609</v>
      </c>
    </row>
    <row r="621" spans="1:18">
      <c r="A621" s="9">
        <v>37616</v>
      </c>
      <c r="B621">
        <v>1.5</v>
      </c>
      <c r="C621">
        <v>2.0299999999999998</v>
      </c>
      <c r="D621">
        <v>2.58</v>
      </c>
      <c r="E621">
        <v>3</v>
      </c>
      <c r="F621">
        <v>3.35</v>
      </c>
      <c r="G621">
        <v>3.88</v>
      </c>
      <c r="H621">
        <v>4.3899999999999997</v>
      </c>
      <c r="I621">
        <v>5.25</v>
      </c>
      <c r="K621">
        <f t="shared" si="75"/>
        <v>1.0000000000000009</v>
      </c>
      <c r="L621">
        <f t="shared" si="76"/>
        <v>0</v>
      </c>
      <c r="M621">
        <f t="shared" si="77"/>
        <v>1.0000000000000231</v>
      </c>
      <c r="N621">
        <f t="shared" si="78"/>
        <v>0.99999999999997868</v>
      </c>
      <c r="O621">
        <f t="shared" si="79"/>
        <v>2.0000000000000018</v>
      </c>
      <c r="P621">
        <f t="shared" si="80"/>
        <v>2.9999999999999805</v>
      </c>
      <c r="Q621">
        <f t="shared" si="81"/>
        <v>1.9999999999999574</v>
      </c>
      <c r="R621">
        <f t="shared" si="82"/>
        <v>1.9999999999999574</v>
      </c>
    </row>
    <row r="622" spans="1:18">
      <c r="A622" s="9">
        <v>37617</v>
      </c>
      <c r="B622">
        <v>1.45</v>
      </c>
      <c r="C622">
        <v>1.96</v>
      </c>
      <c r="D622">
        <v>2.5</v>
      </c>
      <c r="E622">
        <v>2.92</v>
      </c>
      <c r="F622">
        <v>3.27</v>
      </c>
      <c r="G622">
        <v>3.8</v>
      </c>
      <c r="H622">
        <v>4.32</v>
      </c>
      <c r="I622">
        <v>5.2</v>
      </c>
      <c r="K622">
        <f t="shared" si="75"/>
        <v>-5.0000000000000044</v>
      </c>
      <c r="L622">
        <f t="shared" si="76"/>
        <v>-6.999999999999984</v>
      </c>
      <c r="M622">
        <f t="shared" si="77"/>
        <v>-8.0000000000000071</v>
      </c>
      <c r="N622">
        <f t="shared" si="78"/>
        <v>-8.0000000000000071</v>
      </c>
      <c r="O622">
        <f t="shared" si="79"/>
        <v>-8.0000000000000071</v>
      </c>
      <c r="P622">
        <f t="shared" si="80"/>
        <v>-8.0000000000000071</v>
      </c>
      <c r="Q622">
        <f t="shared" si="81"/>
        <v>-6.9999999999999396</v>
      </c>
      <c r="R622">
        <f t="shared" si="82"/>
        <v>-4.9999999999999822</v>
      </c>
    </row>
    <row r="623" spans="1:18">
      <c r="A623" s="9">
        <v>37620</v>
      </c>
      <c r="B623">
        <v>1.45</v>
      </c>
      <c r="C623">
        <v>1.91</v>
      </c>
      <c r="D623">
        <v>2.44</v>
      </c>
      <c r="E623">
        <v>2.85</v>
      </c>
      <c r="F623">
        <v>3.19</v>
      </c>
      <c r="G623">
        <v>3.73</v>
      </c>
      <c r="H623">
        <v>4.26</v>
      </c>
      <c r="I623">
        <v>5.16</v>
      </c>
      <c r="K623">
        <f t="shared" si="75"/>
        <v>0</v>
      </c>
      <c r="L623">
        <f t="shared" si="76"/>
        <v>-5.0000000000000044</v>
      </c>
      <c r="M623">
        <f t="shared" si="77"/>
        <v>-6.0000000000000053</v>
      </c>
      <c r="N623">
        <f t="shared" si="78"/>
        <v>-6.999999999999984</v>
      </c>
      <c r="O623">
        <f t="shared" si="79"/>
        <v>-8.0000000000000071</v>
      </c>
      <c r="P623">
        <f t="shared" si="80"/>
        <v>-6.999999999999984</v>
      </c>
      <c r="Q623">
        <f t="shared" si="81"/>
        <v>-6.0000000000000497</v>
      </c>
      <c r="R623">
        <f t="shared" si="82"/>
        <v>-4.0000000000000036</v>
      </c>
    </row>
    <row r="624" spans="1:18">
      <c r="A624" s="9">
        <v>37621</v>
      </c>
      <c r="B624">
        <v>1.42</v>
      </c>
      <c r="C624">
        <v>1.88</v>
      </c>
      <c r="D624">
        <v>2.39</v>
      </c>
      <c r="E624">
        <v>2.81</v>
      </c>
      <c r="F624">
        <v>3.14</v>
      </c>
      <c r="G624">
        <v>3.68</v>
      </c>
      <c r="H624">
        <v>4.22</v>
      </c>
      <c r="I624">
        <v>5.08</v>
      </c>
      <c r="K624">
        <f t="shared" si="75"/>
        <v>-3.0000000000000027</v>
      </c>
      <c r="L624">
        <f t="shared" si="76"/>
        <v>-3.0000000000000027</v>
      </c>
      <c r="M624">
        <f t="shared" si="77"/>
        <v>-4.9999999999999822</v>
      </c>
      <c r="N624">
        <f t="shared" si="78"/>
        <v>-4.0000000000000036</v>
      </c>
      <c r="O624">
        <f t="shared" si="79"/>
        <v>-4.9999999999999822</v>
      </c>
      <c r="P624">
        <f t="shared" si="80"/>
        <v>-4.9999999999999822</v>
      </c>
      <c r="Q624">
        <f t="shared" si="81"/>
        <v>-4.0000000000000036</v>
      </c>
      <c r="R624">
        <f t="shared" si="82"/>
        <v>-8.0000000000000071</v>
      </c>
    </row>
    <row r="625" spans="1:18">
      <c r="A625" s="9">
        <v>37623</v>
      </c>
      <c r="B625">
        <v>1.54</v>
      </c>
      <c r="C625">
        <v>2.1</v>
      </c>
      <c r="D625">
        <v>2.64</v>
      </c>
      <c r="E625">
        <v>3.07</v>
      </c>
      <c r="F625">
        <v>3.43</v>
      </c>
      <c r="G625">
        <v>3.96</v>
      </c>
      <c r="H625">
        <v>4.4800000000000004</v>
      </c>
      <c r="I625">
        <v>5.33</v>
      </c>
      <c r="K625">
        <f t="shared" si="75"/>
        <v>12.000000000000011</v>
      </c>
      <c r="L625">
        <f t="shared" si="76"/>
        <v>22.000000000000021</v>
      </c>
      <c r="M625">
        <f t="shared" si="77"/>
        <v>25</v>
      </c>
      <c r="N625">
        <f t="shared" si="78"/>
        <v>25.999999999999979</v>
      </c>
      <c r="O625">
        <f t="shared" si="79"/>
        <v>29.000000000000004</v>
      </c>
      <c r="P625">
        <f t="shared" si="80"/>
        <v>27.999999999999979</v>
      </c>
      <c r="Q625">
        <f t="shared" si="81"/>
        <v>26.000000000000068</v>
      </c>
      <c r="R625">
        <f t="shared" si="82"/>
        <v>25</v>
      </c>
    </row>
    <row r="626" spans="1:18">
      <c r="A626" s="9">
        <v>37624</v>
      </c>
      <c r="B626">
        <v>1.54</v>
      </c>
      <c r="C626">
        <v>2.11</v>
      </c>
      <c r="D626">
        <v>2.65</v>
      </c>
      <c r="E626">
        <v>3.09</v>
      </c>
      <c r="F626">
        <v>3.45</v>
      </c>
      <c r="G626">
        <v>3.99</v>
      </c>
      <c r="H626">
        <v>4.5</v>
      </c>
      <c r="I626">
        <v>5.34</v>
      </c>
      <c r="K626">
        <f t="shared" si="75"/>
        <v>0</v>
      </c>
      <c r="L626">
        <f t="shared" si="76"/>
        <v>0.99999999999997868</v>
      </c>
      <c r="M626">
        <f t="shared" si="77"/>
        <v>0.99999999999997868</v>
      </c>
      <c r="N626">
        <f t="shared" si="78"/>
        <v>2.0000000000000018</v>
      </c>
      <c r="O626">
        <f t="shared" si="79"/>
        <v>2.0000000000000018</v>
      </c>
      <c r="P626">
        <f t="shared" si="80"/>
        <v>3.0000000000000249</v>
      </c>
      <c r="Q626">
        <f t="shared" si="81"/>
        <v>1.9999999999999574</v>
      </c>
      <c r="R626">
        <f t="shared" si="82"/>
        <v>0.99999999999997868</v>
      </c>
    </row>
    <row r="627" spans="1:18">
      <c r="A627" s="9">
        <v>37627</v>
      </c>
      <c r="B627">
        <v>1.56</v>
      </c>
      <c r="C627">
        <v>2.15</v>
      </c>
      <c r="D627">
        <v>2.69</v>
      </c>
      <c r="E627">
        <v>3.13</v>
      </c>
      <c r="F627">
        <v>3.49</v>
      </c>
      <c r="G627">
        <v>4.0199999999999996</v>
      </c>
      <c r="H627">
        <v>4.5199999999999996</v>
      </c>
      <c r="I627">
        <v>5.35</v>
      </c>
      <c r="K627">
        <f t="shared" si="75"/>
        <v>2.0000000000000018</v>
      </c>
      <c r="L627">
        <f t="shared" si="76"/>
        <v>4.0000000000000036</v>
      </c>
      <c r="M627">
        <f t="shared" si="77"/>
        <v>4.0000000000000036</v>
      </c>
      <c r="N627">
        <f t="shared" si="78"/>
        <v>4.0000000000000036</v>
      </c>
      <c r="O627">
        <f t="shared" si="79"/>
        <v>4.0000000000000036</v>
      </c>
      <c r="P627">
        <f t="shared" si="80"/>
        <v>2.9999999999999361</v>
      </c>
      <c r="Q627">
        <f t="shared" si="81"/>
        <v>1.9999999999999574</v>
      </c>
      <c r="R627">
        <f t="shared" si="82"/>
        <v>0.99999999999997868</v>
      </c>
    </row>
    <row r="628" spans="1:18">
      <c r="A628" s="9">
        <v>37628</v>
      </c>
      <c r="B628">
        <v>1.52</v>
      </c>
      <c r="C628">
        <v>2.08</v>
      </c>
      <c r="D628">
        <v>2.63</v>
      </c>
      <c r="E628">
        <v>3.07</v>
      </c>
      <c r="F628">
        <v>3.44</v>
      </c>
      <c r="G628">
        <v>3.96</v>
      </c>
      <c r="H628">
        <v>4.45</v>
      </c>
      <c r="I628">
        <v>5.3</v>
      </c>
      <c r="K628">
        <f t="shared" si="75"/>
        <v>-4.0000000000000036</v>
      </c>
      <c r="L628">
        <f t="shared" si="76"/>
        <v>-6.999999999999984</v>
      </c>
      <c r="M628">
        <f t="shared" si="77"/>
        <v>-6.0000000000000053</v>
      </c>
      <c r="N628">
        <f t="shared" si="78"/>
        <v>-6.0000000000000053</v>
      </c>
      <c r="O628">
        <f t="shared" si="79"/>
        <v>-5.0000000000000266</v>
      </c>
      <c r="P628">
        <f t="shared" si="80"/>
        <v>-5.9999999999999609</v>
      </c>
      <c r="Q628">
        <f t="shared" si="81"/>
        <v>-6.9999999999999396</v>
      </c>
      <c r="R628">
        <f t="shared" si="82"/>
        <v>-4.9999999999999822</v>
      </c>
    </row>
    <row r="629" spans="1:18">
      <c r="A629" s="9">
        <v>37629</v>
      </c>
      <c r="B629">
        <v>1.5</v>
      </c>
      <c r="C629">
        <v>2.02</v>
      </c>
      <c r="D629">
        <v>2.57</v>
      </c>
      <c r="E629">
        <v>3.01</v>
      </c>
      <c r="F629">
        <v>3.37</v>
      </c>
      <c r="G629">
        <v>3.9</v>
      </c>
      <c r="H629">
        <v>4.4000000000000004</v>
      </c>
      <c r="I629">
        <v>5.28</v>
      </c>
      <c r="K629">
        <f t="shared" si="75"/>
        <v>-2.0000000000000018</v>
      </c>
      <c r="L629">
        <f t="shared" si="76"/>
        <v>-6.0000000000000053</v>
      </c>
      <c r="M629">
        <f t="shared" si="77"/>
        <v>-6.0000000000000053</v>
      </c>
      <c r="N629">
        <f t="shared" si="78"/>
        <v>-6.0000000000000053</v>
      </c>
      <c r="O629">
        <f t="shared" si="79"/>
        <v>-6.999999999999984</v>
      </c>
      <c r="P629">
        <f t="shared" si="80"/>
        <v>-6.0000000000000053</v>
      </c>
      <c r="Q629">
        <f t="shared" si="81"/>
        <v>-4.9999999999999822</v>
      </c>
      <c r="R629">
        <f t="shared" si="82"/>
        <v>-1.9999999999999574</v>
      </c>
    </row>
    <row r="630" spans="1:18">
      <c r="A630" s="9">
        <v>37630</v>
      </c>
      <c r="B630">
        <v>1.54</v>
      </c>
      <c r="C630">
        <v>2.12</v>
      </c>
      <c r="D630">
        <v>2.71</v>
      </c>
      <c r="E630">
        <v>3.19</v>
      </c>
      <c r="F630">
        <v>3.57</v>
      </c>
      <c r="G630">
        <v>4.09</v>
      </c>
      <c r="H630">
        <v>4.58</v>
      </c>
      <c r="I630">
        <v>5.42</v>
      </c>
      <c r="K630">
        <f t="shared" si="75"/>
        <v>4.0000000000000036</v>
      </c>
      <c r="L630">
        <f t="shared" si="76"/>
        <v>10.000000000000009</v>
      </c>
      <c r="M630">
        <f t="shared" si="77"/>
        <v>14.000000000000012</v>
      </c>
      <c r="N630">
        <f t="shared" si="78"/>
        <v>18.000000000000014</v>
      </c>
      <c r="O630">
        <f t="shared" si="79"/>
        <v>19.999999999999972</v>
      </c>
      <c r="P630">
        <f t="shared" si="80"/>
        <v>18.999999999999993</v>
      </c>
      <c r="Q630">
        <f t="shared" si="81"/>
        <v>17.999999999999972</v>
      </c>
      <c r="R630">
        <f t="shared" si="82"/>
        <v>13.999999999999968</v>
      </c>
    </row>
    <row r="631" spans="1:18">
      <c r="A631" s="9">
        <v>37631</v>
      </c>
      <c r="B631">
        <v>1.53</v>
      </c>
      <c r="C631">
        <v>2.15</v>
      </c>
      <c r="D631">
        <v>2.76</v>
      </c>
      <c r="E631">
        <v>3.24</v>
      </c>
      <c r="F631">
        <v>3.63</v>
      </c>
      <c r="G631">
        <v>4.1500000000000004</v>
      </c>
      <c r="H631">
        <v>4.63</v>
      </c>
      <c r="I631">
        <v>5.45</v>
      </c>
      <c r="K631">
        <f t="shared" si="75"/>
        <v>-1.0000000000000009</v>
      </c>
      <c r="L631">
        <f t="shared" si="76"/>
        <v>2.9999999999999805</v>
      </c>
      <c r="M631">
        <f t="shared" si="77"/>
        <v>4.9999999999999822</v>
      </c>
      <c r="N631">
        <f t="shared" si="78"/>
        <v>5.0000000000000266</v>
      </c>
      <c r="O631">
        <f t="shared" si="79"/>
        <v>6.0000000000000053</v>
      </c>
      <c r="P631">
        <f t="shared" si="80"/>
        <v>6.0000000000000497</v>
      </c>
      <c r="Q631">
        <f t="shared" si="81"/>
        <v>4.9999999999999822</v>
      </c>
      <c r="R631">
        <f t="shared" si="82"/>
        <v>3.0000000000000249</v>
      </c>
    </row>
    <row r="632" spans="1:18">
      <c r="A632" s="9">
        <v>37634</v>
      </c>
      <c r="B632">
        <v>1.51</v>
      </c>
      <c r="C632">
        <v>2.11</v>
      </c>
      <c r="D632">
        <v>2.72</v>
      </c>
      <c r="E632">
        <v>3.19</v>
      </c>
      <c r="F632">
        <v>3.57</v>
      </c>
      <c r="G632">
        <v>4.09</v>
      </c>
      <c r="H632">
        <v>4.59</v>
      </c>
      <c r="I632">
        <v>5.41</v>
      </c>
      <c r="K632">
        <f t="shared" si="75"/>
        <v>-2.0000000000000018</v>
      </c>
      <c r="L632">
        <f t="shared" si="76"/>
        <v>-4.0000000000000036</v>
      </c>
      <c r="M632">
        <f t="shared" si="77"/>
        <v>-3.9999999999999591</v>
      </c>
      <c r="N632">
        <f t="shared" si="78"/>
        <v>-5.0000000000000266</v>
      </c>
      <c r="O632">
        <f t="shared" si="79"/>
        <v>-6.0000000000000053</v>
      </c>
      <c r="P632">
        <f t="shared" si="80"/>
        <v>-6.0000000000000497</v>
      </c>
      <c r="Q632">
        <f t="shared" si="81"/>
        <v>-4.0000000000000036</v>
      </c>
      <c r="R632">
        <f t="shared" si="82"/>
        <v>-4.0000000000000036</v>
      </c>
    </row>
    <row r="633" spans="1:18">
      <c r="A633" s="9">
        <v>37635</v>
      </c>
      <c r="B633">
        <v>1.49</v>
      </c>
      <c r="C633">
        <v>2.08</v>
      </c>
      <c r="D633">
        <v>2.67</v>
      </c>
      <c r="E633">
        <v>3.13</v>
      </c>
      <c r="F633">
        <v>3.5</v>
      </c>
      <c r="G633">
        <v>4.04</v>
      </c>
      <c r="H633">
        <v>4.54</v>
      </c>
      <c r="I633">
        <v>5.37</v>
      </c>
      <c r="K633">
        <f t="shared" si="75"/>
        <v>-2.0000000000000018</v>
      </c>
      <c r="L633">
        <f t="shared" si="76"/>
        <v>-2.9999999999999805</v>
      </c>
      <c r="M633">
        <f t="shared" si="77"/>
        <v>-5.0000000000000266</v>
      </c>
      <c r="N633">
        <f t="shared" si="78"/>
        <v>-6.0000000000000053</v>
      </c>
      <c r="O633">
        <f t="shared" si="79"/>
        <v>-6.999999999999984</v>
      </c>
      <c r="P633">
        <f t="shared" si="80"/>
        <v>-4.9999999999999822</v>
      </c>
      <c r="Q633">
        <f t="shared" si="81"/>
        <v>-4.9999999999999822</v>
      </c>
      <c r="R633">
        <f t="shared" si="82"/>
        <v>-4.0000000000000036</v>
      </c>
    </row>
    <row r="634" spans="1:18">
      <c r="A634" s="9">
        <v>37636</v>
      </c>
      <c r="B634">
        <v>1.48</v>
      </c>
      <c r="C634">
        <v>2.0299999999999998</v>
      </c>
      <c r="D634">
        <v>2.62</v>
      </c>
      <c r="E634">
        <v>3.09</v>
      </c>
      <c r="F634">
        <v>3.46</v>
      </c>
      <c r="G634">
        <v>4</v>
      </c>
      <c r="H634">
        <v>4.5</v>
      </c>
      <c r="I634">
        <v>5.35</v>
      </c>
      <c r="K634">
        <f t="shared" si="75"/>
        <v>-1.0000000000000009</v>
      </c>
      <c r="L634">
        <f t="shared" si="76"/>
        <v>-5.0000000000000266</v>
      </c>
      <c r="M634">
        <f t="shared" si="77"/>
        <v>-4.9999999999999822</v>
      </c>
      <c r="N634">
        <f t="shared" si="78"/>
        <v>-4.0000000000000036</v>
      </c>
      <c r="O634">
        <f t="shared" si="79"/>
        <v>-4.0000000000000036</v>
      </c>
      <c r="P634">
        <f t="shared" si="80"/>
        <v>-4.0000000000000036</v>
      </c>
      <c r="Q634">
        <f t="shared" si="81"/>
        <v>-4.0000000000000036</v>
      </c>
      <c r="R634">
        <f t="shared" si="82"/>
        <v>-2.0000000000000462</v>
      </c>
    </row>
    <row r="635" spans="1:18">
      <c r="A635" s="9">
        <v>37637</v>
      </c>
      <c r="B635">
        <v>1.49</v>
      </c>
      <c r="C635">
        <v>2.08</v>
      </c>
      <c r="D635">
        <v>2.68</v>
      </c>
      <c r="E635">
        <v>3.14</v>
      </c>
      <c r="F635">
        <v>3.51</v>
      </c>
      <c r="G635">
        <v>4.04</v>
      </c>
      <c r="H635">
        <v>4.55</v>
      </c>
      <c r="I635">
        <v>5.36</v>
      </c>
      <c r="K635">
        <f t="shared" si="75"/>
        <v>1.0000000000000009</v>
      </c>
      <c r="L635">
        <f t="shared" si="76"/>
        <v>5.0000000000000266</v>
      </c>
      <c r="M635">
        <f t="shared" si="77"/>
        <v>6.0000000000000053</v>
      </c>
      <c r="N635">
        <f t="shared" si="78"/>
        <v>5.0000000000000266</v>
      </c>
      <c r="O635">
        <f t="shared" si="79"/>
        <v>4.9999999999999822</v>
      </c>
      <c r="P635">
        <f t="shared" si="80"/>
        <v>4.0000000000000036</v>
      </c>
      <c r="Q635">
        <f t="shared" si="81"/>
        <v>4.9999999999999822</v>
      </c>
      <c r="R635">
        <f t="shared" si="82"/>
        <v>1.0000000000000675</v>
      </c>
    </row>
    <row r="636" spans="1:18">
      <c r="A636" s="9">
        <v>37638</v>
      </c>
      <c r="B636">
        <v>1.45</v>
      </c>
      <c r="C636">
        <v>2</v>
      </c>
      <c r="D636">
        <v>2.58</v>
      </c>
      <c r="E636">
        <v>3.03</v>
      </c>
      <c r="F636">
        <v>3.4</v>
      </c>
      <c r="G636">
        <v>3.93</v>
      </c>
      <c r="H636">
        <v>4.45</v>
      </c>
      <c r="I636">
        <v>5.3</v>
      </c>
      <c r="K636">
        <f t="shared" si="75"/>
        <v>-4.0000000000000036</v>
      </c>
      <c r="L636">
        <f t="shared" si="76"/>
        <v>-8.0000000000000071</v>
      </c>
      <c r="M636">
        <f t="shared" si="77"/>
        <v>-10.000000000000009</v>
      </c>
      <c r="N636">
        <f t="shared" si="78"/>
        <v>-11.000000000000032</v>
      </c>
      <c r="O636">
        <f t="shared" si="79"/>
        <v>-10.999999999999988</v>
      </c>
      <c r="P636">
        <f t="shared" si="80"/>
        <v>-10.999999999999988</v>
      </c>
      <c r="Q636">
        <f t="shared" si="81"/>
        <v>-9.9999999999999645</v>
      </c>
      <c r="R636">
        <f t="shared" si="82"/>
        <v>-6.0000000000000497</v>
      </c>
    </row>
    <row r="637" spans="1:18">
      <c r="A637" s="9">
        <v>37642</v>
      </c>
      <c r="B637">
        <v>1.45</v>
      </c>
      <c r="C637">
        <v>2</v>
      </c>
      <c r="D637">
        <v>2.57</v>
      </c>
      <c r="E637">
        <v>3.03</v>
      </c>
      <c r="F637">
        <v>3.4</v>
      </c>
      <c r="G637">
        <v>3.93</v>
      </c>
      <c r="H637">
        <v>4.45</v>
      </c>
      <c r="I637">
        <v>5.28</v>
      </c>
      <c r="K637">
        <f t="shared" si="75"/>
        <v>0</v>
      </c>
      <c r="L637">
        <f t="shared" si="76"/>
        <v>0</v>
      </c>
      <c r="M637">
        <f t="shared" si="77"/>
        <v>-1.0000000000000231</v>
      </c>
      <c r="N637">
        <f t="shared" si="78"/>
        <v>0</v>
      </c>
      <c r="O637">
        <f t="shared" si="79"/>
        <v>0</v>
      </c>
      <c r="P637">
        <f t="shared" si="80"/>
        <v>0</v>
      </c>
      <c r="Q637">
        <f t="shared" si="81"/>
        <v>0</v>
      </c>
      <c r="R637">
        <f t="shared" si="82"/>
        <v>-1.9999999999999574</v>
      </c>
    </row>
    <row r="638" spans="1:18">
      <c r="A638" s="9">
        <v>37643</v>
      </c>
      <c r="B638">
        <v>1.43</v>
      </c>
      <c r="C638">
        <v>1.95</v>
      </c>
      <c r="D638">
        <v>2.52</v>
      </c>
      <c r="E638">
        <v>2.97</v>
      </c>
      <c r="F638">
        <v>3.34</v>
      </c>
      <c r="G638">
        <v>3.87</v>
      </c>
      <c r="H638">
        <v>4.3899999999999997</v>
      </c>
      <c r="I638">
        <v>5.23</v>
      </c>
      <c r="K638">
        <f t="shared" si="75"/>
        <v>-2.0000000000000018</v>
      </c>
      <c r="L638">
        <f t="shared" si="76"/>
        <v>-5.0000000000000044</v>
      </c>
      <c r="M638">
        <f t="shared" si="77"/>
        <v>-4.9999999999999822</v>
      </c>
      <c r="N638">
        <f t="shared" si="78"/>
        <v>-5.9999999999999609</v>
      </c>
      <c r="O638">
        <f t="shared" si="79"/>
        <v>-6.0000000000000053</v>
      </c>
      <c r="P638">
        <f t="shared" si="80"/>
        <v>-6.0000000000000053</v>
      </c>
      <c r="Q638">
        <f t="shared" si="81"/>
        <v>-6.0000000000000497</v>
      </c>
      <c r="R638">
        <f t="shared" si="82"/>
        <v>-4.9999999999999822</v>
      </c>
    </row>
    <row r="639" spans="1:18">
      <c r="A639" s="9">
        <v>37644</v>
      </c>
      <c r="B639">
        <v>1.44</v>
      </c>
      <c r="C639">
        <v>1.98</v>
      </c>
      <c r="D639">
        <v>2.54</v>
      </c>
      <c r="E639">
        <v>2.99</v>
      </c>
      <c r="F639">
        <v>3.35</v>
      </c>
      <c r="G639">
        <v>3.88</v>
      </c>
      <c r="H639">
        <v>4.4000000000000004</v>
      </c>
      <c r="I639">
        <v>5.26</v>
      </c>
      <c r="K639">
        <f t="shared" si="75"/>
        <v>1.0000000000000009</v>
      </c>
      <c r="L639">
        <f t="shared" si="76"/>
        <v>3.0000000000000027</v>
      </c>
      <c r="M639">
        <f t="shared" si="77"/>
        <v>2.0000000000000018</v>
      </c>
      <c r="N639">
        <f t="shared" si="78"/>
        <v>2.0000000000000018</v>
      </c>
      <c r="O639">
        <f t="shared" si="79"/>
        <v>1.0000000000000231</v>
      </c>
      <c r="P639">
        <f t="shared" si="80"/>
        <v>0.99999999999997868</v>
      </c>
      <c r="Q639">
        <f t="shared" si="81"/>
        <v>1.0000000000000675</v>
      </c>
      <c r="R639">
        <f t="shared" si="82"/>
        <v>2.9999999999999361</v>
      </c>
    </row>
    <row r="640" spans="1:18">
      <c r="A640" s="9">
        <v>37645</v>
      </c>
      <c r="B640">
        <v>1.42</v>
      </c>
      <c r="C640">
        <v>1.95</v>
      </c>
      <c r="D640">
        <v>2.5</v>
      </c>
      <c r="E640">
        <v>2.94</v>
      </c>
      <c r="F640">
        <v>3.28</v>
      </c>
      <c r="G640">
        <v>3.82</v>
      </c>
      <c r="H640">
        <v>4.33</v>
      </c>
      <c r="I640">
        <v>5.21</v>
      </c>
      <c r="K640">
        <f t="shared" si="75"/>
        <v>-2.0000000000000018</v>
      </c>
      <c r="L640">
        <f t="shared" si="76"/>
        <v>-3.0000000000000027</v>
      </c>
      <c r="M640">
        <f t="shared" si="77"/>
        <v>-4.0000000000000036</v>
      </c>
      <c r="N640">
        <f t="shared" si="78"/>
        <v>-5.0000000000000266</v>
      </c>
      <c r="O640">
        <f t="shared" si="79"/>
        <v>-7.0000000000000284</v>
      </c>
      <c r="P640">
        <f t="shared" si="80"/>
        <v>-6.0000000000000053</v>
      </c>
      <c r="Q640">
        <f t="shared" si="81"/>
        <v>-7.0000000000000284</v>
      </c>
      <c r="R640">
        <f t="shared" si="82"/>
        <v>-4.9999999999999822</v>
      </c>
    </row>
    <row r="641" spans="1:18">
      <c r="A641" s="9">
        <v>37648</v>
      </c>
      <c r="B641">
        <v>1.43</v>
      </c>
      <c r="C641">
        <v>1.98</v>
      </c>
      <c r="D641">
        <v>2.54</v>
      </c>
      <c r="E641">
        <v>2.98</v>
      </c>
      <c r="F641">
        <v>3.35</v>
      </c>
      <c r="G641">
        <v>3.88</v>
      </c>
      <c r="H641">
        <v>4.4000000000000004</v>
      </c>
      <c r="I641">
        <v>5.25</v>
      </c>
      <c r="K641">
        <f t="shared" si="75"/>
        <v>1.0000000000000009</v>
      </c>
      <c r="L641">
        <f t="shared" si="76"/>
        <v>3.0000000000000027</v>
      </c>
      <c r="M641">
        <f t="shared" si="77"/>
        <v>4.0000000000000036</v>
      </c>
      <c r="N641">
        <f t="shared" si="78"/>
        <v>4.0000000000000036</v>
      </c>
      <c r="O641">
        <f t="shared" si="79"/>
        <v>7.0000000000000284</v>
      </c>
      <c r="P641">
        <f t="shared" si="80"/>
        <v>6.0000000000000053</v>
      </c>
      <c r="Q641">
        <f t="shared" si="81"/>
        <v>7.0000000000000284</v>
      </c>
      <c r="R641">
        <f t="shared" si="82"/>
        <v>4.0000000000000036</v>
      </c>
    </row>
    <row r="642" spans="1:18">
      <c r="A642" s="9">
        <v>37649</v>
      </c>
      <c r="B642">
        <v>1.45</v>
      </c>
      <c r="C642">
        <v>2.02</v>
      </c>
      <c r="D642">
        <v>2.59</v>
      </c>
      <c r="E642">
        <v>3.04</v>
      </c>
      <c r="F642">
        <v>3.41</v>
      </c>
      <c r="G642">
        <v>3.95</v>
      </c>
      <c r="H642">
        <v>4.46</v>
      </c>
      <c r="I642">
        <v>5.28</v>
      </c>
      <c r="K642">
        <f t="shared" si="75"/>
        <v>2.0000000000000018</v>
      </c>
      <c r="L642">
        <f t="shared" si="76"/>
        <v>4.0000000000000036</v>
      </c>
      <c r="M642">
        <f t="shared" si="77"/>
        <v>4.9999999999999822</v>
      </c>
      <c r="N642">
        <f t="shared" si="78"/>
        <v>6.0000000000000053</v>
      </c>
      <c r="O642">
        <f t="shared" si="79"/>
        <v>6.0000000000000053</v>
      </c>
      <c r="P642">
        <f t="shared" si="80"/>
        <v>7.0000000000000284</v>
      </c>
      <c r="Q642">
        <f t="shared" si="81"/>
        <v>5.9999999999999609</v>
      </c>
      <c r="R642">
        <f t="shared" si="82"/>
        <v>3.0000000000000249</v>
      </c>
    </row>
    <row r="643" spans="1:18">
      <c r="A643" s="9">
        <v>37650</v>
      </c>
      <c r="B643">
        <v>1.43</v>
      </c>
      <c r="C643">
        <v>1.99</v>
      </c>
      <c r="D643">
        <v>2.56</v>
      </c>
      <c r="E643">
        <v>3.02</v>
      </c>
      <c r="F643">
        <v>3.39</v>
      </c>
      <c r="G643">
        <v>3.92</v>
      </c>
      <c r="H643">
        <v>4.43</v>
      </c>
      <c r="I643">
        <v>5.25</v>
      </c>
      <c r="K643">
        <f t="shared" si="75"/>
        <v>-2.0000000000000018</v>
      </c>
      <c r="L643">
        <f t="shared" si="76"/>
        <v>-3.0000000000000027</v>
      </c>
      <c r="M643">
        <f t="shared" si="77"/>
        <v>-2.9999999999999805</v>
      </c>
      <c r="N643">
        <f t="shared" si="78"/>
        <v>-2.0000000000000018</v>
      </c>
      <c r="O643">
        <f t="shared" si="79"/>
        <v>-2.0000000000000018</v>
      </c>
      <c r="P643">
        <f t="shared" si="80"/>
        <v>-3.0000000000000249</v>
      </c>
      <c r="Q643">
        <f t="shared" si="81"/>
        <v>-3.0000000000000249</v>
      </c>
      <c r="R643">
        <f t="shared" si="82"/>
        <v>-3.0000000000000249</v>
      </c>
    </row>
    <row r="644" spans="1:18">
      <c r="A644" s="9">
        <v>37651</v>
      </c>
      <c r="B644">
        <v>1.47</v>
      </c>
      <c r="C644">
        <v>2.04</v>
      </c>
      <c r="D644">
        <v>2.62</v>
      </c>
      <c r="E644">
        <v>3.08</v>
      </c>
      <c r="F644">
        <v>3.43</v>
      </c>
      <c r="G644">
        <v>3.96</v>
      </c>
      <c r="H644">
        <v>4.46</v>
      </c>
      <c r="I644">
        <v>5.26</v>
      </c>
      <c r="K644">
        <f t="shared" si="75"/>
        <v>4.0000000000000036</v>
      </c>
      <c r="L644">
        <f t="shared" si="76"/>
        <v>5.0000000000000044</v>
      </c>
      <c r="M644">
        <f t="shared" si="77"/>
        <v>6.0000000000000053</v>
      </c>
      <c r="N644">
        <f t="shared" si="78"/>
        <v>6.0000000000000053</v>
      </c>
      <c r="O644">
        <f t="shared" si="79"/>
        <v>4.0000000000000036</v>
      </c>
      <c r="P644">
        <f t="shared" si="80"/>
        <v>4.0000000000000036</v>
      </c>
      <c r="Q644">
        <f t="shared" si="81"/>
        <v>3.0000000000000249</v>
      </c>
      <c r="R644">
        <f t="shared" si="82"/>
        <v>0.99999999999997868</v>
      </c>
    </row>
    <row r="645" spans="1:18">
      <c r="A645" s="9">
        <v>37652</v>
      </c>
      <c r="B645">
        <v>1.44</v>
      </c>
      <c r="C645">
        <v>2</v>
      </c>
      <c r="D645">
        <v>2.57</v>
      </c>
      <c r="E645">
        <v>3.03</v>
      </c>
      <c r="F645">
        <v>3.4</v>
      </c>
      <c r="G645">
        <v>3.92</v>
      </c>
      <c r="H645">
        <v>4.42</v>
      </c>
      <c r="I645">
        <v>5.22</v>
      </c>
      <c r="K645">
        <f t="shared" ref="K645:K708" si="83">(B645-B644)*100</f>
        <v>-3.0000000000000027</v>
      </c>
      <c r="L645">
        <f t="shared" ref="L645:L708" si="84">(C645-C644)*100</f>
        <v>-4.0000000000000036</v>
      </c>
      <c r="M645">
        <f t="shared" ref="M645:M708" si="85">(D645-D644)*100</f>
        <v>-5.0000000000000266</v>
      </c>
      <c r="N645">
        <f t="shared" ref="N645:N708" si="86">(E645-E644)*100</f>
        <v>-5.0000000000000266</v>
      </c>
      <c r="O645">
        <f t="shared" ref="O645:O708" si="87">(F645-F644)*100</f>
        <v>-3.0000000000000249</v>
      </c>
      <c r="P645">
        <f t="shared" ref="P645:P708" si="88">(G645-G644)*100</f>
        <v>-4.0000000000000036</v>
      </c>
      <c r="Q645">
        <f t="shared" ref="Q645:Q708" si="89">(H645-H644)*100</f>
        <v>-4.0000000000000036</v>
      </c>
      <c r="R645">
        <f t="shared" ref="R645:R708" si="90">(I645-I644)*100</f>
        <v>-4.0000000000000036</v>
      </c>
    </row>
    <row r="646" spans="1:18">
      <c r="A646" s="9">
        <v>37655</v>
      </c>
      <c r="B646">
        <v>1.46</v>
      </c>
      <c r="C646">
        <v>2.04</v>
      </c>
      <c r="D646">
        <v>2.63</v>
      </c>
      <c r="E646">
        <v>3.08</v>
      </c>
      <c r="F646">
        <v>3.46</v>
      </c>
      <c r="G646">
        <v>3.97</v>
      </c>
      <c r="H646">
        <v>4.46</v>
      </c>
      <c r="I646">
        <v>5.25</v>
      </c>
      <c r="K646">
        <f t="shared" si="83"/>
        <v>2.0000000000000018</v>
      </c>
      <c r="L646">
        <f t="shared" si="84"/>
        <v>4.0000000000000036</v>
      </c>
      <c r="M646">
        <f t="shared" si="85"/>
        <v>6.0000000000000053</v>
      </c>
      <c r="N646">
        <f t="shared" si="86"/>
        <v>5.0000000000000266</v>
      </c>
      <c r="O646">
        <f t="shared" si="87"/>
        <v>6.0000000000000053</v>
      </c>
      <c r="P646">
        <f t="shared" si="88"/>
        <v>5.0000000000000266</v>
      </c>
      <c r="Q646">
        <f t="shared" si="89"/>
        <v>4.0000000000000036</v>
      </c>
      <c r="R646">
        <f t="shared" si="90"/>
        <v>3.0000000000000249</v>
      </c>
    </row>
    <row r="647" spans="1:18">
      <c r="A647" s="9">
        <v>37656</v>
      </c>
      <c r="B647">
        <v>1.43</v>
      </c>
      <c r="C647">
        <v>1.98</v>
      </c>
      <c r="D647">
        <v>2.5499999999999998</v>
      </c>
      <c r="E647">
        <v>3.01</v>
      </c>
      <c r="F647">
        <v>3.37</v>
      </c>
      <c r="G647">
        <v>3.9</v>
      </c>
      <c r="H647">
        <v>4.3899999999999997</v>
      </c>
      <c r="I647">
        <v>5.18</v>
      </c>
      <c r="K647">
        <f t="shared" si="83"/>
        <v>-3.0000000000000027</v>
      </c>
      <c r="L647">
        <f t="shared" si="84"/>
        <v>-6.0000000000000053</v>
      </c>
      <c r="M647">
        <f t="shared" si="85"/>
        <v>-8.0000000000000071</v>
      </c>
      <c r="N647">
        <f t="shared" si="86"/>
        <v>-7.0000000000000284</v>
      </c>
      <c r="O647">
        <f t="shared" si="87"/>
        <v>-8.9999999999999858</v>
      </c>
      <c r="P647">
        <f t="shared" si="88"/>
        <v>-7.0000000000000284</v>
      </c>
      <c r="Q647">
        <f t="shared" si="89"/>
        <v>-7.0000000000000284</v>
      </c>
      <c r="R647">
        <f t="shared" si="90"/>
        <v>-7.0000000000000284</v>
      </c>
    </row>
    <row r="648" spans="1:18">
      <c r="A648" s="9">
        <v>37657</v>
      </c>
      <c r="B648">
        <v>1.44</v>
      </c>
      <c r="C648">
        <v>1.97</v>
      </c>
      <c r="D648">
        <v>2.56</v>
      </c>
      <c r="E648">
        <v>3.02</v>
      </c>
      <c r="F648">
        <v>3.4</v>
      </c>
      <c r="G648">
        <v>3.92</v>
      </c>
      <c r="H648">
        <v>4.4000000000000004</v>
      </c>
      <c r="I648">
        <v>5.19</v>
      </c>
      <c r="K648">
        <f t="shared" si="83"/>
        <v>1.0000000000000009</v>
      </c>
      <c r="L648">
        <f t="shared" si="84"/>
        <v>-1.0000000000000009</v>
      </c>
      <c r="M648">
        <f t="shared" si="85"/>
        <v>1.0000000000000231</v>
      </c>
      <c r="N648">
        <f t="shared" si="86"/>
        <v>1.0000000000000231</v>
      </c>
      <c r="O648">
        <f t="shared" si="87"/>
        <v>2.9999999999999805</v>
      </c>
      <c r="P648">
        <f t="shared" si="88"/>
        <v>2.0000000000000018</v>
      </c>
      <c r="Q648">
        <f t="shared" si="89"/>
        <v>1.0000000000000675</v>
      </c>
      <c r="R648">
        <f t="shared" si="90"/>
        <v>1.0000000000000675</v>
      </c>
    </row>
    <row r="649" spans="1:18">
      <c r="A649" s="9">
        <v>37658</v>
      </c>
      <c r="B649">
        <v>1.42</v>
      </c>
      <c r="C649">
        <v>1.97</v>
      </c>
      <c r="D649">
        <v>2.5499999999999998</v>
      </c>
      <c r="E649">
        <v>3.01</v>
      </c>
      <c r="F649">
        <v>3.38</v>
      </c>
      <c r="G649">
        <v>3.9</v>
      </c>
      <c r="H649">
        <v>4.3899999999999997</v>
      </c>
      <c r="I649">
        <v>5.2</v>
      </c>
      <c r="K649">
        <f t="shared" si="83"/>
        <v>-2.0000000000000018</v>
      </c>
      <c r="L649">
        <f t="shared" si="84"/>
        <v>0</v>
      </c>
      <c r="M649">
        <f t="shared" si="85"/>
        <v>-1.0000000000000231</v>
      </c>
      <c r="N649">
        <f t="shared" si="86"/>
        <v>-1.0000000000000231</v>
      </c>
      <c r="O649">
        <f t="shared" si="87"/>
        <v>-2.0000000000000018</v>
      </c>
      <c r="P649">
        <f t="shared" si="88"/>
        <v>-2.0000000000000018</v>
      </c>
      <c r="Q649">
        <f t="shared" si="89"/>
        <v>-1.0000000000000675</v>
      </c>
      <c r="R649">
        <f t="shared" si="90"/>
        <v>0.99999999999997868</v>
      </c>
    </row>
    <row r="650" spans="1:18">
      <c r="A650" s="9">
        <v>37659</v>
      </c>
      <c r="B650">
        <v>1.42</v>
      </c>
      <c r="C650">
        <v>1.96</v>
      </c>
      <c r="D650">
        <v>2.56</v>
      </c>
      <c r="E650">
        <v>3.02</v>
      </c>
      <c r="F650">
        <v>3.4</v>
      </c>
      <c r="G650">
        <v>3.92</v>
      </c>
      <c r="H650">
        <v>4.41</v>
      </c>
      <c r="I650">
        <v>5.2</v>
      </c>
      <c r="K650">
        <f t="shared" si="83"/>
        <v>0</v>
      </c>
      <c r="L650">
        <f t="shared" si="84"/>
        <v>-1.0000000000000009</v>
      </c>
      <c r="M650">
        <f t="shared" si="85"/>
        <v>1.0000000000000231</v>
      </c>
      <c r="N650">
        <f t="shared" si="86"/>
        <v>1.0000000000000231</v>
      </c>
      <c r="O650">
        <f t="shared" si="87"/>
        <v>2.0000000000000018</v>
      </c>
      <c r="P650">
        <f t="shared" si="88"/>
        <v>2.0000000000000018</v>
      </c>
      <c r="Q650">
        <f t="shared" si="89"/>
        <v>2.0000000000000462</v>
      </c>
      <c r="R650">
        <f t="shared" si="90"/>
        <v>0</v>
      </c>
    </row>
    <row r="651" spans="1:18">
      <c r="A651" s="9">
        <v>37662</v>
      </c>
      <c r="B651">
        <v>1.4</v>
      </c>
      <c r="C651">
        <v>1.92</v>
      </c>
      <c r="D651">
        <v>2.5099999999999998</v>
      </c>
      <c r="E651">
        <v>2.98</v>
      </c>
      <c r="F651">
        <v>3.35</v>
      </c>
      <c r="G651">
        <v>3.88</v>
      </c>
      <c r="H651">
        <v>4.37</v>
      </c>
      <c r="I651">
        <v>5.19</v>
      </c>
      <c r="K651">
        <f t="shared" si="83"/>
        <v>-2.0000000000000018</v>
      </c>
      <c r="L651">
        <f t="shared" si="84"/>
        <v>-4.0000000000000036</v>
      </c>
      <c r="M651">
        <f t="shared" si="85"/>
        <v>-5.0000000000000266</v>
      </c>
      <c r="N651">
        <f t="shared" si="86"/>
        <v>-4.0000000000000036</v>
      </c>
      <c r="O651">
        <f t="shared" si="87"/>
        <v>-4.9999999999999822</v>
      </c>
      <c r="P651">
        <f t="shared" si="88"/>
        <v>-4.0000000000000036</v>
      </c>
      <c r="Q651">
        <f t="shared" si="89"/>
        <v>-4.0000000000000036</v>
      </c>
      <c r="R651">
        <f t="shared" si="90"/>
        <v>-0.99999999999997868</v>
      </c>
    </row>
    <row r="652" spans="1:18">
      <c r="A652" s="9">
        <v>37663</v>
      </c>
      <c r="B652">
        <v>1.41</v>
      </c>
      <c r="C652">
        <v>1.96</v>
      </c>
      <c r="D652">
        <v>2.54</v>
      </c>
      <c r="E652">
        <v>3.02</v>
      </c>
      <c r="F652">
        <v>3.39</v>
      </c>
      <c r="G652">
        <v>3.92</v>
      </c>
      <c r="H652">
        <v>4.41</v>
      </c>
      <c r="I652">
        <v>5.23</v>
      </c>
      <c r="K652">
        <f t="shared" si="83"/>
        <v>1.0000000000000009</v>
      </c>
      <c r="L652">
        <f t="shared" si="84"/>
        <v>4.0000000000000036</v>
      </c>
      <c r="M652">
        <f t="shared" si="85"/>
        <v>3.0000000000000249</v>
      </c>
      <c r="N652">
        <f t="shared" si="86"/>
        <v>4.0000000000000036</v>
      </c>
      <c r="O652">
        <f t="shared" si="87"/>
        <v>4.0000000000000036</v>
      </c>
      <c r="P652">
        <f t="shared" si="88"/>
        <v>4.0000000000000036</v>
      </c>
      <c r="Q652">
        <f t="shared" si="89"/>
        <v>4.0000000000000036</v>
      </c>
      <c r="R652">
        <f t="shared" si="90"/>
        <v>4.0000000000000036</v>
      </c>
    </row>
    <row r="653" spans="1:18">
      <c r="A653" s="9">
        <v>37664</v>
      </c>
      <c r="B653">
        <v>1.38</v>
      </c>
      <c r="C653">
        <v>1.88</v>
      </c>
      <c r="D653">
        <v>2.4700000000000002</v>
      </c>
      <c r="E653">
        <v>2.94</v>
      </c>
      <c r="F653">
        <v>3.32</v>
      </c>
      <c r="G653">
        <v>3.85</v>
      </c>
      <c r="H653">
        <v>4.3600000000000003</v>
      </c>
      <c r="I653">
        <v>5.21</v>
      </c>
      <c r="K653">
        <f t="shared" si="83"/>
        <v>-3.0000000000000027</v>
      </c>
      <c r="L653">
        <f t="shared" si="84"/>
        <v>-8.0000000000000071</v>
      </c>
      <c r="M653">
        <f t="shared" si="85"/>
        <v>-6.999999999999984</v>
      </c>
      <c r="N653">
        <f t="shared" si="86"/>
        <v>-8.0000000000000071</v>
      </c>
      <c r="O653">
        <f t="shared" si="87"/>
        <v>-7.0000000000000284</v>
      </c>
      <c r="P653">
        <f t="shared" si="88"/>
        <v>-6.999999999999984</v>
      </c>
      <c r="Q653">
        <f t="shared" si="89"/>
        <v>-4.9999999999999822</v>
      </c>
      <c r="R653">
        <f t="shared" si="90"/>
        <v>-2.0000000000000462</v>
      </c>
    </row>
    <row r="654" spans="1:18">
      <c r="A654" s="9">
        <v>37665</v>
      </c>
      <c r="B654">
        <v>1.38</v>
      </c>
      <c r="C654">
        <v>1.86</v>
      </c>
      <c r="D654">
        <v>2.4300000000000002</v>
      </c>
      <c r="E654">
        <v>2.9</v>
      </c>
      <c r="F654">
        <v>3.28</v>
      </c>
      <c r="G654">
        <v>3.82</v>
      </c>
      <c r="H654">
        <v>4.34</v>
      </c>
      <c r="I654">
        <v>5.2</v>
      </c>
      <c r="K654">
        <f t="shared" si="83"/>
        <v>0</v>
      </c>
      <c r="L654">
        <f t="shared" si="84"/>
        <v>-1.9999999999999796</v>
      </c>
      <c r="M654">
        <f t="shared" si="85"/>
        <v>-4.0000000000000036</v>
      </c>
      <c r="N654">
        <f t="shared" si="86"/>
        <v>-4.0000000000000036</v>
      </c>
      <c r="O654">
        <f t="shared" si="87"/>
        <v>-4.0000000000000036</v>
      </c>
      <c r="P654">
        <f t="shared" si="88"/>
        <v>-3.0000000000000249</v>
      </c>
      <c r="Q654">
        <f t="shared" si="89"/>
        <v>-2.0000000000000462</v>
      </c>
      <c r="R654">
        <f t="shared" si="90"/>
        <v>-0.99999999999997868</v>
      </c>
    </row>
    <row r="655" spans="1:18">
      <c r="A655" s="9">
        <v>37666</v>
      </c>
      <c r="B655">
        <v>1.4</v>
      </c>
      <c r="C655">
        <v>1.89</v>
      </c>
      <c r="D655">
        <v>2.46</v>
      </c>
      <c r="E655">
        <v>2.93</v>
      </c>
      <c r="F655">
        <v>3.3</v>
      </c>
      <c r="G655">
        <v>3.85</v>
      </c>
      <c r="H655">
        <v>4.37</v>
      </c>
      <c r="I655">
        <v>5.22</v>
      </c>
      <c r="K655">
        <f t="shared" si="83"/>
        <v>2.0000000000000018</v>
      </c>
      <c r="L655">
        <f t="shared" si="84"/>
        <v>2.9999999999999805</v>
      </c>
      <c r="M655">
        <f t="shared" si="85"/>
        <v>2.9999999999999805</v>
      </c>
      <c r="N655">
        <f t="shared" si="86"/>
        <v>3.0000000000000249</v>
      </c>
      <c r="O655">
        <f t="shared" si="87"/>
        <v>2.0000000000000018</v>
      </c>
      <c r="P655">
        <f t="shared" si="88"/>
        <v>3.0000000000000249</v>
      </c>
      <c r="Q655">
        <f t="shared" si="89"/>
        <v>3.0000000000000249</v>
      </c>
      <c r="R655">
        <f t="shared" si="90"/>
        <v>1.9999999999999574</v>
      </c>
    </row>
    <row r="656" spans="1:18">
      <c r="A656" s="9">
        <v>37670</v>
      </c>
      <c r="B656">
        <v>1.43</v>
      </c>
      <c r="C656">
        <v>1.95</v>
      </c>
      <c r="D656">
        <v>2.52</v>
      </c>
      <c r="E656">
        <v>2.98</v>
      </c>
      <c r="F656">
        <v>3.36</v>
      </c>
      <c r="G656">
        <v>3.89</v>
      </c>
      <c r="H656">
        <v>4.3899999999999997</v>
      </c>
      <c r="I656">
        <v>5.23</v>
      </c>
      <c r="K656">
        <f t="shared" si="83"/>
        <v>3.0000000000000027</v>
      </c>
      <c r="L656">
        <f t="shared" si="84"/>
        <v>6.0000000000000053</v>
      </c>
      <c r="M656">
        <f t="shared" si="85"/>
        <v>6.0000000000000053</v>
      </c>
      <c r="N656">
        <f t="shared" si="86"/>
        <v>4.9999999999999822</v>
      </c>
      <c r="O656">
        <f t="shared" si="87"/>
        <v>6.0000000000000053</v>
      </c>
      <c r="P656">
        <f t="shared" si="88"/>
        <v>4.0000000000000036</v>
      </c>
      <c r="Q656">
        <f t="shared" si="89"/>
        <v>1.9999999999999574</v>
      </c>
      <c r="R656">
        <f t="shared" si="90"/>
        <v>1.0000000000000675</v>
      </c>
    </row>
    <row r="657" spans="1:18">
      <c r="A657" s="9">
        <v>37671</v>
      </c>
      <c r="B657">
        <v>1.4</v>
      </c>
      <c r="C657">
        <v>1.87</v>
      </c>
      <c r="D657">
        <v>2.4300000000000002</v>
      </c>
      <c r="E657">
        <v>2.89</v>
      </c>
      <c r="F657">
        <v>3.26</v>
      </c>
      <c r="G657">
        <v>3.79</v>
      </c>
      <c r="H657">
        <v>4.3</v>
      </c>
      <c r="I657">
        <v>5.14</v>
      </c>
      <c r="K657">
        <f t="shared" si="83"/>
        <v>-3.0000000000000027</v>
      </c>
      <c r="L657">
        <f t="shared" si="84"/>
        <v>-7.9999999999999849</v>
      </c>
      <c r="M657">
        <f t="shared" si="85"/>
        <v>-8.9999999999999858</v>
      </c>
      <c r="N657">
        <f t="shared" si="86"/>
        <v>-8.9999999999999858</v>
      </c>
      <c r="O657">
        <f t="shared" si="87"/>
        <v>-10.000000000000009</v>
      </c>
      <c r="P657">
        <f t="shared" si="88"/>
        <v>-10.000000000000009</v>
      </c>
      <c r="Q657">
        <f t="shared" si="89"/>
        <v>-8.9999999999999858</v>
      </c>
      <c r="R657">
        <f t="shared" si="90"/>
        <v>-9.0000000000000746</v>
      </c>
    </row>
    <row r="658" spans="1:18">
      <c r="A658" s="9">
        <v>37672</v>
      </c>
      <c r="B658">
        <v>1.39</v>
      </c>
      <c r="C658">
        <v>1.84</v>
      </c>
      <c r="D658">
        <v>2.39</v>
      </c>
      <c r="E658">
        <v>2.85</v>
      </c>
      <c r="F658">
        <v>3.22</v>
      </c>
      <c r="G658">
        <v>3.76</v>
      </c>
      <c r="H658">
        <v>4.2699999999999996</v>
      </c>
      <c r="I658">
        <v>5.14</v>
      </c>
      <c r="K658">
        <f t="shared" si="83"/>
        <v>-1.0000000000000009</v>
      </c>
      <c r="L658">
        <f t="shared" si="84"/>
        <v>-3.0000000000000027</v>
      </c>
      <c r="M658">
        <f t="shared" si="85"/>
        <v>-4.0000000000000036</v>
      </c>
      <c r="N658">
        <f t="shared" si="86"/>
        <v>-4.0000000000000036</v>
      </c>
      <c r="O658">
        <f t="shared" si="87"/>
        <v>-3.9999999999999591</v>
      </c>
      <c r="P658">
        <f t="shared" si="88"/>
        <v>-3.0000000000000249</v>
      </c>
      <c r="Q658">
        <f t="shared" si="89"/>
        <v>-3.0000000000000249</v>
      </c>
      <c r="R658">
        <f t="shared" si="90"/>
        <v>0</v>
      </c>
    </row>
    <row r="659" spans="1:18">
      <c r="A659" s="9">
        <v>37673</v>
      </c>
      <c r="B659">
        <v>1.4</v>
      </c>
      <c r="C659">
        <v>1.84</v>
      </c>
      <c r="D659">
        <v>2.38</v>
      </c>
      <c r="E659">
        <v>2.84</v>
      </c>
      <c r="F659">
        <v>3.21</v>
      </c>
      <c r="G659">
        <v>3.76</v>
      </c>
      <c r="H659">
        <v>4.28</v>
      </c>
      <c r="I659">
        <v>5.17</v>
      </c>
      <c r="K659">
        <f t="shared" si="83"/>
        <v>1.0000000000000009</v>
      </c>
      <c r="L659">
        <f t="shared" si="84"/>
        <v>0</v>
      </c>
      <c r="M659">
        <f t="shared" si="85"/>
        <v>-1.0000000000000231</v>
      </c>
      <c r="N659">
        <f t="shared" si="86"/>
        <v>-1.0000000000000231</v>
      </c>
      <c r="O659">
        <f t="shared" si="87"/>
        <v>-1.0000000000000231</v>
      </c>
      <c r="P659">
        <f t="shared" si="88"/>
        <v>0</v>
      </c>
      <c r="Q659">
        <f t="shared" si="89"/>
        <v>1.0000000000000675</v>
      </c>
      <c r="R659">
        <f t="shared" si="90"/>
        <v>3.0000000000000249</v>
      </c>
    </row>
    <row r="660" spans="1:18">
      <c r="A660" s="9">
        <v>37676</v>
      </c>
      <c r="B660">
        <v>1.39</v>
      </c>
      <c r="C660">
        <v>1.85</v>
      </c>
      <c r="D660">
        <v>2.38</v>
      </c>
      <c r="E660">
        <v>2.84</v>
      </c>
      <c r="F660">
        <v>3.21</v>
      </c>
      <c r="G660">
        <v>3.75</v>
      </c>
      <c r="H660">
        <v>4.2699999999999996</v>
      </c>
      <c r="I660">
        <v>5.13</v>
      </c>
      <c r="K660">
        <f t="shared" si="83"/>
        <v>-1.0000000000000009</v>
      </c>
      <c r="L660">
        <f t="shared" si="84"/>
        <v>1.0000000000000009</v>
      </c>
      <c r="M660">
        <f t="shared" si="85"/>
        <v>0</v>
      </c>
      <c r="N660">
        <f t="shared" si="86"/>
        <v>0</v>
      </c>
      <c r="O660">
        <f t="shared" si="87"/>
        <v>0</v>
      </c>
      <c r="P660">
        <f t="shared" si="88"/>
        <v>-0.99999999999997868</v>
      </c>
      <c r="Q660">
        <f t="shared" si="89"/>
        <v>-1.0000000000000675</v>
      </c>
      <c r="R660">
        <f t="shared" si="90"/>
        <v>-4.0000000000000036</v>
      </c>
    </row>
    <row r="661" spans="1:18">
      <c r="A661" s="9">
        <v>37677</v>
      </c>
      <c r="B661">
        <v>1.37</v>
      </c>
      <c r="C661">
        <v>1.82</v>
      </c>
      <c r="D661">
        <v>2.34</v>
      </c>
      <c r="E661">
        <v>2.78</v>
      </c>
      <c r="F661">
        <v>3.14</v>
      </c>
      <c r="G661">
        <v>3.68</v>
      </c>
      <c r="H661">
        <v>4.21</v>
      </c>
      <c r="I661">
        <v>5.1100000000000003</v>
      </c>
      <c r="K661">
        <f t="shared" si="83"/>
        <v>-1.9999999999999796</v>
      </c>
      <c r="L661">
        <f t="shared" si="84"/>
        <v>-3.0000000000000027</v>
      </c>
      <c r="M661">
        <f t="shared" si="85"/>
        <v>-4.0000000000000036</v>
      </c>
      <c r="N661">
        <f t="shared" si="86"/>
        <v>-6.0000000000000053</v>
      </c>
      <c r="O661">
        <f t="shared" si="87"/>
        <v>-6.999999999999984</v>
      </c>
      <c r="P661">
        <f t="shared" si="88"/>
        <v>-6.999999999999984</v>
      </c>
      <c r="Q661">
        <f t="shared" si="89"/>
        <v>-5.9999999999999609</v>
      </c>
      <c r="R661">
        <f t="shared" si="90"/>
        <v>-1.9999999999999574</v>
      </c>
    </row>
    <row r="662" spans="1:18">
      <c r="A662" s="9">
        <v>37678</v>
      </c>
      <c r="B662">
        <v>1.38</v>
      </c>
      <c r="C662">
        <v>1.83</v>
      </c>
      <c r="D662">
        <v>2.36</v>
      </c>
      <c r="E662">
        <v>2.8</v>
      </c>
      <c r="F662">
        <v>3.15</v>
      </c>
      <c r="G662">
        <v>3.69</v>
      </c>
      <c r="H662">
        <v>4.2</v>
      </c>
      <c r="I662">
        <v>5.08</v>
      </c>
      <c r="K662">
        <f t="shared" si="83"/>
        <v>0.99999999999997868</v>
      </c>
      <c r="L662">
        <f t="shared" si="84"/>
        <v>1.0000000000000009</v>
      </c>
      <c r="M662">
        <f t="shared" si="85"/>
        <v>2.0000000000000018</v>
      </c>
      <c r="N662">
        <f t="shared" si="86"/>
        <v>2.0000000000000018</v>
      </c>
      <c r="O662">
        <f t="shared" si="87"/>
        <v>0.99999999999997868</v>
      </c>
      <c r="P662">
        <f t="shared" si="88"/>
        <v>0.99999999999997868</v>
      </c>
      <c r="Q662">
        <f t="shared" si="89"/>
        <v>-0.99999999999997868</v>
      </c>
      <c r="R662">
        <f t="shared" si="90"/>
        <v>-3.0000000000000249</v>
      </c>
    </row>
    <row r="663" spans="1:18">
      <c r="A663" s="9">
        <v>37679</v>
      </c>
      <c r="B663">
        <v>1.4</v>
      </c>
      <c r="C663">
        <v>1.85</v>
      </c>
      <c r="D663">
        <v>2.37</v>
      </c>
      <c r="E663">
        <v>2.81</v>
      </c>
      <c r="F663">
        <v>3.16</v>
      </c>
      <c r="G663">
        <v>3.69</v>
      </c>
      <c r="H663">
        <v>4.21</v>
      </c>
      <c r="I663">
        <v>5.08</v>
      </c>
      <c r="K663">
        <f t="shared" si="83"/>
        <v>2.0000000000000018</v>
      </c>
      <c r="L663">
        <f t="shared" si="84"/>
        <v>2.0000000000000018</v>
      </c>
      <c r="M663">
        <f t="shared" si="85"/>
        <v>1.0000000000000231</v>
      </c>
      <c r="N663">
        <f t="shared" si="86"/>
        <v>1.0000000000000231</v>
      </c>
      <c r="O663">
        <f t="shared" si="87"/>
        <v>1.0000000000000231</v>
      </c>
      <c r="P663">
        <f t="shared" si="88"/>
        <v>0</v>
      </c>
      <c r="Q663">
        <f t="shared" si="89"/>
        <v>0.99999999999997868</v>
      </c>
      <c r="R663">
        <f t="shared" si="90"/>
        <v>0</v>
      </c>
    </row>
    <row r="664" spans="1:18">
      <c r="A664" s="9">
        <v>37680</v>
      </c>
      <c r="B664">
        <v>1.38</v>
      </c>
      <c r="C664">
        <v>1.84</v>
      </c>
      <c r="D664">
        <v>2.36</v>
      </c>
      <c r="E664">
        <v>2.79</v>
      </c>
      <c r="F664">
        <v>3.13</v>
      </c>
      <c r="G664">
        <v>3.66</v>
      </c>
      <c r="H664">
        <v>4.18</v>
      </c>
      <c r="I664">
        <v>5.0599999999999996</v>
      </c>
      <c r="K664">
        <f t="shared" si="83"/>
        <v>-2.0000000000000018</v>
      </c>
      <c r="L664">
        <f t="shared" si="84"/>
        <v>-1.0000000000000009</v>
      </c>
      <c r="M664">
        <f t="shared" si="85"/>
        <v>-1.0000000000000231</v>
      </c>
      <c r="N664">
        <f t="shared" si="86"/>
        <v>-2.0000000000000018</v>
      </c>
      <c r="O664">
        <f t="shared" si="87"/>
        <v>-3.0000000000000249</v>
      </c>
      <c r="P664">
        <f t="shared" si="88"/>
        <v>-2.9999999999999805</v>
      </c>
      <c r="Q664">
        <f t="shared" si="89"/>
        <v>-3.0000000000000249</v>
      </c>
      <c r="R664">
        <f t="shared" si="90"/>
        <v>-2.0000000000000462</v>
      </c>
    </row>
    <row r="665" spans="1:18">
      <c r="A665" s="9">
        <v>37683</v>
      </c>
      <c r="B665">
        <v>1.36</v>
      </c>
      <c r="C665">
        <v>1.79</v>
      </c>
      <c r="D665">
        <v>2.29</v>
      </c>
      <c r="E665">
        <v>2.7</v>
      </c>
      <c r="F665">
        <v>3.05</v>
      </c>
      <c r="G665">
        <v>3.58</v>
      </c>
      <c r="H665">
        <v>4.09</v>
      </c>
      <c r="I665">
        <v>4.99</v>
      </c>
      <c r="K665">
        <f t="shared" si="83"/>
        <v>-1.9999999999999796</v>
      </c>
      <c r="L665">
        <f t="shared" si="84"/>
        <v>-5.0000000000000044</v>
      </c>
      <c r="M665">
        <f t="shared" si="85"/>
        <v>-6.999999999999984</v>
      </c>
      <c r="N665">
        <f t="shared" si="86"/>
        <v>-8.9999999999999858</v>
      </c>
      <c r="O665">
        <f t="shared" si="87"/>
        <v>-8.0000000000000071</v>
      </c>
      <c r="P665">
        <f t="shared" si="88"/>
        <v>-8.0000000000000071</v>
      </c>
      <c r="Q665">
        <f t="shared" si="89"/>
        <v>-8.9999999999999858</v>
      </c>
      <c r="R665">
        <f t="shared" si="90"/>
        <v>-6.9999999999999396</v>
      </c>
    </row>
    <row r="666" spans="1:18">
      <c r="A666" s="9">
        <v>37684</v>
      </c>
      <c r="B666">
        <v>1.34</v>
      </c>
      <c r="C666">
        <v>1.74</v>
      </c>
      <c r="D666">
        <v>2.23</v>
      </c>
      <c r="E666">
        <v>2.66</v>
      </c>
      <c r="F666">
        <v>3.01</v>
      </c>
      <c r="G666">
        <v>3.55</v>
      </c>
      <c r="H666">
        <v>4.07</v>
      </c>
      <c r="I666">
        <v>5</v>
      </c>
      <c r="K666">
        <f t="shared" si="83"/>
        <v>-2.0000000000000018</v>
      </c>
      <c r="L666">
        <f t="shared" si="84"/>
        <v>-5.0000000000000044</v>
      </c>
      <c r="M666">
        <f t="shared" si="85"/>
        <v>-6.0000000000000053</v>
      </c>
      <c r="N666">
        <f t="shared" si="86"/>
        <v>-4.0000000000000036</v>
      </c>
      <c r="O666">
        <f t="shared" si="87"/>
        <v>-4.0000000000000036</v>
      </c>
      <c r="P666">
        <f t="shared" si="88"/>
        <v>-3.0000000000000249</v>
      </c>
      <c r="Q666">
        <f t="shared" si="89"/>
        <v>-1.9999999999999574</v>
      </c>
      <c r="R666">
        <f t="shared" si="90"/>
        <v>0.99999999999997868</v>
      </c>
    </row>
    <row r="667" spans="1:18">
      <c r="A667" s="9">
        <v>37685</v>
      </c>
      <c r="B667">
        <v>1.31</v>
      </c>
      <c r="C667">
        <v>1.69</v>
      </c>
      <c r="D667">
        <v>2.1800000000000002</v>
      </c>
      <c r="E667">
        <v>2.61</v>
      </c>
      <c r="F667">
        <v>2.97</v>
      </c>
      <c r="G667">
        <v>3.51</v>
      </c>
      <c r="H667">
        <v>4.04</v>
      </c>
      <c r="I667">
        <v>4.97</v>
      </c>
      <c r="K667">
        <f t="shared" si="83"/>
        <v>-3.0000000000000027</v>
      </c>
      <c r="L667">
        <f t="shared" si="84"/>
        <v>-5.0000000000000044</v>
      </c>
      <c r="M667">
        <f t="shared" si="85"/>
        <v>-4.9999999999999822</v>
      </c>
      <c r="N667">
        <f t="shared" si="86"/>
        <v>-5.0000000000000266</v>
      </c>
      <c r="O667">
        <f t="shared" si="87"/>
        <v>-3.9999999999999591</v>
      </c>
      <c r="P667">
        <f t="shared" si="88"/>
        <v>-4.0000000000000036</v>
      </c>
      <c r="Q667">
        <f t="shared" si="89"/>
        <v>-3.0000000000000249</v>
      </c>
      <c r="R667">
        <f t="shared" si="90"/>
        <v>-3.0000000000000249</v>
      </c>
    </row>
    <row r="668" spans="1:18">
      <c r="A668" s="9">
        <v>37686</v>
      </c>
      <c r="B668">
        <v>1.31</v>
      </c>
      <c r="C668">
        <v>1.72</v>
      </c>
      <c r="D668">
        <v>2.2200000000000002</v>
      </c>
      <c r="E668">
        <v>2.66</v>
      </c>
      <c r="F668">
        <v>3.02</v>
      </c>
      <c r="G668">
        <v>3.56</v>
      </c>
      <c r="H668">
        <v>4.09</v>
      </c>
      <c r="I668">
        <v>5.01</v>
      </c>
      <c r="K668">
        <f t="shared" si="83"/>
        <v>0</v>
      </c>
      <c r="L668">
        <f t="shared" si="84"/>
        <v>3.0000000000000027</v>
      </c>
      <c r="M668">
        <f t="shared" si="85"/>
        <v>4.0000000000000036</v>
      </c>
      <c r="N668">
        <f t="shared" si="86"/>
        <v>5.0000000000000266</v>
      </c>
      <c r="O668">
        <f t="shared" si="87"/>
        <v>4.9999999999999822</v>
      </c>
      <c r="P668">
        <f t="shared" si="88"/>
        <v>5.0000000000000266</v>
      </c>
      <c r="Q668">
        <f t="shared" si="89"/>
        <v>4.9999999999999822</v>
      </c>
      <c r="R668">
        <f t="shared" si="90"/>
        <v>4.0000000000000036</v>
      </c>
    </row>
    <row r="669" spans="1:18">
      <c r="A669" s="9">
        <v>37687</v>
      </c>
      <c r="B669">
        <v>1.24</v>
      </c>
      <c r="C669">
        <v>1.64</v>
      </c>
      <c r="D669">
        <v>2.15</v>
      </c>
      <c r="E669">
        <v>2.59</v>
      </c>
      <c r="F669">
        <v>2.95</v>
      </c>
      <c r="G669">
        <v>3.5</v>
      </c>
      <c r="H669">
        <v>4.04</v>
      </c>
      <c r="I669">
        <v>5</v>
      </c>
      <c r="K669">
        <f t="shared" si="83"/>
        <v>-7.0000000000000062</v>
      </c>
      <c r="L669">
        <f t="shared" si="84"/>
        <v>-8.0000000000000071</v>
      </c>
      <c r="M669">
        <f t="shared" si="85"/>
        <v>-7.0000000000000284</v>
      </c>
      <c r="N669">
        <f t="shared" si="86"/>
        <v>-7.0000000000000284</v>
      </c>
      <c r="O669">
        <f t="shared" si="87"/>
        <v>-6.999999999999984</v>
      </c>
      <c r="P669">
        <f t="shared" si="88"/>
        <v>-6.0000000000000053</v>
      </c>
      <c r="Q669">
        <f t="shared" si="89"/>
        <v>-4.9999999999999822</v>
      </c>
      <c r="R669">
        <f t="shared" si="90"/>
        <v>-0.99999999999997868</v>
      </c>
    </row>
    <row r="670" spans="1:18">
      <c r="A670" s="9">
        <v>37690</v>
      </c>
      <c r="B670">
        <v>1.17</v>
      </c>
      <c r="C670">
        <v>1.59</v>
      </c>
      <c r="D670">
        <v>2.1</v>
      </c>
      <c r="E670">
        <v>2.54</v>
      </c>
      <c r="F670">
        <v>2.91</v>
      </c>
      <c r="G670">
        <v>3.46</v>
      </c>
      <c r="H670">
        <v>4.01</v>
      </c>
      <c r="I670">
        <v>4.97</v>
      </c>
      <c r="K670">
        <f t="shared" si="83"/>
        <v>-7.0000000000000062</v>
      </c>
      <c r="L670">
        <f t="shared" si="84"/>
        <v>-4.9999999999999822</v>
      </c>
      <c r="M670">
        <f t="shared" si="85"/>
        <v>-4.9999999999999822</v>
      </c>
      <c r="N670">
        <f t="shared" si="86"/>
        <v>-4.9999999999999822</v>
      </c>
      <c r="O670">
        <f t="shared" si="87"/>
        <v>-4.0000000000000036</v>
      </c>
      <c r="P670">
        <f t="shared" si="88"/>
        <v>-4.0000000000000036</v>
      </c>
      <c r="Q670">
        <f t="shared" si="89"/>
        <v>-3.0000000000000249</v>
      </c>
      <c r="R670">
        <f t="shared" si="90"/>
        <v>-3.0000000000000249</v>
      </c>
    </row>
    <row r="671" spans="1:18">
      <c r="A671" s="9">
        <v>37691</v>
      </c>
      <c r="B671">
        <v>1.19</v>
      </c>
      <c r="C671">
        <v>1.61</v>
      </c>
      <c r="D671">
        <v>2.11</v>
      </c>
      <c r="E671">
        <v>2.54</v>
      </c>
      <c r="F671">
        <v>2.9</v>
      </c>
      <c r="G671">
        <v>3.44</v>
      </c>
      <c r="H671">
        <v>3.98</v>
      </c>
      <c r="I671">
        <v>4.9400000000000004</v>
      </c>
      <c r="K671">
        <f t="shared" si="83"/>
        <v>2.0000000000000018</v>
      </c>
      <c r="L671">
        <f t="shared" si="84"/>
        <v>2.0000000000000018</v>
      </c>
      <c r="M671">
        <f t="shared" si="85"/>
        <v>0.99999999999997868</v>
      </c>
      <c r="N671">
        <f t="shared" si="86"/>
        <v>0</v>
      </c>
      <c r="O671">
        <f t="shared" si="87"/>
        <v>-1.0000000000000231</v>
      </c>
      <c r="P671">
        <f t="shared" si="88"/>
        <v>-2.0000000000000018</v>
      </c>
      <c r="Q671">
        <f t="shared" si="89"/>
        <v>-2.9999999999999805</v>
      </c>
      <c r="R671">
        <f t="shared" si="90"/>
        <v>-2.9999999999999361</v>
      </c>
    </row>
    <row r="672" spans="1:18">
      <c r="A672" s="9">
        <v>37692</v>
      </c>
      <c r="B672">
        <v>1.23</v>
      </c>
      <c r="C672">
        <v>1.67</v>
      </c>
      <c r="D672">
        <v>2.17</v>
      </c>
      <c r="E672">
        <v>2.6</v>
      </c>
      <c r="F672">
        <v>2.96</v>
      </c>
      <c r="G672">
        <v>3.5</v>
      </c>
      <c r="H672">
        <v>4.0199999999999996</v>
      </c>
      <c r="I672">
        <v>4.9400000000000004</v>
      </c>
      <c r="K672">
        <f t="shared" si="83"/>
        <v>4.0000000000000036</v>
      </c>
      <c r="L672">
        <f t="shared" si="84"/>
        <v>5.9999999999999831</v>
      </c>
      <c r="M672">
        <f t="shared" si="85"/>
        <v>6.0000000000000053</v>
      </c>
      <c r="N672">
        <f t="shared" si="86"/>
        <v>6.0000000000000053</v>
      </c>
      <c r="O672">
        <f t="shared" si="87"/>
        <v>6.0000000000000053</v>
      </c>
      <c r="P672">
        <f t="shared" si="88"/>
        <v>6.0000000000000053</v>
      </c>
      <c r="Q672">
        <f t="shared" si="89"/>
        <v>3.9999999999999591</v>
      </c>
      <c r="R672">
        <f t="shared" si="90"/>
        <v>0</v>
      </c>
    </row>
    <row r="673" spans="1:18">
      <c r="A673" s="9">
        <v>37693</v>
      </c>
      <c r="B673">
        <v>1.31</v>
      </c>
      <c r="C673">
        <v>1.8</v>
      </c>
      <c r="D673">
        <v>2.2999999999999998</v>
      </c>
      <c r="E673">
        <v>2.73</v>
      </c>
      <c r="F673">
        <v>3.08</v>
      </c>
      <c r="G673">
        <v>3.61</v>
      </c>
      <c r="H673">
        <v>4.1100000000000003</v>
      </c>
      <c r="I673">
        <v>4.99</v>
      </c>
      <c r="K673">
        <f t="shared" si="83"/>
        <v>8.0000000000000071</v>
      </c>
      <c r="L673">
        <f t="shared" si="84"/>
        <v>13.000000000000011</v>
      </c>
      <c r="M673">
        <f t="shared" si="85"/>
        <v>12.999999999999989</v>
      </c>
      <c r="N673">
        <f t="shared" si="86"/>
        <v>12.999999999999989</v>
      </c>
      <c r="O673">
        <f t="shared" si="87"/>
        <v>12.000000000000011</v>
      </c>
      <c r="P673">
        <f t="shared" si="88"/>
        <v>10.999999999999988</v>
      </c>
      <c r="Q673">
        <f t="shared" si="89"/>
        <v>9.0000000000000746</v>
      </c>
      <c r="R673">
        <f t="shared" si="90"/>
        <v>4.9999999999999822</v>
      </c>
    </row>
    <row r="674" spans="1:18">
      <c r="A674" s="9">
        <v>37694</v>
      </c>
      <c r="B674">
        <v>1.35</v>
      </c>
      <c r="C674">
        <v>1.83</v>
      </c>
      <c r="D674">
        <v>2.36</v>
      </c>
      <c r="E674">
        <v>2.79</v>
      </c>
      <c r="F674">
        <v>3.15</v>
      </c>
      <c r="G674">
        <v>3.66</v>
      </c>
      <c r="H674">
        <v>4.16</v>
      </c>
      <c r="I674">
        <v>5.04</v>
      </c>
      <c r="K674">
        <f t="shared" si="83"/>
        <v>4.0000000000000036</v>
      </c>
      <c r="L674">
        <f t="shared" si="84"/>
        <v>3.0000000000000027</v>
      </c>
      <c r="M674">
        <f t="shared" si="85"/>
        <v>6.0000000000000053</v>
      </c>
      <c r="N674">
        <f t="shared" si="86"/>
        <v>6.0000000000000053</v>
      </c>
      <c r="O674">
        <f t="shared" si="87"/>
        <v>6.999999999999984</v>
      </c>
      <c r="P674">
        <f t="shared" si="88"/>
        <v>5.0000000000000266</v>
      </c>
      <c r="Q674">
        <f t="shared" si="89"/>
        <v>4.9999999999999822</v>
      </c>
      <c r="R674">
        <f t="shared" si="90"/>
        <v>4.9999999999999822</v>
      </c>
    </row>
    <row r="675" spans="1:18">
      <c r="A675" s="9">
        <v>37697</v>
      </c>
      <c r="B675">
        <v>1.35</v>
      </c>
      <c r="C675">
        <v>1.88</v>
      </c>
      <c r="D675">
        <v>2.4</v>
      </c>
      <c r="E675">
        <v>2.84</v>
      </c>
      <c r="F675">
        <v>3.2</v>
      </c>
      <c r="G675">
        <v>3.72</v>
      </c>
      <c r="H675">
        <v>4.24</v>
      </c>
      <c r="I675">
        <v>5.08</v>
      </c>
      <c r="K675">
        <f t="shared" si="83"/>
        <v>0</v>
      </c>
      <c r="L675">
        <f t="shared" si="84"/>
        <v>4.9999999999999822</v>
      </c>
      <c r="M675">
        <f t="shared" si="85"/>
        <v>4.0000000000000036</v>
      </c>
      <c r="N675">
        <f t="shared" si="86"/>
        <v>4.9999999999999822</v>
      </c>
      <c r="O675">
        <f t="shared" si="87"/>
        <v>5.0000000000000266</v>
      </c>
      <c r="P675">
        <f t="shared" si="88"/>
        <v>6.0000000000000053</v>
      </c>
      <c r="Q675">
        <f t="shared" si="89"/>
        <v>8.0000000000000071</v>
      </c>
      <c r="R675">
        <f t="shared" si="90"/>
        <v>4.0000000000000036</v>
      </c>
    </row>
    <row r="676" spans="1:18">
      <c r="A676" s="9">
        <v>37698</v>
      </c>
      <c r="B676">
        <v>1.35</v>
      </c>
      <c r="C676">
        <v>1.91</v>
      </c>
      <c r="D676">
        <v>2.4500000000000002</v>
      </c>
      <c r="E676">
        <v>2.89</v>
      </c>
      <c r="F676">
        <v>3.26</v>
      </c>
      <c r="G676">
        <v>3.78</v>
      </c>
      <c r="H676">
        <v>4.28</v>
      </c>
      <c r="I676">
        <v>5.1100000000000003</v>
      </c>
      <c r="K676">
        <f t="shared" si="83"/>
        <v>0</v>
      </c>
      <c r="L676">
        <f t="shared" si="84"/>
        <v>3.0000000000000027</v>
      </c>
      <c r="M676">
        <f t="shared" si="85"/>
        <v>5.0000000000000266</v>
      </c>
      <c r="N676">
        <f t="shared" si="86"/>
        <v>5.0000000000000266</v>
      </c>
      <c r="O676">
        <f t="shared" si="87"/>
        <v>5.9999999999999609</v>
      </c>
      <c r="P676">
        <f t="shared" si="88"/>
        <v>5.9999999999999609</v>
      </c>
      <c r="Q676">
        <f t="shared" si="89"/>
        <v>4.0000000000000036</v>
      </c>
      <c r="R676">
        <f t="shared" si="90"/>
        <v>3.0000000000000249</v>
      </c>
    </row>
    <row r="677" spans="1:18">
      <c r="A677" s="9">
        <v>37699</v>
      </c>
      <c r="B677">
        <v>1.4</v>
      </c>
      <c r="C677">
        <v>1.99</v>
      </c>
      <c r="D677">
        <v>2.56</v>
      </c>
      <c r="E677">
        <v>3</v>
      </c>
      <c r="F677">
        <v>3.38</v>
      </c>
      <c r="G677">
        <v>3.89</v>
      </c>
      <c r="H677">
        <v>4.3899999999999997</v>
      </c>
      <c r="I677">
        <v>5.2</v>
      </c>
      <c r="K677">
        <f t="shared" si="83"/>
        <v>4.9999999999999822</v>
      </c>
      <c r="L677">
        <f t="shared" si="84"/>
        <v>8.0000000000000071</v>
      </c>
      <c r="M677">
        <f t="shared" si="85"/>
        <v>10.999999999999988</v>
      </c>
      <c r="N677">
        <f t="shared" si="86"/>
        <v>10.999999999999988</v>
      </c>
      <c r="O677">
        <f t="shared" si="87"/>
        <v>12.000000000000011</v>
      </c>
      <c r="P677">
        <f t="shared" si="88"/>
        <v>11.000000000000032</v>
      </c>
      <c r="Q677">
        <f t="shared" si="89"/>
        <v>10.999999999999943</v>
      </c>
      <c r="R677">
        <f t="shared" si="90"/>
        <v>8.9999999999999858</v>
      </c>
    </row>
    <row r="678" spans="1:18">
      <c r="A678" s="9">
        <v>37700</v>
      </c>
      <c r="B678">
        <v>1.38</v>
      </c>
      <c r="C678">
        <v>1.98</v>
      </c>
      <c r="D678">
        <v>2.5499999999999998</v>
      </c>
      <c r="E678">
        <v>3.01</v>
      </c>
      <c r="F678">
        <v>3.4</v>
      </c>
      <c r="G678">
        <v>3.92</v>
      </c>
      <c r="H678">
        <v>4.43</v>
      </c>
      <c r="I678">
        <v>5.24</v>
      </c>
      <c r="K678">
        <f t="shared" si="83"/>
        <v>-2.0000000000000018</v>
      </c>
      <c r="L678">
        <f t="shared" si="84"/>
        <v>-1.0000000000000009</v>
      </c>
      <c r="M678">
        <f t="shared" si="85"/>
        <v>-1.0000000000000231</v>
      </c>
      <c r="N678">
        <f t="shared" si="86"/>
        <v>0.99999999999997868</v>
      </c>
      <c r="O678">
        <f t="shared" si="87"/>
        <v>2.0000000000000018</v>
      </c>
      <c r="P678">
        <f t="shared" si="88"/>
        <v>2.9999999999999805</v>
      </c>
      <c r="Q678">
        <f t="shared" si="89"/>
        <v>4.0000000000000036</v>
      </c>
      <c r="R678">
        <f t="shared" si="90"/>
        <v>4.0000000000000036</v>
      </c>
    </row>
    <row r="679" spans="1:18">
      <c r="A679" s="9">
        <v>37701</v>
      </c>
      <c r="B679">
        <v>1.45</v>
      </c>
      <c r="C679">
        <v>2.09</v>
      </c>
      <c r="D679">
        <v>2.67</v>
      </c>
      <c r="E679">
        <v>3.14</v>
      </c>
      <c r="F679">
        <v>3.52</v>
      </c>
      <c r="G679">
        <v>4.04</v>
      </c>
      <c r="H679">
        <v>4.54</v>
      </c>
      <c r="I679">
        <v>5.31</v>
      </c>
      <c r="K679">
        <f t="shared" si="83"/>
        <v>7.0000000000000062</v>
      </c>
      <c r="L679">
        <f t="shared" si="84"/>
        <v>10.999999999999988</v>
      </c>
      <c r="M679">
        <f t="shared" si="85"/>
        <v>12.000000000000011</v>
      </c>
      <c r="N679">
        <f t="shared" si="86"/>
        <v>13.000000000000034</v>
      </c>
      <c r="O679">
        <f t="shared" si="87"/>
        <v>12.000000000000011</v>
      </c>
      <c r="P679">
        <f t="shared" si="88"/>
        <v>12.000000000000011</v>
      </c>
      <c r="Q679">
        <f t="shared" si="89"/>
        <v>11.000000000000032</v>
      </c>
      <c r="R679">
        <f t="shared" si="90"/>
        <v>6.9999999999999396</v>
      </c>
    </row>
    <row r="680" spans="1:18">
      <c r="A680" s="9">
        <v>37704</v>
      </c>
      <c r="B680">
        <v>1.41</v>
      </c>
      <c r="C680">
        <v>2.0099999999999998</v>
      </c>
      <c r="D680">
        <v>2.59</v>
      </c>
      <c r="E680">
        <v>3.04</v>
      </c>
      <c r="F680">
        <v>3.41</v>
      </c>
      <c r="G680">
        <v>3.94</v>
      </c>
      <c r="H680">
        <v>4.45</v>
      </c>
      <c r="I680">
        <v>5.26</v>
      </c>
      <c r="K680">
        <f t="shared" si="83"/>
        <v>-4.0000000000000036</v>
      </c>
      <c r="L680">
        <f t="shared" si="84"/>
        <v>-8.0000000000000071</v>
      </c>
      <c r="M680">
        <f t="shared" si="85"/>
        <v>-8.0000000000000071</v>
      </c>
      <c r="N680">
        <f t="shared" si="86"/>
        <v>-10.000000000000009</v>
      </c>
      <c r="O680">
        <f t="shared" si="87"/>
        <v>-10.999999999999988</v>
      </c>
      <c r="P680">
        <f t="shared" si="88"/>
        <v>-10.000000000000009</v>
      </c>
      <c r="Q680">
        <f t="shared" si="89"/>
        <v>-8.9999999999999858</v>
      </c>
      <c r="R680">
        <f t="shared" si="90"/>
        <v>-4.9999999999999822</v>
      </c>
    </row>
    <row r="681" spans="1:18">
      <c r="A681" s="9">
        <v>37705</v>
      </c>
      <c r="B681">
        <v>1.39</v>
      </c>
      <c r="C681">
        <v>1.95</v>
      </c>
      <c r="D681">
        <v>2.52</v>
      </c>
      <c r="E681">
        <v>2.98</v>
      </c>
      <c r="F681">
        <v>3.36</v>
      </c>
      <c r="G681">
        <v>3.89</v>
      </c>
      <c r="H681">
        <v>4.4000000000000004</v>
      </c>
      <c r="I681">
        <v>5.22</v>
      </c>
      <c r="K681">
        <f t="shared" si="83"/>
        <v>-2.0000000000000018</v>
      </c>
      <c r="L681">
        <f t="shared" si="84"/>
        <v>-5.9999999999999831</v>
      </c>
      <c r="M681">
        <f t="shared" si="85"/>
        <v>-6.999999999999984</v>
      </c>
      <c r="N681">
        <f t="shared" si="86"/>
        <v>-6.0000000000000053</v>
      </c>
      <c r="O681">
        <f t="shared" si="87"/>
        <v>-5.0000000000000266</v>
      </c>
      <c r="P681">
        <f t="shared" si="88"/>
        <v>-4.9999999999999822</v>
      </c>
      <c r="Q681">
        <f t="shared" si="89"/>
        <v>-4.9999999999999822</v>
      </c>
      <c r="R681">
        <f t="shared" si="90"/>
        <v>-4.0000000000000036</v>
      </c>
    </row>
    <row r="682" spans="1:18">
      <c r="A682" s="9">
        <v>37706</v>
      </c>
      <c r="B682">
        <v>1.39</v>
      </c>
      <c r="C682">
        <v>1.96</v>
      </c>
      <c r="D682">
        <v>2.5299999999999998</v>
      </c>
      <c r="E682">
        <v>2.99</v>
      </c>
      <c r="F682">
        <v>3.37</v>
      </c>
      <c r="G682">
        <v>3.9</v>
      </c>
      <c r="H682">
        <v>4.4000000000000004</v>
      </c>
      <c r="I682">
        <v>5.22</v>
      </c>
      <c r="K682">
        <f t="shared" si="83"/>
        <v>0</v>
      </c>
      <c r="L682">
        <f t="shared" si="84"/>
        <v>1.0000000000000009</v>
      </c>
      <c r="M682">
        <f t="shared" si="85"/>
        <v>0.99999999999997868</v>
      </c>
      <c r="N682">
        <f t="shared" si="86"/>
        <v>1.0000000000000231</v>
      </c>
      <c r="O682">
        <f t="shared" si="87"/>
        <v>1.0000000000000231</v>
      </c>
      <c r="P682">
        <f t="shared" si="88"/>
        <v>0.99999999999997868</v>
      </c>
      <c r="Q682">
        <f t="shared" si="89"/>
        <v>0</v>
      </c>
      <c r="R682">
        <f t="shared" si="90"/>
        <v>0</v>
      </c>
    </row>
    <row r="683" spans="1:18">
      <c r="A683" s="9">
        <v>37707</v>
      </c>
      <c r="B683">
        <v>1.34</v>
      </c>
      <c r="C683">
        <v>1.87</v>
      </c>
      <c r="D683">
        <v>2.44</v>
      </c>
      <c r="E683">
        <v>2.91</v>
      </c>
      <c r="F683">
        <v>3.29</v>
      </c>
      <c r="G683">
        <v>3.83</v>
      </c>
      <c r="H683">
        <v>4.34</v>
      </c>
      <c r="I683">
        <v>5.2</v>
      </c>
      <c r="K683">
        <f t="shared" si="83"/>
        <v>-4.9999999999999822</v>
      </c>
      <c r="L683">
        <f t="shared" si="84"/>
        <v>-8.9999999999999858</v>
      </c>
      <c r="M683">
        <f t="shared" si="85"/>
        <v>-8.9999999999999858</v>
      </c>
      <c r="N683">
        <f t="shared" si="86"/>
        <v>-8.0000000000000071</v>
      </c>
      <c r="O683">
        <f t="shared" si="87"/>
        <v>-8.0000000000000071</v>
      </c>
      <c r="P683">
        <f t="shared" si="88"/>
        <v>-6.999999999999984</v>
      </c>
      <c r="Q683">
        <f t="shared" si="89"/>
        <v>-6.0000000000000497</v>
      </c>
      <c r="R683">
        <f t="shared" si="90"/>
        <v>-1.9999999999999574</v>
      </c>
    </row>
    <row r="684" spans="1:18">
      <c r="A684" s="9">
        <v>37708</v>
      </c>
      <c r="B684">
        <v>1.32</v>
      </c>
      <c r="C684">
        <v>1.84</v>
      </c>
      <c r="D684">
        <v>2.41</v>
      </c>
      <c r="E684">
        <v>2.88</v>
      </c>
      <c r="F684">
        <v>3.27</v>
      </c>
      <c r="G684">
        <v>3.82</v>
      </c>
      <c r="H684">
        <v>4.34</v>
      </c>
      <c r="I684">
        <v>5.21</v>
      </c>
      <c r="K684">
        <f t="shared" si="83"/>
        <v>-2.0000000000000018</v>
      </c>
      <c r="L684">
        <f t="shared" si="84"/>
        <v>-3.0000000000000027</v>
      </c>
      <c r="M684">
        <f t="shared" si="85"/>
        <v>-2.9999999999999805</v>
      </c>
      <c r="N684">
        <f t="shared" si="86"/>
        <v>-3.0000000000000249</v>
      </c>
      <c r="O684">
        <f t="shared" si="87"/>
        <v>-2.0000000000000018</v>
      </c>
      <c r="P684">
        <f t="shared" si="88"/>
        <v>-1.0000000000000231</v>
      </c>
      <c r="Q684">
        <f t="shared" si="89"/>
        <v>0</v>
      </c>
      <c r="R684">
        <f t="shared" si="90"/>
        <v>0.99999999999997868</v>
      </c>
    </row>
    <row r="685" spans="1:18">
      <c r="A685" s="9">
        <v>37711</v>
      </c>
      <c r="B685">
        <v>1.27</v>
      </c>
      <c r="C685">
        <v>1.74</v>
      </c>
      <c r="D685">
        <v>2.2999999999999998</v>
      </c>
      <c r="E685">
        <v>2.76</v>
      </c>
      <c r="F685">
        <v>3.15</v>
      </c>
      <c r="G685">
        <v>3.71</v>
      </c>
      <c r="H685">
        <v>4.25</v>
      </c>
      <c r="I685">
        <v>5.13</v>
      </c>
      <c r="K685">
        <f t="shared" si="83"/>
        <v>-5.0000000000000044</v>
      </c>
      <c r="L685">
        <f t="shared" si="84"/>
        <v>-10.000000000000009</v>
      </c>
      <c r="M685">
        <f t="shared" si="85"/>
        <v>-11.000000000000032</v>
      </c>
      <c r="N685">
        <f t="shared" si="86"/>
        <v>-12.000000000000011</v>
      </c>
      <c r="O685">
        <f t="shared" si="87"/>
        <v>-12.000000000000011</v>
      </c>
      <c r="P685">
        <f t="shared" si="88"/>
        <v>-10.999999999999988</v>
      </c>
      <c r="Q685">
        <f t="shared" si="89"/>
        <v>-8.9999999999999858</v>
      </c>
      <c r="R685">
        <f t="shared" si="90"/>
        <v>-8.0000000000000071</v>
      </c>
    </row>
    <row r="686" spans="1:18">
      <c r="A686" s="9">
        <v>37712</v>
      </c>
      <c r="B686">
        <v>1.27</v>
      </c>
      <c r="C686">
        <v>1.74</v>
      </c>
      <c r="D686">
        <v>2.29</v>
      </c>
      <c r="E686">
        <v>2.76</v>
      </c>
      <c r="F686">
        <v>3.15</v>
      </c>
      <c r="G686">
        <v>3.71</v>
      </c>
      <c r="H686">
        <v>4.25</v>
      </c>
      <c r="I686">
        <v>5.12</v>
      </c>
      <c r="K686">
        <f t="shared" si="83"/>
        <v>0</v>
      </c>
      <c r="L686">
        <f t="shared" si="84"/>
        <v>0</v>
      </c>
      <c r="M686">
        <f t="shared" si="85"/>
        <v>-0.99999999999997868</v>
      </c>
      <c r="N686">
        <f t="shared" si="86"/>
        <v>0</v>
      </c>
      <c r="O686">
        <f t="shared" si="87"/>
        <v>0</v>
      </c>
      <c r="P686">
        <f t="shared" si="88"/>
        <v>0</v>
      </c>
      <c r="Q686">
        <f t="shared" si="89"/>
        <v>0</v>
      </c>
      <c r="R686">
        <f t="shared" si="90"/>
        <v>-0.99999999999997868</v>
      </c>
    </row>
    <row r="687" spans="1:18">
      <c r="A687" s="9">
        <v>37713</v>
      </c>
      <c r="B687">
        <v>1.33</v>
      </c>
      <c r="C687">
        <v>1.86</v>
      </c>
      <c r="D687">
        <v>2.4300000000000002</v>
      </c>
      <c r="E687">
        <v>2.91</v>
      </c>
      <c r="F687">
        <v>3.3</v>
      </c>
      <c r="G687">
        <v>3.85</v>
      </c>
      <c r="H687">
        <v>4.37</v>
      </c>
      <c r="I687">
        <v>5.21</v>
      </c>
      <c r="K687">
        <f t="shared" si="83"/>
        <v>6.0000000000000053</v>
      </c>
      <c r="L687">
        <f t="shared" si="84"/>
        <v>12.000000000000011</v>
      </c>
      <c r="M687">
        <f t="shared" si="85"/>
        <v>14.000000000000012</v>
      </c>
      <c r="N687">
        <f t="shared" si="86"/>
        <v>15.000000000000036</v>
      </c>
      <c r="O687">
        <f t="shared" si="87"/>
        <v>14.999999999999991</v>
      </c>
      <c r="P687">
        <f t="shared" si="88"/>
        <v>14.000000000000012</v>
      </c>
      <c r="Q687">
        <f t="shared" si="89"/>
        <v>12.000000000000011</v>
      </c>
      <c r="R687">
        <f t="shared" si="90"/>
        <v>8.9999999999999858</v>
      </c>
    </row>
    <row r="688" spans="1:18">
      <c r="A688" s="9">
        <v>37714</v>
      </c>
      <c r="B688">
        <v>1.31</v>
      </c>
      <c r="C688">
        <v>1.83</v>
      </c>
      <c r="D688">
        <v>2.4</v>
      </c>
      <c r="E688">
        <v>2.88</v>
      </c>
      <c r="F688">
        <v>3.27</v>
      </c>
      <c r="G688">
        <v>3.83</v>
      </c>
      <c r="H688">
        <v>4.3499999999999996</v>
      </c>
      <c r="I688">
        <v>5.22</v>
      </c>
      <c r="K688">
        <f t="shared" si="83"/>
        <v>-2.0000000000000018</v>
      </c>
      <c r="L688">
        <f t="shared" si="84"/>
        <v>-3.0000000000000027</v>
      </c>
      <c r="M688">
        <f t="shared" si="85"/>
        <v>-3.0000000000000249</v>
      </c>
      <c r="N688">
        <f t="shared" si="86"/>
        <v>-3.0000000000000249</v>
      </c>
      <c r="O688">
        <f t="shared" si="87"/>
        <v>-2.9999999999999805</v>
      </c>
      <c r="P688">
        <f t="shared" si="88"/>
        <v>-2.0000000000000018</v>
      </c>
      <c r="Q688">
        <f t="shared" si="89"/>
        <v>-2.0000000000000462</v>
      </c>
      <c r="R688">
        <f t="shared" si="90"/>
        <v>0.99999999999997868</v>
      </c>
    </row>
    <row r="689" spans="1:18">
      <c r="A689" s="9">
        <v>37715</v>
      </c>
      <c r="B689">
        <v>1.29</v>
      </c>
      <c r="C689">
        <v>1.8</v>
      </c>
      <c r="D689">
        <v>2.37</v>
      </c>
      <c r="E689">
        <v>2.86</v>
      </c>
      <c r="F689">
        <v>3.26</v>
      </c>
      <c r="G689">
        <v>3.82</v>
      </c>
      <c r="H689">
        <v>4.3600000000000003</v>
      </c>
      <c r="I689">
        <v>5.24</v>
      </c>
      <c r="K689">
        <f t="shared" si="83"/>
        <v>-2.0000000000000018</v>
      </c>
      <c r="L689">
        <f t="shared" si="84"/>
        <v>-3.0000000000000027</v>
      </c>
      <c r="M689">
        <f t="shared" si="85"/>
        <v>-2.9999999999999805</v>
      </c>
      <c r="N689">
        <f t="shared" si="86"/>
        <v>-2.0000000000000018</v>
      </c>
      <c r="O689">
        <f t="shared" si="87"/>
        <v>-1.0000000000000231</v>
      </c>
      <c r="P689">
        <f t="shared" si="88"/>
        <v>-1.0000000000000231</v>
      </c>
      <c r="Q689">
        <f t="shared" si="89"/>
        <v>1.0000000000000675</v>
      </c>
      <c r="R689">
        <f t="shared" si="90"/>
        <v>2.0000000000000462</v>
      </c>
    </row>
    <row r="690" spans="1:18">
      <c r="A690" s="9">
        <v>37718</v>
      </c>
      <c r="B690">
        <v>1.38</v>
      </c>
      <c r="C690">
        <v>1.94</v>
      </c>
      <c r="D690">
        <v>2.5099999999999998</v>
      </c>
      <c r="E690">
        <v>3</v>
      </c>
      <c r="F690">
        <v>3.4</v>
      </c>
      <c r="G690">
        <v>3.95</v>
      </c>
      <c r="H690">
        <v>4.4800000000000004</v>
      </c>
      <c r="I690">
        <v>5.33</v>
      </c>
      <c r="K690">
        <f t="shared" si="83"/>
        <v>8.9999999999999858</v>
      </c>
      <c r="L690">
        <f t="shared" si="84"/>
        <v>13.999999999999989</v>
      </c>
      <c r="M690">
        <f t="shared" si="85"/>
        <v>13.999999999999968</v>
      </c>
      <c r="N690">
        <f t="shared" si="86"/>
        <v>14.000000000000012</v>
      </c>
      <c r="O690">
        <f t="shared" si="87"/>
        <v>14.000000000000012</v>
      </c>
      <c r="P690">
        <f t="shared" si="88"/>
        <v>13.000000000000034</v>
      </c>
      <c r="Q690">
        <f t="shared" si="89"/>
        <v>12.000000000000011</v>
      </c>
      <c r="R690">
        <f t="shared" si="90"/>
        <v>8.9999999999999858</v>
      </c>
    </row>
    <row r="691" spans="1:18">
      <c r="A691" s="9">
        <v>37719</v>
      </c>
      <c r="B691">
        <v>1.35</v>
      </c>
      <c r="C691">
        <v>1.87</v>
      </c>
      <c r="D691">
        <v>2.44</v>
      </c>
      <c r="E691">
        <v>2.92</v>
      </c>
      <c r="F691">
        <v>3.31</v>
      </c>
      <c r="G691">
        <v>3.86</v>
      </c>
      <c r="H691">
        <v>4.38</v>
      </c>
      <c r="I691">
        <v>5.24</v>
      </c>
      <c r="K691">
        <f t="shared" si="83"/>
        <v>-2.9999999999999805</v>
      </c>
      <c r="L691">
        <f t="shared" si="84"/>
        <v>-6.999999999999984</v>
      </c>
      <c r="M691">
        <f t="shared" si="85"/>
        <v>-6.999999999999984</v>
      </c>
      <c r="N691">
        <f t="shared" si="86"/>
        <v>-8.0000000000000071</v>
      </c>
      <c r="O691">
        <f t="shared" si="87"/>
        <v>-8.9999999999999858</v>
      </c>
      <c r="P691">
        <f t="shared" si="88"/>
        <v>-9.0000000000000302</v>
      </c>
      <c r="Q691">
        <f t="shared" si="89"/>
        <v>-10.000000000000053</v>
      </c>
      <c r="R691">
        <f t="shared" si="90"/>
        <v>-8.9999999999999858</v>
      </c>
    </row>
    <row r="692" spans="1:18">
      <c r="A692" s="9">
        <v>37720</v>
      </c>
      <c r="B692">
        <v>1.33</v>
      </c>
      <c r="C692">
        <v>1.85</v>
      </c>
      <c r="D692">
        <v>2.41</v>
      </c>
      <c r="E692">
        <v>2.88</v>
      </c>
      <c r="F692">
        <v>3.27</v>
      </c>
      <c r="G692">
        <v>3.82</v>
      </c>
      <c r="H692">
        <v>4.3499999999999996</v>
      </c>
      <c r="I692">
        <v>5.21</v>
      </c>
      <c r="K692">
        <f t="shared" si="83"/>
        <v>-2.0000000000000018</v>
      </c>
      <c r="L692">
        <f t="shared" si="84"/>
        <v>-2.0000000000000018</v>
      </c>
      <c r="M692">
        <f t="shared" si="85"/>
        <v>-2.9999999999999805</v>
      </c>
      <c r="N692">
        <f t="shared" si="86"/>
        <v>-4.0000000000000036</v>
      </c>
      <c r="O692">
        <f t="shared" si="87"/>
        <v>-4.0000000000000036</v>
      </c>
      <c r="P692">
        <f t="shared" si="88"/>
        <v>-4.0000000000000036</v>
      </c>
      <c r="Q692">
        <f t="shared" si="89"/>
        <v>-3.0000000000000249</v>
      </c>
      <c r="R692">
        <f t="shared" si="90"/>
        <v>-3.0000000000000249</v>
      </c>
    </row>
    <row r="693" spans="1:18">
      <c r="A693" s="9">
        <v>37721</v>
      </c>
      <c r="B693">
        <v>1.33</v>
      </c>
      <c r="C693">
        <v>1.83</v>
      </c>
      <c r="D693">
        <v>2.39</v>
      </c>
      <c r="E693">
        <v>2.85</v>
      </c>
      <c r="F693">
        <v>3.23</v>
      </c>
      <c r="G693">
        <v>3.78</v>
      </c>
      <c r="H693">
        <v>4.3099999999999996</v>
      </c>
      <c r="I693">
        <v>5.18</v>
      </c>
      <c r="K693">
        <f t="shared" si="83"/>
        <v>0</v>
      </c>
      <c r="L693">
        <f t="shared" si="84"/>
        <v>-2.0000000000000018</v>
      </c>
      <c r="M693">
        <f t="shared" si="85"/>
        <v>-2.0000000000000018</v>
      </c>
      <c r="N693">
        <f t="shared" si="86"/>
        <v>-2.9999999999999805</v>
      </c>
      <c r="O693">
        <f t="shared" si="87"/>
        <v>-4.0000000000000036</v>
      </c>
      <c r="P693">
        <f t="shared" si="88"/>
        <v>-4.0000000000000036</v>
      </c>
      <c r="Q693">
        <f t="shared" si="89"/>
        <v>-4.0000000000000036</v>
      </c>
      <c r="R693">
        <f t="shared" si="90"/>
        <v>-3.0000000000000249</v>
      </c>
    </row>
    <row r="694" spans="1:18">
      <c r="A694" s="9">
        <v>37722</v>
      </c>
      <c r="B694">
        <v>1.38</v>
      </c>
      <c r="C694">
        <v>1.9</v>
      </c>
      <c r="D694">
        <v>2.4700000000000002</v>
      </c>
      <c r="E694">
        <v>2.93</v>
      </c>
      <c r="F694">
        <v>3.31</v>
      </c>
      <c r="G694">
        <v>3.86</v>
      </c>
      <c r="H694">
        <v>4.3899999999999997</v>
      </c>
      <c r="I694">
        <v>5.23</v>
      </c>
      <c r="K694">
        <f t="shared" si="83"/>
        <v>4.9999999999999822</v>
      </c>
      <c r="L694">
        <f t="shared" si="84"/>
        <v>6.999999999999984</v>
      </c>
      <c r="M694">
        <f t="shared" si="85"/>
        <v>8.0000000000000071</v>
      </c>
      <c r="N694">
        <f t="shared" si="86"/>
        <v>8.0000000000000071</v>
      </c>
      <c r="O694">
        <f t="shared" si="87"/>
        <v>8.0000000000000071</v>
      </c>
      <c r="P694">
        <f t="shared" si="88"/>
        <v>8.0000000000000071</v>
      </c>
      <c r="Q694">
        <f t="shared" si="89"/>
        <v>8.0000000000000071</v>
      </c>
      <c r="R694">
        <f t="shared" si="90"/>
        <v>5.0000000000000711</v>
      </c>
    </row>
    <row r="695" spans="1:18">
      <c r="A695" s="9">
        <v>37725</v>
      </c>
      <c r="B695">
        <v>1.42</v>
      </c>
      <c r="C695">
        <v>1.97</v>
      </c>
      <c r="D695">
        <v>2.5299999999999998</v>
      </c>
      <c r="E695">
        <v>2.99</v>
      </c>
      <c r="F695">
        <v>3.37</v>
      </c>
      <c r="G695">
        <v>3.91</v>
      </c>
      <c r="H695">
        <v>4.42</v>
      </c>
      <c r="I695">
        <v>5.25</v>
      </c>
      <c r="K695">
        <f t="shared" si="83"/>
        <v>4.0000000000000036</v>
      </c>
      <c r="L695">
        <f t="shared" si="84"/>
        <v>7.0000000000000062</v>
      </c>
      <c r="M695">
        <f t="shared" si="85"/>
        <v>5.9999999999999609</v>
      </c>
      <c r="N695">
        <f t="shared" si="86"/>
        <v>6.0000000000000053</v>
      </c>
      <c r="O695">
        <f t="shared" si="87"/>
        <v>6.0000000000000053</v>
      </c>
      <c r="P695">
        <f t="shared" si="88"/>
        <v>5.0000000000000266</v>
      </c>
      <c r="Q695">
        <f t="shared" si="89"/>
        <v>3.0000000000000249</v>
      </c>
      <c r="R695">
        <f t="shared" si="90"/>
        <v>1.9999999999999574</v>
      </c>
    </row>
    <row r="696" spans="1:18">
      <c r="A696" s="9">
        <v>37726</v>
      </c>
      <c r="B696">
        <v>1.43</v>
      </c>
      <c r="C696">
        <v>1.95</v>
      </c>
      <c r="D696">
        <v>2.5099999999999998</v>
      </c>
      <c r="E696">
        <v>2.97</v>
      </c>
      <c r="F696">
        <v>3.35</v>
      </c>
      <c r="G696">
        <v>3.89</v>
      </c>
      <c r="H696">
        <v>4.3899999999999997</v>
      </c>
      <c r="I696">
        <v>5.23</v>
      </c>
      <c r="K696">
        <f t="shared" si="83"/>
        <v>1.0000000000000009</v>
      </c>
      <c r="L696">
        <f t="shared" si="84"/>
        <v>-2.0000000000000018</v>
      </c>
      <c r="M696">
        <f t="shared" si="85"/>
        <v>-2.0000000000000018</v>
      </c>
      <c r="N696">
        <f t="shared" si="86"/>
        <v>-2.0000000000000018</v>
      </c>
      <c r="O696">
        <f t="shared" si="87"/>
        <v>-2.0000000000000018</v>
      </c>
      <c r="P696">
        <f t="shared" si="88"/>
        <v>-2.0000000000000018</v>
      </c>
      <c r="Q696">
        <f t="shared" si="89"/>
        <v>-3.0000000000000249</v>
      </c>
      <c r="R696">
        <f t="shared" si="90"/>
        <v>-1.9999999999999574</v>
      </c>
    </row>
    <row r="697" spans="1:18">
      <c r="A697" s="9">
        <v>37727</v>
      </c>
      <c r="B697">
        <v>1.44</v>
      </c>
      <c r="C697">
        <v>1.95</v>
      </c>
      <c r="D697">
        <v>2.5</v>
      </c>
      <c r="E697">
        <v>2.96</v>
      </c>
      <c r="F697">
        <v>3.34</v>
      </c>
      <c r="G697">
        <v>3.87</v>
      </c>
      <c r="H697">
        <v>4.37</v>
      </c>
      <c r="I697">
        <v>5.2</v>
      </c>
      <c r="K697">
        <f t="shared" si="83"/>
        <v>1.0000000000000009</v>
      </c>
      <c r="L697">
        <f t="shared" si="84"/>
        <v>0</v>
      </c>
      <c r="M697">
        <f t="shared" si="85"/>
        <v>-0.99999999999997868</v>
      </c>
      <c r="N697">
        <f t="shared" si="86"/>
        <v>-1.0000000000000231</v>
      </c>
      <c r="O697">
        <f t="shared" si="87"/>
        <v>-1.0000000000000231</v>
      </c>
      <c r="P697">
        <f t="shared" si="88"/>
        <v>-2.0000000000000018</v>
      </c>
      <c r="Q697">
        <f t="shared" si="89"/>
        <v>-1.9999999999999574</v>
      </c>
      <c r="R697">
        <f t="shared" si="90"/>
        <v>-3.0000000000000249</v>
      </c>
    </row>
    <row r="698" spans="1:18">
      <c r="A698" s="9">
        <v>37728</v>
      </c>
      <c r="B698">
        <v>1.41</v>
      </c>
      <c r="C698">
        <v>1.91</v>
      </c>
      <c r="D698">
        <v>2.46</v>
      </c>
      <c r="E698">
        <v>2.91</v>
      </c>
      <c r="F698">
        <v>3.3</v>
      </c>
      <c r="G698">
        <v>3.83</v>
      </c>
      <c r="H698">
        <v>4.32</v>
      </c>
      <c r="I698">
        <v>5.15</v>
      </c>
      <c r="K698">
        <f t="shared" si="83"/>
        <v>-3.0000000000000027</v>
      </c>
      <c r="L698">
        <f t="shared" si="84"/>
        <v>-4.0000000000000036</v>
      </c>
      <c r="M698">
        <f t="shared" si="85"/>
        <v>-4.0000000000000036</v>
      </c>
      <c r="N698">
        <f t="shared" si="86"/>
        <v>-4.9999999999999822</v>
      </c>
      <c r="O698">
        <f t="shared" si="87"/>
        <v>-4.0000000000000036</v>
      </c>
      <c r="P698">
        <f t="shared" si="88"/>
        <v>-4.0000000000000036</v>
      </c>
      <c r="Q698">
        <f t="shared" si="89"/>
        <v>-4.9999999999999822</v>
      </c>
      <c r="R698">
        <f t="shared" si="90"/>
        <v>-4.9999999999999822</v>
      </c>
    </row>
    <row r="699" spans="1:18">
      <c r="A699" s="9">
        <v>37732</v>
      </c>
      <c r="B699">
        <v>1.45</v>
      </c>
      <c r="C699">
        <v>1.99</v>
      </c>
      <c r="D699">
        <v>2.5499999999999998</v>
      </c>
      <c r="E699">
        <v>3.01</v>
      </c>
      <c r="F699">
        <v>3.4</v>
      </c>
      <c r="G699">
        <v>3.92</v>
      </c>
      <c r="H699">
        <v>4.4000000000000004</v>
      </c>
      <c r="I699">
        <v>5.19</v>
      </c>
      <c r="K699">
        <f t="shared" si="83"/>
        <v>4.0000000000000036</v>
      </c>
      <c r="L699">
        <f t="shared" si="84"/>
        <v>8.0000000000000071</v>
      </c>
      <c r="M699">
        <f t="shared" si="85"/>
        <v>8.9999999999999858</v>
      </c>
      <c r="N699">
        <f t="shared" si="86"/>
        <v>9.9999999999999645</v>
      </c>
      <c r="O699">
        <f t="shared" si="87"/>
        <v>10.000000000000009</v>
      </c>
      <c r="P699">
        <f t="shared" si="88"/>
        <v>8.9999999999999858</v>
      </c>
      <c r="Q699">
        <f t="shared" si="89"/>
        <v>8.0000000000000071</v>
      </c>
      <c r="R699">
        <f t="shared" si="90"/>
        <v>4.0000000000000036</v>
      </c>
    </row>
    <row r="700" spans="1:18">
      <c r="A700" s="9">
        <v>37733</v>
      </c>
      <c r="B700">
        <v>1.41</v>
      </c>
      <c r="C700">
        <v>1.92</v>
      </c>
      <c r="D700">
        <v>2.48</v>
      </c>
      <c r="E700">
        <v>2.94</v>
      </c>
      <c r="F700">
        <v>3.31</v>
      </c>
      <c r="G700">
        <v>3.85</v>
      </c>
      <c r="H700">
        <v>4.34</v>
      </c>
      <c r="I700">
        <v>5.15</v>
      </c>
      <c r="K700">
        <f t="shared" si="83"/>
        <v>-4.0000000000000036</v>
      </c>
      <c r="L700">
        <f t="shared" si="84"/>
        <v>-7.0000000000000062</v>
      </c>
      <c r="M700">
        <f t="shared" si="85"/>
        <v>-6.999999999999984</v>
      </c>
      <c r="N700">
        <f t="shared" si="86"/>
        <v>-6.999999999999984</v>
      </c>
      <c r="O700">
        <f t="shared" si="87"/>
        <v>-8.9999999999999858</v>
      </c>
      <c r="P700">
        <f t="shared" si="88"/>
        <v>-6.999999999999984</v>
      </c>
      <c r="Q700">
        <f t="shared" si="89"/>
        <v>-6.0000000000000497</v>
      </c>
      <c r="R700">
        <f t="shared" si="90"/>
        <v>-4.0000000000000036</v>
      </c>
    </row>
    <row r="701" spans="1:18">
      <c r="A701" s="9">
        <v>37734</v>
      </c>
      <c r="B701">
        <v>1.42</v>
      </c>
      <c r="C701">
        <v>1.93</v>
      </c>
      <c r="D701">
        <v>2.4900000000000002</v>
      </c>
      <c r="E701">
        <v>2.96</v>
      </c>
      <c r="F701">
        <v>3.34</v>
      </c>
      <c r="G701">
        <v>3.88</v>
      </c>
      <c r="H701">
        <v>4.37</v>
      </c>
      <c r="I701">
        <v>5.17</v>
      </c>
      <c r="K701">
        <f t="shared" si="83"/>
        <v>1.0000000000000009</v>
      </c>
      <c r="L701">
        <f t="shared" si="84"/>
        <v>1.0000000000000009</v>
      </c>
      <c r="M701">
        <f t="shared" si="85"/>
        <v>1.0000000000000231</v>
      </c>
      <c r="N701">
        <f t="shared" si="86"/>
        <v>2.0000000000000018</v>
      </c>
      <c r="O701">
        <f t="shared" si="87"/>
        <v>2.9999999999999805</v>
      </c>
      <c r="P701">
        <f t="shared" si="88"/>
        <v>2.9999999999999805</v>
      </c>
      <c r="Q701">
        <f t="shared" si="89"/>
        <v>3.0000000000000249</v>
      </c>
      <c r="R701">
        <f t="shared" si="90"/>
        <v>1.9999999999999574</v>
      </c>
    </row>
    <row r="702" spans="1:18">
      <c r="A702" s="9">
        <v>37735</v>
      </c>
      <c r="B702">
        <v>1.36</v>
      </c>
      <c r="C702">
        <v>1.84</v>
      </c>
      <c r="D702">
        <v>2.4</v>
      </c>
      <c r="E702">
        <v>2.87</v>
      </c>
      <c r="F702">
        <v>3.24</v>
      </c>
      <c r="G702">
        <v>3.78</v>
      </c>
      <c r="H702">
        <v>4.29</v>
      </c>
      <c r="I702">
        <v>5.09</v>
      </c>
      <c r="K702">
        <f t="shared" si="83"/>
        <v>-5.9999999999999831</v>
      </c>
      <c r="L702">
        <f t="shared" si="84"/>
        <v>-8.9999999999999858</v>
      </c>
      <c r="M702">
        <f t="shared" si="85"/>
        <v>-9.0000000000000302</v>
      </c>
      <c r="N702">
        <f t="shared" si="86"/>
        <v>-8.9999999999999858</v>
      </c>
      <c r="O702">
        <f t="shared" si="87"/>
        <v>-9.9999999999999645</v>
      </c>
      <c r="P702">
        <f t="shared" si="88"/>
        <v>-10.000000000000009</v>
      </c>
      <c r="Q702">
        <f t="shared" si="89"/>
        <v>-8.0000000000000071</v>
      </c>
      <c r="R702">
        <f t="shared" si="90"/>
        <v>-8.0000000000000071</v>
      </c>
    </row>
    <row r="703" spans="1:18">
      <c r="A703" s="9">
        <v>37736</v>
      </c>
      <c r="B703">
        <v>1.32</v>
      </c>
      <c r="C703">
        <v>1.79</v>
      </c>
      <c r="D703">
        <v>2.35</v>
      </c>
      <c r="E703">
        <v>2.82</v>
      </c>
      <c r="F703">
        <v>3.2</v>
      </c>
      <c r="G703">
        <v>3.74</v>
      </c>
      <c r="H703">
        <v>4.25</v>
      </c>
      <c r="I703">
        <v>5.07</v>
      </c>
      <c r="K703">
        <f t="shared" si="83"/>
        <v>-4.0000000000000036</v>
      </c>
      <c r="L703">
        <f t="shared" si="84"/>
        <v>-5.0000000000000044</v>
      </c>
      <c r="M703">
        <f t="shared" si="85"/>
        <v>-4.9999999999999822</v>
      </c>
      <c r="N703">
        <f t="shared" si="86"/>
        <v>-5.0000000000000266</v>
      </c>
      <c r="O703">
        <f t="shared" si="87"/>
        <v>-4.0000000000000036</v>
      </c>
      <c r="P703">
        <f t="shared" si="88"/>
        <v>-3.9999999999999591</v>
      </c>
      <c r="Q703">
        <f t="shared" si="89"/>
        <v>-4.0000000000000036</v>
      </c>
      <c r="R703">
        <f t="shared" si="90"/>
        <v>-1.9999999999999574</v>
      </c>
    </row>
    <row r="704" spans="1:18">
      <c r="A704" s="9">
        <v>37739</v>
      </c>
      <c r="B704">
        <v>1.35</v>
      </c>
      <c r="C704">
        <v>1.83</v>
      </c>
      <c r="D704">
        <v>2.38</v>
      </c>
      <c r="E704">
        <v>2.85</v>
      </c>
      <c r="F704">
        <v>3.24</v>
      </c>
      <c r="G704">
        <v>3.78</v>
      </c>
      <c r="H704">
        <v>4.28</v>
      </c>
      <c r="I704">
        <v>5.08</v>
      </c>
      <c r="K704">
        <f t="shared" si="83"/>
        <v>3.0000000000000027</v>
      </c>
      <c r="L704">
        <f t="shared" si="84"/>
        <v>4.0000000000000036</v>
      </c>
      <c r="M704">
        <f t="shared" si="85"/>
        <v>2.9999999999999805</v>
      </c>
      <c r="N704">
        <f t="shared" si="86"/>
        <v>3.0000000000000249</v>
      </c>
      <c r="O704">
        <f t="shared" si="87"/>
        <v>4.0000000000000036</v>
      </c>
      <c r="P704">
        <f t="shared" si="88"/>
        <v>3.9999999999999591</v>
      </c>
      <c r="Q704">
        <f t="shared" si="89"/>
        <v>3.0000000000000249</v>
      </c>
      <c r="R704">
        <f t="shared" si="90"/>
        <v>0.99999999999997868</v>
      </c>
    </row>
    <row r="705" spans="1:18">
      <c r="A705" s="9">
        <v>37740</v>
      </c>
      <c r="B705">
        <v>1.37</v>
      </c>
      <c r="C705">
        <v>1.86</v>
      </c>
      <c r="D705">
        <v>2.42</v>
      </c>
      <c r="E705">
        <v>2.89</v>
      </c>
      <c r="F705">
        <v>3.27</v>
      </c>
      <c r="G705">
        <v>3.81</v>
      </c>
      <c r="H705">
        <v>4.3099999999999996</v>
      </c>
      <c r="I705">
        <v>5.1100000000000003</v>
      </c>
      <c r="K705">
        <f t="shared" si="83"/>
        <v>2.0000000000000018</v>
      </c>
      <c r="L705">
        <f t="shared" si="84"/>
        <v>3.0000000000000027</v>
      </c>
      <c r="M705">
        <f t="shared" si="85"/>
        <v>4.0000000000000036</v>
      </c>
      <c r="N705">
        <f t="shared" si="86"/>
        <v>4.0000000000000036</v>
      </c>
      <c r="O705">
        <f t="shared" si="87"/>
        <v>2.9999999999999805</v>
      </c>
      <c r="P705">
        <f t="shared" si="88"/>
        <v>3.0000000000000249</v>
      </c>
      <c r="Q705">
        <f t="shared" si="89"/>
        <v>2.9999999999999361</v>
      </c>
      <c r="R705">
        <f t="shared" si="90"/>
        <v>3.0000000000000249</v>
      </c>
    </row>
    <row r="706" spans="1:18">
      <c r="A706" s="9">
        <v>37741</v>
      </c>
      <c r="B706">
        <v>1.33</v>
      </c>
      <c r="C706">
        <v>1.78</v>
      </c>
      <c r="D706">
        <v>2.33</v>
      </c>
      <c r="E706">
        <v>2.81</v>
      </c>
      <c r="F706">
        <v>3.2</v>
      </c>
      <c r="G706">
        <v>3.75</v>
      </c>
      <c r="H706">
        <v>4.26</v>
      </c>
      <c r="I706">
        <v>5.0599999999999996</v>
      </c>
      <c r="K706">
        <f t="shared" si="83"/>
        <v>-4.0000000000000036</v>
      </c>
      <c r="L706">
        <f t="shared" si="84"/>
        <v>-8.0000000000000071</v>
      </c>
      <c r="M706">
        <f t="shared" si="85"/>
        <v>-8.9999999999999858</v>
      </c>
      <c r="N706">
        <f t="shared" si="86"/>
        <v>-8.0000000000000071</v>
      </c>
      <c r="O706">
        <f t="shared" si="87"/>
        <v>-6.999999999999984</v>
      </c>
      <c r="P706">
        <f t="shared" si="88"/>
        <v>-6.0000000000000053</v>
      </c>
      <c r="Q706">
        <f t="shared" si="89"/>
        <v>-4.9999999999999822</v>
      </c>
      <c r="R706">
        <f t="shared" si="90"/>
        <v>-5.0000000000000711</v>
      </c>
    </row>
    <row r="707" spans="1:18">
      <c r="A707" s="9">
        <v>37742</v>
      </c>
      <c r="B707">
        <v>1.27</v>
      </c>
      <c r="C707">
        <v>1.67</v>
      </c>
      <c r="D707">
        <v>2.2200000000000002</v>
      </c>
      <c r="E707">
        <v>2.7</v>
      </c>
      <c r="F707">
        <v>3.08</v>
      </c>
      <c r="G707">
        <v>3.63</v>
      </c>
      <c r="H707">
        <v>4.16</v>
      </c>
      <c r="I707">
        <v>5</v>
      </c>
      <c r="K707">
        <f t="shared" si="83"/>
        <v>-6.0000000000000053</v>
      </c>
      <c r="L707">
        <f t="shared" si="84"/>
        <v>-11.000000000000011</v>
      </c>
      <c r="M707">
        <f t="shared" si="85"/>
        <v>-10.999999999999988</v>
      </c>
      <c r="N707">
        <f t="shared" si="86"/>
        <v>-10.999999999999988</v>
      </c>
      <c r="O707">
        <f t="shared" si="87"/>
        <v>-12.000000000000011</v>
      </c>
      <c r="P707">
        <f t="shared" si="88"/>
        <v>-12.000000000000011</v>
      </c>
      <c r="Q707">
        <f t="shared" si="89"/>
        <v>-9.9999999999999645</v>
      </c>
      <c r="R707">
        <f t="shared" si="90"/>
        <v>-5.9999999999999609</v>
      </c>
    </row>
    <row r="708" spans="1:18">
      <c r="A708" s="9">
        <v>37743</v>
      </c>
      <c r="B708">
        <v>1.31</v>
      </c>
      <c r="C708">
        <v>1.76</v>
      </c>
      <c r="D708">
        <v>2.31</v>
      </c>
      <c r="E708">
        <v>2.79</v>
      </c>
      <c r="F708">
        <v>3.18</v>
      </c>
      <c r="G708">
        <v>3.72</v>
      </c>
      <c r="H708">
        <v>4.25</v>
      </c>
      <c r="I708">
        <v>5.07</v>
      </c>
      <c r="K708">
        <f t="shared" si="83"/>
        <v>4.0000000000000036</v>
      </c>
      <c r="L708">
        <f t="shared" si="84"/>
        <v>9.0000000000000071</v>
      </c>
      <c r="M708">
        <f t="shared" si="85"/>
        <v>8.9999999999999858</v>
      </c>
      <c r="N708">
        <f t="shared" si="86"/>
        <v>8.9999999999999858</v>
      </c>
      <c r="O708">
        <f t="shared" si="87"/>
        <v>10.000000000000009</v>
      </c>
      <c r="P708">
        <f t="shared" si="88"/>
        <v>9.0000000000000302</v>
      </c>
      <c r="Q708">
        <f t="shared" si="89"/>
        <v>8.9999999999999858</v>
      </c>
      <c r="R708">
        <f t="shared" si="90"/>
        <v>7.0000000000000284</v>
      </c>
    </row>
    <row r="709" spans="1:18">
      <c r="A709" s="9">
        <v>37746</v>
      </c>
      <c r="B709">
        <v>1.33</v>
      </c>
      <c r="C709">
        <v>1.8</v>
      </c>
      <c r="D709">
        <v>2.36</v>
      </c>
      <c r="E709">
        <v>2.84</v>
      </c>
      <c r="F709">
        <v>3.23</v>
      </c>
      <c r="G709">
        <v>3.78</v>
      </c>
      <c r="H709">
        <v>4.29</v>
      </c>
      <c r="I709">
        <v>5.1100000000000003</v>
      </c>
      <c r="K709">
        <f t="shared" ref="K709:K772" si="91">(B709-B708)*100</f>
        <v>2.0000000000000018</v>
      </c>
      <c r="L709">
        <f t="shared" ref="L709:L772" si="92">(C709-C708)*100</f>
        <v>4.0000000000000036</v>
      </c>
      <c r="M709">
        <f t="shared" ref="M709:M772" si="93">(D709-D708)*100</f>
        <v>4.9999999999999822</v>
      </c>
      <c r="N709">
        <f t="shared" ref="N709:N772" si="94">(E709-E708)*100</f>
        <v>4.9999999999999822</v>
      </c>
      <c r="O709">
        <f t="shared" ref="O709:O772" si="95">(F709-F708)*100</f>
        <v>4.9999999999999822</v>
      </c>
      <c r="P709">
        <f t="shared" ref="P709:P772" si="96">(G709-G708)*100</f>
        <v>5.9999999999999609</v>
      </c>
      <c r="Q709">
        <f t="shared" ref="Q709:Q772" si="97">(H709-H708)*100</f>
        <v>4.0000000000000036</v>
      </c>
      <c r="R709">
        <f t="shared" ref="R709:R772" si="98">(I709-I708)*100</f>
        <v>4.0000000000000036</v>
      </c>
    </row>
    <row r="710" spans="1:18">
      <c r="A710" s="9">
        <v>37747</v>
      </c>
      <c r="B710">
        <v>1.32</v>
      </c>
      <c r="C710">
        <v>1.77</v>
      </c>
      <c r="D710">
        <v>2.33</v>
      </c>
      <c r="E710">
        <v>2.8</v>
      </c>
      <c r="F710">
        <v>3.19</v>
      </c>
      <c r="G710">
        <v>3.74</v>
      </c>
      <c r="H710">
        <v>4.25</v>
      </c>
      <c r="I710">
        <v>5.08</v>
      </c>
      <c r="K710">
        <f t="shared" si="91"/>
        <v>-1.0000000000000009</v>
      </c>
      <c r="L710">
        <f t="shared" si="92"/>
        <v>-3.0000000000000027</v>
      </c>
      <c r="M710">
        <f t="shared" si="93"/>
        <v>-2.9999999999999805</v>
      </c>
      <c r="N710">
        <f t="shared" si="94"/>
        <v>-4.0000000000000036</v>
      </c>
      <c r="O710">
        <f t="shared" si="95"/>
        <v>-4.0000000000000036</v>
      </c>
      <c r="P710">
        <f t="shared" si="96"/>
        <v>-3.9999999999999591</v>
      </c>
      <c r="Q710">
        <f t="shared" si="97"/>
        <v>-4.0000000000000036</v>
      </c>
      <c r="R710">
        <f t="shared" si="98"/>
        <v>-3.0000000000000249</v>
      </c>
    </row>
    <row r="711" spans="1:18">
      <c r="A711" s="9">
        <v>37748</v>
      </c>
      <c r="B711">
        <v>1.27</v>
      </c>
      <c r="C711">
        <v>1.62</v>
      </c>
      <c r="D711">
        <v>2.12</v>
      </c>
      <c r="E711">
        <v>2.58</v>
      </c>
      <c r="F711">
        <v>2.97</v>
      </c>
      <c r="G711">
        <v>3.53</v>
      </c>
      <c r="H711">
        <v>4.0599999999999996</v>
      </c>
      <c r="I711">
        <v>4.95</v>
      </c>
      <c r="K711">
        <f t="shared" si="91"/>
        <v>-5.0000000000000044</v>
      </c>
      <c r="L711">
        <f t="shared" si="92"/>
        <v>-14.999999999999991</v>
      </c>
      <c r="M711">
        <f t="shared" si="93"/>
        <v>-20.999999999999996</v>
      </c>
      <c r="N711">
        <f t="shared" si="94"/>
        <v>-21.999999999999975</v>
      </c>
      <c r="O711">
        <f t="shared" si="95"/>
        <v>-21.999999999999975</v>
      </c>
      <c r="P711">
        <f t="shared" si="96"/>
        <v>-21.000000000000043</v>
      </c>
      <c r="Q711">
        <f t="shared" si="97"/>
        <v>-19.000000000000039</v>
      </c>
      <c r="R711">
        <f t="shared" si="98"/>
        <v>-12.999999999999989</v>
      </c>
    </row>
    <row r="712" spans="1:18">
      <c r="A712" s="9">
        <v>37749</v>
      </c>
      <c r="B712">
        <v>1.27</v>
      </c>
      <c r="C712">
        <v>1.6</v>
      </c>
      <c r="D712">
        <v>2.06</v>
      </c>
      <c r="E712">
        <v>2.5</v>
      </c>
      <c r="F712">
        <v>2.87</v>
      </c>
      <c r="G712">
        <v>3.44</v>
      </c>
      <c r="H712">
        <v>3.99</v>
      </c>
      <c r="I712">
        <v>4.92</v>
      </c>
      <c r="K712">
        <f t="shared" si="91"/>
        <v>0</v>
      </c>
      <c r="L712">
        <f t="shared" si="92"/>
        <v>-2.0000000000000018</v>
      </c>
      <c r="M712">
        <f t="shared" si="93"/>
        <v>-6.0000000000000053</v>
      </c>
      <c r="N712">
        <f t="shared" si="94"/>
        <v>-8.0000000000000071</v>
      </c>
      <c r="O712">
        <f t="shared" si="95"/>
        <v>-10.000000000000009</v>
      </c>
      <c r="P712">
        <f t="shared" si="96"/>
        <v>-8.9999999999999858</v>
      </c>
      <c r="Q712">
        <f t="shared" si="97"/>
        <v>-6.9999999999999396</v>
      </c>
      <c r="R712">
        <f t="shared" si="98"/>
        <v>-3.0000000000000249</v>
      </c>
    </row>
    <row r="713" spans="1:18">
      <c r="A713" s="9">
        <v>37750</v>
      </c>
      <c r="B713">
        <v>1.3</v>
      </c>
      <c r="C713">
        <v>1.67</v>
      </c>
      <c r="D713">
        <v>2.14</v>
      </c>
      <c r="E713">
        <v>2.57</v>
      </c>
      <c r="F713">
        <v>2.94</v>
      </c>
      <c r="G713">
        <v>3.51</v>
      </c>
      <c r="H713">
        <v>4.05</v>
      </c>
      <c r="I713">
        <v>4.95</v>
      </c>
      <c r="K713">
        <f t="shared" si="91"/>
        <v>3.0000000000000027</v>
      </c>
      <c r="L713">
        <f t="shared" si="92"/>
        <v>6.999999999999984</v>
      </c>
      <c r="M713">
        <f t="shared" si="93"/>
        <v>8.0000000000000071</v>
      </c>
      <c r="N713">
        <f t="shared" si="94"/>
        <v>6.999999999999984</v>
      </c>
      <c r="O713">
        <f t="shared" si="95"/>
        <v>6.999999999999984</v>
      </c>
      <c r="P713">
        <f t="shared" si="96"/>
        <v>6.999999999999984</v>
      </c>
      <c r="Q713">
        <f t="shared" si="97"/>
        <v>5.9999999999999609</v>
      </c>
      <c r="R713">
        <f t="shared" si="98"/>
        <v>3.0000000000000249</v>
      </c>
    </row>
    <row r="714" spans="1:18">
      <c r="A714" s="9">
        <v>37753</v>
      </c>
      <c r="B714">
        <v>1.27</v>
      </c>
      <c r="C714">
        <v>1.63</v>
      </c>
      <c r="D714">
        <v>2.0699999999999998</v>
      </c>
      <c r="E714">
        <v>2.5</v>
      </c>
      <c r="F714">
        <v>2.87</v>
      </c>
      <c r="G714">
        <v>3.43</v>
      </c>
      <c r="H714">
        <v>3.97</v>
      </c>
      <c r="I714">
        <v>4.91</v>
      </c>
      <c r="K714">
        <f t="shared" si="91"/>
        <v>-3.0000000000000027</v>
      </c>
      <c r="L714">
        <f t="shared" si="92"/>
        <v>-4.0000000000000036</v>
      </c>
      <c r="M714">
        <f t="shared" si="93"/>
        <v>-7.0000000000000284</v>
      </c>
      <c r="N714">
        <f t="shared" si="94"/>
        <v>-6.999999999999984</v>
      </c>
      <c r="O714">
        <f t="shared" si="95"/>
        <v>-6.999999999999984</v>
      </c>
      <c r="P714">
        <f t="shared" si="96"/>
        <v>-7.9999999999999627</v>
      </c>
      <c r="Q714">
        <f t="shared" si="97"/>
        <v>-7.9999999999999627</v>
      </c>
      <c r="R714">
        <f t="shared" si="98"/>
        <v>-4.0000000000000036</v>
      </c>
    </row>
    <row r="715" spans="1:18">
      <c r="A715" s="9">
        <v>37754</v>
      </c>
      <c r="B715">
        <v>1.29</v>
      </c>
      <c r="C715">
        <v>1.66</v>
      </c>
      <c r="D715">
        <v>2.12</v>
      </c>
      <c r="E715">
        <v>2.54</v>
      </c>
      <c r="F715">
        <v>2.9</v>
      </c>
      <c r="G715">
        <v>3.45</v>
      </c>
      <c r="H715">
        <v>3.97</v>
      </c>
      <c r="I715">
        <v>4.9000000000000004</v>
      </c>
      <c r="K715">
        <f t="shared" si="91"/>
        <v>2.0000000000000018</v>
      </c>
      <c r="L715">
        <f t="shared" si="92"/>
        <v>3.0000000000000027</v>
      </c>
      <c r="M715">
        <f t="shared" si="93"/>
        <v>5.0000000000000266</v>
      </c>
      <c r="N715">
        <f t="shared" si="94"/>
        <v>4.0000000000000036</v>
      </c>
      <c r="O715">
        <f t="shared" si="95"/>
        <v>2.9999999999999805</v>
      </c>
      <c r="P715">
        <f t="shared" si="96"/>
        <v>2.0000000000000018</v>
      </c>
      <c r="Q715">
        <f t="shared" si="97"/>
        <v>0</v>
      </c>
      <c r="R715">
        <f t="shared" si="98"/>
        <v>-0.99999999999997868</v>
      </c>
    </row>
    <row r="716" spans="1:18">
      <c r="A716" s="9">
        <v>37755</v>
      </c>
      <c r="B716">
        <v>1.27</v>
      </c>
      <c r="C716">
        <v>1.62</v>
      </c>
      <c r="D716">
        <v>2.0499999999999998</v>
      </c>
      <c r="E716">
        <v>2.46</v>
      </c>
      <c r="F716">
        <v>2.82</v>
      </c>
      <c r="G716">
        <v>3.36</v>
      </c>
      <c r="H716">
        <v>3.88</v>
      </c>
      <c r="I716">
        <v>4.8</v>
      </c>
      <c r="K716">
        <f t="shared" si="91"/>
        <v>-2.0000000000000018</v>
      </c>
      <c r="L716">
        <f t="shared" si="92"/>
        <v>-3.9999999999999813</v>
      </c>
      <c r="M716">
        <f t="shared" si="93"/>
        <v>-7.0000000000000284</v>
      </c>
      <c r="N716">
        <f t="shared" si="94"/>
        <v>-8.0000000000000071</v>
      </c>
      <c r="O716">
        <f t="shared" si="95"/>
        <v>-8.0000000000000071</v>
      </c>
      <c r="P716">
        <f t="shared" si="96"/>
        <v>-9.0000000000000302</v>
      </c>
      <c r="Q716">
        <f t="shared" si="97"/>
        <v>-9.0000000000000302</v>
      </c>
      <c r="R716">
        <f t="shared" si="98"/>
        <v>-10.000000000000053</v>
      </c>
    </row>
    <row r="717" spans="1:18">
      <c r="A717" s="9">
        <v>37756</v>
      </c>
      <c r="B717">
        <v>1.28</v>
      </c>
      <c r="C717">
        <v>1.63</v>
      </c>
      <c r="D717">
        <v>2.0699999999999998</v>
      </c>
      <c r="E717">
        <v>2.4700000000000002</v>
      </c>
      <c r="F717">
        <v>2.81</v>
      </c>
      <c r="G717">
        <v>3.33</v>
      </c>
      <c r="H717">
        <v>3.84</v>
      </c>
      <c r="I717">
        <v>4.71</v>
      </c>
      <c r="K717">
        <f t="shared" si="91"/>
        <v>1.0000000000000009</v>
      </c>
      <c r="L717">
        <f t="shared" si="92"/>
        <v>0.99999999999997868</v>
      </c>
      <c r="M717">
        <f t="shared" si="93"/>
        <v>2.0000000000000018</v>
      </c>
      <c r="N717">
        <f t="shared" si="94"/>
        <v>1.0000000000000231</v>
      </c>
      <c r="O717">
        <f t="shared" si="95"/>
        <v>-0.99999999999997868</v>
      </c>
      <c r="P717">
        <f t="shared" si="96"/>
        <v>-2.9999999999999805</v>
      </c>
      <c r="Q717">
        <f t="shared" si="97"/>
        <v>-4.0000000000000036</v>
      </c>
      <c r="R717">
        <f t="shared" si="98"/>
        <v>-8.9999999999999858</v>
      </c>
    </row>
    <row r="718" spans="1:18">
      <c r="A718" s="9">
        <v>37757</v>
      </c>
      <c r="B718">
        <v>1.25</v>
      </c>
      <c r="C718">
        <v>1.57</v>
      </c>
      <c r="D718">
        <v>2</v>
      </c>
      <c r="E718">
        <v>2.4</v>
      </c>
      <c r="F718">
        <v>2.73</v>
      </c>
      <c r="G718">
        <v>3.26</v>
      </c>
      <c r="H718">
        <v>3.77</v>
      </c>
      <c r="I718">
        <v>4.7</v>
      </c>
      <c r="K718">
        <f t="shared" si="91"/>
        <v>-3.0000000000000027</v>
      </c>
      <c r="L718">
        <f t="shared" si="92"/>
        <v>-5.9999999999999831</v>
      </c>
      <c r="M718">
        <f t="shared" si="93"/>
        <v>-6.999999999999984</v>
      </c>
      <c r="N718">
        <f t="shared" si="94"/>
        <v>-7.0000000000000284</v>
      </c>
      <c r="O718">
        <f t="shared" si="95"/>
        <v>-8.0000000000000071</v>
      </c>
      <c r="P718">
        <f t="shared" si="96"/>
        <v>-7.0000000000000284</v>
      </c>
      <c r="Q718">
        <f t="shared" si="97"/>
        <v>-6.999999999999984</v>
      </c>
      <c r="R718">
        <f t="shared" si="98"/>
        <v>-0.99999999999997868</v>
      </c>
    </row>
    <row r="719" spans="1:18">
      <c r="A719" s="9">
        <v>37760</v>
      </c>
      <c r="B719">
        <v>1.2</v>
      </c>
      <c r="C719">
        <v>1.5</v>
      </c>
      <c r="D719">
        <v>1.93</v>
      </c>
      <c r="E719">
        <v>2.33</v>
      </c>
      <c r="F719">
        <v>2.69</v>
      </c>
      <c r="G719">
        <v>3.23</v>
      </c>
      <c r="H719">
        <v>3.76</v>
      </c>
      <c r="I719">
        <v>4.7</v>
      </c>
      <c r="K719">
        <f t="shared" si="91"/>
        <v>-5.0000000000000044</v>
      </c>
      <c r="L719">
        <f t="shared" si="92"/>
        <v>-7.0000000000000062</v>
      </c>
      <c r="M719">
        <f t="shared" si="93"/>
        <v>-7.0000000000000062</v>
      </c>
      <c r="N719">
        <f t="shared" si="94"/>
        <v>-6.999999999999984</v>
      </c>
      <c r="O719">
        <f t="shared" si="95"/>
        <v>-4.0000000000000036</v>
      </c>
      <c r="P719">
        <f t="shared" si="96"/>
        <v>-2.9999999999999805</v>
      </c>
      <c r="Q719">
        <f t="shared" si="97"/>
        <v>-1.0000000000000231</v>
      </c>
      <c r="R719">
        <f t="shared" si="98"/>
        <v>0</v>
      </c>
    </row>
    <row r="720" spans="1:18">
      <c r="A720" s="9">
        <v>37761</v>
      </c>
      <c r="B720">
        <v>1.2</v>
      </c>
      <c r="C720">
        <v>1.51</v>
      </c>
      <c r="D720">
        <v>1.95</v>
      </c>
      <c r="E720">
        <v>2.35</v>
      </c>
      <c r="F720">
        <v>2.71</v>
      </c>
      <c r="G720">
        <v>3.26</v>
      </c>
      <c r="H720">
        <v>3.79</v>
      </c>
      <c r="I720">
        <v>4.7300000000000004</v>
      </c>
      <c r="K720">
        <f t="shared" si="91"/>
        <v>0</v>
      </c>
      <c r="L720">
        <f t="shared" si="92"/>
        <v>1.0000000000000009</v>
      </c>
      <c r="M720">
        <f t="shared" si="93"/>
        <v>2.0000000000000018</v>
      </c>
      <c r="N720">
        <f t="shared" si="94"/>
        <v>2.0000000000000018</v>
      </c>
      <c r="O720">
        <f t="shared" si="95"/>
        <v>2.0000000000000018</v>
      </c>
      <c r="P720">
        <f t="shared" si="96"/>
        <v>2.9999999999999805</v>
      </c>
      <c r="Q720">
        <f t="shared" si="97"/>
        <v>3.0000000000000249</v>
      </c>
      <c r="R720">
        <f t="shared" si="98"/>
        <v>3.0000000000000249</v>
      </c>
    </row>
    <row r="721" spans="1:18">
      <c r="A721" s="9">
        <v>37762</v>
      </c>
      <c r="B721">
        <v>1.2</v>
      </c>
      <c r="C721">
        <v>1.5</v>
      </c>
      <c r="D721">
        <v>1.92</v>
      </c>
      <c r="E721">
        <v>2.2999999999999998</v>
      </c>
      <c r="F721">
        <v>2.63</v>
      </c>
      <c r="G721">
        <v>3.16</v>
      </c>
      <c r="H721">
        <v>3.67</v>
      </c>
      <c r="I721">
        <v>4.58</v>
      </c>
      <c r="K721">
        <f t="shared" si="91"/>
        <v>0</v>
      </c>
      <c r="L721">
        <f t="shared" si="92"/>
        <v>-1.0000000000000009</v>
      </c>
      <c r="M721">
        <f t="shared" si="93"/>
        <v>-3.0000000000000027</v>
      </c>
      <c r="N721">
        <f t="shared" si="94"/>
        <v>-5.0000000000000266</v>
      </c>
      <c r="O721">
        <f t="shared" si="95"/>
        <v>-8.0000000000000071</v>
      </c>
      <c r="P721">
        <f t="shared" si="96"/>
        <v>-9.9999999999999645</v>
      </c>
      <c r="Q721">
        <f t="shared" si="97"/>
        <v>-12.000000000000011</v>
      </c>
      <c r="R721">
        <f t="shared" si="98"/>
        <v>-15.000000000000036</v>
      </c>
    </row>
    <row r="722" spans="1:18">
      <c r="A722" s="9">
        <v>37763</v>
      </c>
      <c r="B722">
        <v>1.22</v>
      </c>
      <c r="C722">
        <v>1.52</v>
      </c>
      <c r="D722">
        <v>1.93</v>
      </c>
      <c r="E722">
        <v>2.31</v>
      </c>
      <c r="F722">
        <v>2.65</v>
      </c>
      <c r="G722">
        <v>3.18</v>
      </c>
      <c r="H722">
        <v>3.69</v>
      </c>
      <c r="I722">
        <v>4.59</v>
      </c>
      <c r="K722">
        <f t="shared" si="91"/>
        <v>2.0000000000000018</v>
      </c>
      <c r="L722">
        <f t="shared" si="92"/>
        <v>2.0000000000000018</v>
      </c>
      <c r="M722">
        <f t="shared" si="93"/>
        <v>1.0000000000000009</v>
      </c>
      <c r="N722">
        <f t="shared" si="94"/>
        <v>1.0000000000000231</v>
      </c>
      <c r="O722">
        <f t="shared" si="95"/>
        <v>2.0000000000000018</v>
      </c>
      <c r="P722">
        <f t="shared" si="96"/>
        <v>2.0000000000000018</v>
      </c>
      <c r="Q722">
        <f t="shared" si="97"/>
        <v>2.0000000000000018</v>
      </c>
      <c r="R722">
        <f t="shared" si="98"/>
        <v>0.99999999999997868</v>
      </c>
    </row>
    <row r="723" spans="1:18">
      <c r="A723" s="9">
        <v>37764</v>
      </c>
      <c r="B723">
        <v>1.21</v>
      </c>
      <c r="C723">
        <v>1.52</v>
      </c>
      <c r="D723">
        <v>1.93</v>
      </c>
      <c r="E723">
        <v>2.2999999999999998</v>
      </c>
      <c r="F723">
        <v>2.62</v>
      </c>
      <c r="G723">
        <v>3.15</v>
      </c>
      <c r="H723">
        <v>3.66</v>
      </c>
      <c r="I723">
        <v>4.54</v>
      </c>
      <c r="K723">
        <f t="shared" si="91"/>
        <v>-1.0000000000000009</v>
      </c>
      <c r="L723">
        <f t="shared" si="92"/>
        <v>0</v>
      </c>
      <c r="M723">
        <f t="shared" si="93"/>
        <v>0</v>
      </c>
      <c r="N723">
        <f t="shared" si="94"/>
        <v>-1.0000000000000231</v>
      </c>
      <c r="O723">
        <f t="shared" si="95"/>
        <v>-2.9999999999999805</v>
      </c>
      <c r="P723">
        <f t="shared" si="96"/>
        <v>-3.0000000000000249</v>
      </c>
      <c r="Q723">
        <f t="shared" si="97"/>
        <v>-2.9999999999999805</v>
      </c>
      <c r="R723">
        <f t="shared" si="98"/>
        <v>-4.9999999999999822</v>
      </c>
    </row>
    <row r="724" spans="1:18">
      <c r="A724" s="9">
        <v>37768</v>
      </c>
      <c r="B724">
        <v>1.23</v>
      </c>
      <c r="C724">
        <v>1.53</v>
      </c>
      <c r="D724">
        <v>1.92</v>
      </c>
      <c r="E724">
        <v>2.3199999999999998</v>
      </c>
      <c r="F724">
        <v>2.66</v>
      </c>
      <c r="G724">
        <v>3.2</v>
      </c>
      <c r="H724">
        <v>3.73</v>
      </c>
      <c r="I724">
        <v>4.62</v>
      </c>
      <c r="K724">
        <f t="shared" si="91"/>
        <v>2.0000000000000018</v>
      </c>
      <c r="L724">
        <f t="shared" si="92"/>
        <v>1.0000000000000009</v>
      </c>
      <c r="M724">
        <f t="shared" si="93"/>
        <v>-1.0000000000000009</v>
      </c>
      <c r="N724">
        <f t="shared" si="94"/>
        <v>2.0000000000000018</v>
      </c>
      <c r="O724">
        <f t="shared" si="95"/>
        <v>4.0000000000000036</v>
      </c>
      <c r="P724">
        <f t="shared" si="96"/>
        <v>5.0000000000000266</v>
      </c>
      <c r="Q724">
        <f t="shared" si="97"/>
        <v>6.999999999999984</v>
      </c>
      <c r="R724">
        <f t="shared" si="98"/>
        <v>8.0000000000000071</v>
      </c>
    </row>
    <row r="725" spans="1:18">
      <c r="A725" s="9">
        <v>37769</v>
      </c>
      <c r="B725">
        <v>1.25</v>
      </c>
      <c r="C725">
        <v>1.54</v>
      </c>
      <c r="D725">
        <v>1.96</v>
      </c>
      <c r="E725">
        <v>2.37</v>
      </c>
      <c r="F725">
        <v>2.74</v>
      </c>
      <c r="G725">
        <v>3.29</v>
      </c>
      <c r="H725">
        <v>3.84</v>
      </c>
      <c r="I725">
        <v>4.76</v>
      </c>
      <c r="K725">
        <f t="shared" si="91"/>
        <v>2.0000000000000018</v>
      </c>
      <c r="L725">
        <f t="shared" si="92"/>
        <v>1.0000000000000009</v>
      </c>
      <c r="M725">
        <f t="shared" si="93"/>
        <v>4.0000000000000036</v>
      </c>
      <c r="N725">
        <f t="shared" si="94"/>
        <v>5.0000000000000266</v>
      </c>
      <c r="O725">
        <f t="shared" si="95"/>
        <v>8.0000000000000071</v>
      </c>
      <c r="P725">
        <f t="shared" si="96"/>
        <v>8.9999999999999858</v>
      </c>
      <c r="Q725">
        <f t="shared" si="97"/>
        <v>10.999999999999988</v>
      </c>
      <c r="R725">
        <f t="shared" si="98"/>
        <v>13.999999999999968</v>
      </c>
    </row>
    <row r="726" spans="1:18">
      <c r="A726" s="9">
        <v>37770</v>
      </c>
      <c r="B726">
        <v>1.21</v>
      </c>
      <c r="C726">
        <v>1.49</v>
      </c>
      <c r="D726">
        <v>1.88</v>
      </c>
      <c r="E726">
        <v>2.2799999999999998</v>
      </c>
      <c r="F726">
        <v>2.64</v>
      </c>
      <c r="G726">
        <v>3.2</v>
      </c>
      <c r="H726">
        <v>3.74</v>
      </c>
      <c r="I726">
        <v>4.68</v>
      </c>
      <c r="K726">
        <f t="shared" si="91"/>
        <v>-4.0000000000000036</v>
      </c>
      <c r="L726">
        <f t="shared" si="92"/>
        <v>-5.0000000000000044</v>
      </c>
      <c r="M726">
        <f t="shared" si="93"/>
        <v>-8.0000000000000071</v>
      </c>
      <c r="N726">
        <f t="shared" si="94"/>
        <v>-9.0000000000000302</v>
      </c>
      <c r="O726">
        <f t="shared" si="95"/>
        <v>-10.000000000000009</v>
      </c>
      <c r="P726">
        <f t="shared" si="96"/>
        <v>-8.9999999999999858</v>
      </c>
      <c r="Q726">
        <f t="shared" si="97"/>
        <v>-9.9999999999999645</v>
      </c>
      <c r="R726">
        <f t="shared" si="98"/>
        <v>-8.0000000000000071</v>
      </c>
    </row>
    <row r="727" spans="1:18">
      <c r="A727" s="9">
        <v>37771</v>
      </c>
      <c r="B727">
        <v>1.24</v>
      </c>
      <c r="C727">
        <v>1.52</v>
      </c>
      <c r="D727">
        <v>1.9</v>
      </c>
      <c r="E727">
        <v>2.29</v>
      </c>
      <c r="F727">
        <v>2.65</v>
      </c>
      <c r="G727">
        <v>3.2</v>
      </c>
      <c r="H727">
        <v>3.77</v>
      </c>
      <c r="I727">
        <v>4.7</v>
      </c>
      <c r="K727">
        <f t="shared" si="91"/>
        <v>3.0000000000000027</v>
      </c>
      <c r="L727">
        <f t="shared" si="92"/>
        <v>3.0000000000000027</v>
      </c>
      <c r="M727">
        <f t="shared" si="93"/>
        <v>2.0000000000000018</v>
      </c>
      <c r="N727">
        <f t="shared" si="94"/>
        <v>1.0000000000000231</v>
      </c>
      <c r="O727">
        <f t="shared" si="95"/>
        <v>0.99999999999997868</v>
      </c>
      <c r="P727">
        <f t="shared" si="96"/>
        <v>0</v>
      </c>
      <c r="Q727">
        <f t="shared" si="97"/>
        <v>2.9999999999999805</v>
      </c>
      <c r="R727">
        <f t="shared" si="98"/>
        <v>2.0000000000000462</v>
      </c>
    </row>
    <row r="728" spans="1:18">
      <c r="A728" s="9">
        <v>37774</v>
      </c>
      <c r="B728">
        <v>1.24</v>
      </c>
      <c r="C728">
        <v>1.52</v>
      </c>
      <c r="D728">
        <v>1.92</v>
      </c>
      <c r="E728">
        <v>2.31</v>
      </c>
      <c r="F728">
        <v>2.68</v>
      </c>
      <c r="G728">
        <v>3.23</v>
      </c>
      <c r="H728">
        <v>3.78</v>
      </c>
      <c r="I728">
        <v>4.71</v>
      </c>
      <c r="K728">
        <f t="shared" si="91"/>
        <v>0</v>
      </c>
      <c r="L728">
        <f t="shared" si="92"/>
        <v>0</v>
      </c>
      <c r="M728">
        <f t="shared" si="93"/>
        <v>2.0000000000000018</v>
      </c>
      <c r="N728">
        <f t="shared" si="94"/>
        <v>2.0000000000000018</v>
      </c>
      <c r="O728">
        <f t="shared" si="95"/>
        <v>3.0000000000000249</v>
      </c>
      <c r="P728">
        <f t="shared" si="96"/>
        <v>2.9999999999999805</v>
      </c>
      <c r="Q728">
        <f t="shared" si="97"/>
        <v>0.99999999999997868</v>
      </c>
      <c r="R728">
        <f t="shared" si="98"/>
        <v>0.99999999999997868</v>
      </c>
    </row>
    <row r="729" spans="1:18">
      <c r="A729" s="9">
        <v>37775</v>
      </c>
      <c r="B729">
        <v>1.21</v>
      </c>
      <c r="C729">
        <v>1.47</v>
      </c>
      <c r="D729">
        <v>1.85</v>
      </c>
      <c r="E729">
        <v>2.2400000000000002</v>
      </c>
      <c r="F729">
        <v>2.6</v>
      </c>
      <c r="G729">
        <v>3.16</v>
      </c>
      <c r="H729">
        <v>3.7</v>
      </c>
      <c r="I729">
        <v>4.66</v>
      </c>
      <c r="K729">
        <f t="shared" si="91"/>
        <v>-3.0000000000000027</v>
      </c>
      <c r="L729">
        <f t="shared" si="92"/>
        <v>-5.0000000000000044</v>
      </c>
      <c r="M729">
        <f t="shared" si="93"/>
        <v>-6.999999999999984</v>
      </c>
      <c r="N729">
        <f t="shared" si="94"/>
        <v>-6.999999999999984</v>
      </c>
      <c r="O729">
        <f t="shared" si="95"/>
        <v>-8.0000000000000071</v>
      </c>
      <c r="P729">
        <f t="shared" si="96"/>
        <v>-6.999999999999984</v>
      </c>
      <c r="Q729">
        <f t="shared" si="97"/>
        <v>-7.9999999999999627</v>
      </c>
      <c r="R729">
        <f t="shared" si="98"/>
        <v>-4.9999999999999822</v>
      </c>
    </row>
    <row r="730" spans="1:18">
      <c r="A730" s="9">
        <v>37776</v>
      </c>
      <c r="B730">
        <v>1.17</v>
      </c>
      <c r="C730">
        <v>1.41</v>
      </c>
      <c r="D730">
        <v>1.79</v>
      </c>
      <c r="E730">
        <v>2.19</v>
      </c>
      <c r="F730">
        <v>2.56</v>
      </c>
      <c r="G730">
        <v>3.12</v>
      </c>
      <c r="H730">
        <v>3.69</v>
      </c>
      <c r="I730">
        <v>4.68</v>
      </c>
      <c r="K730">
        <f t="shared" si="91"/>
        <v>-4.0000000000000036</v>
      </c>
      <c r="L730">
        <f t="shared" si="92"/>
        <v>-6.0000000000000053</v>
      </c>
      <c r="M730">
        <f t="shared" si="93"/>
        <v>-6.0000000000000053</v>
      </c>
      <c r="N730">
        <f t="shared" si="94"/>
        <v>-5.0000000000000266</v>
      </c>
      <c r="O730">
        <f t="shared" si="95"/>
        <v>-4.0000000000000036</v>
      </c>
      <c r="P730">
        <f t="shared" si="96"/>
        <v>-4.0000000000000036</v>
      </c>
      <c r="Q730">
        <f t="shared" si="97"/>
        <v>-1.0000000000000231</v>
      </c>
      <c r="R730">
        <f t="shared" si="98"/>
        <v>1.9999999999999574</v>
      </c>
    </row>
    <row r="731" spans="1:18">
      <c r="A731" s="9">
        <v>37777</v>
      </c>
      <c r="B731">
        <v>1.1399999999999999</v>
      </c>
      <c r="C731">
        <v>1.39</v>
      </c>
      <c r="D731">
        <v>1.76</v>
      </c>
      <c r="E731">
        <v>2.14</v>
      </c>
      <c r="F731">
        <v>2.5</v>
      </c>
      <c r="G731">
        <v>3.06</v>
      </c>
      <c r="H731">
        <v>3.61</v>
      </c>
      <c r="I731">
        <v>4.5999999999999996</v>
      </c>
      <c r="K731">
        <f t="shared" si="91"/>
        <v>-3.0000000000000027</v>
      </c>
      <c r="L731">
        <f t="shared" si="92"/>
        <v>-2.0000000000000018</v>
      </c>
      <c r="M731">
        <f t="shared" si="93"/>
        <v>-3.0000000000000027</v>
      </c>
      <c r="N731">
        <f t="shared" si="94"/>
        <v>-4.9999999999999822</v>
      </c>
      <c r="O731">
        <f t="shared" si="95"/>
        <v>-6.0000000000000053</v>
      </c>
      <c r="P731">
        <f t="shared" si="96"/>
        <v>-6.0000000000000053</v>
      </c>
      <c r="Q731">
        <f t="shared" si="97"/>
        <v>-8.0000000000000071</v>
      </c>
      <c r="R731">
        <f t="shared" si="98"/>
        <v>-8.0000000000000071</v>
      </c>
    </row>
    <row r="732" spans="1:18">
      <c r="A732" s="9">
        <v>37778</v>
      </c>
      <c r="B732">
        <v>1.17</v>
      </c>
      <c r="C732">
        <v>1.46</v>
      </c>
      <c r="D732">
        <v>1.86</v>
      </c>
      <c r="E732">
        <v>2.2599999999999998</v>
      </c>
      <c r="F732">
        <v>2.62</v>
      </c>
      <c r="G732">
        <v>3.17</v>
      </c>
      <c r="H732">
        <v>3.7</v>
      </c>
      <c r="I732">
        <v>4.68</v>
      </c>
      <c r="K732">
        <f t="shared" si="91"/>
        <v>3.0000000000000027</v>
      </c>
      <c r="L732">
        <f t="shared" si="92"/>
        <v>7.0000000000000062</v>
      </c>
      <c r="M732">
        <f t="shared" si="93"/>
        <v>10.000000000000009</v>
      </c>
      <c r="N732">
        <f t="shared" si="94"/>
        <v>11.999999999999966</v>
      </c>
      <c r="O732">
        <f t="shared" si="95"/>
        <v>12.000000000000011</v>
      </c>
      <c r="P732">
        <f t="shared" si="96"/>
        <v>10.999999999999988</v>
      </c>
      <c r="Q732">
        <f t="shared" si="97"/>
        <v>9.0000000000000302</v>
      </c>
      <c r="R732">
        <f t="shared" si="98"/>
        <v>8.0000000000000071</v>
      </c>
    </row>
    <row r="733" spans="1:18">
      <c r="A733" s="9">
        <v>37781</v>
      </c>
      <c r="B733">
        <v>1.1200000000000001</v>
      </c>
      <c r="C733">
        <v>1.38</v>
      </c>
      <c r="D733">
        <v>1.78</v>
      </c>
      <c r="E733">
        <v>2.17</v>
      </c>
      <c r="F733">
        <v>2.54</v>
      </c>
      <c r="G733">
        <v>3.09</v>
      </c>
      <c r="H733">
        <v>3.64</v>
      </c>
      <c r="I733">
        <v>4.62</v>
      </c>
      <c r="K733">
        <f t="shared" si="91"/>
        <v>-4.9999999999999822</v>
      </c>
      <c r="L733">
        <f t="shared" si="92"/>
        <v>-8.0000000000000071</v>
      </c>
      <c r="M733">
        <f t="shared" si="93"/>
        <v>-8.0000000000000071</v>
      </c>
      <c r="N733">
        <f t="shared" si="94"/>
        <v>-8.9999999999999858</v>
      </c>
      <c r="O733">
        <f t="shared" si="95"/>
        <v>-8.0000000000000071</v>
      </c>
      <c r="P733">
        <f t="shared" si="96"/>
        <v>-8.0000000000000071</v>
      </c>
      <c r="Q733">
        <f t="shared" si="97"/>
        <v>-6.0000000000000053</v>
      </c>
      <c r="R733">
        <f t="shared" si="98"/>
        <v>-5.9999999999999609</v>
      </c>
    </row>
    <row r="734" spans="1:18">
      <c r="A734" s="9">
        <v>37782</v>
      </c>
      <c r="B734">
        <v>1.07</v>
      </c>
      <c r="C734">
        <v>1.33</v>
      </c>
      <c r="D734">
        <v>1.7</v>
      </c>
      <c r="E734">
        <v>2.08</v>
      </c>
      <c r="F734">
        <v>2.4300000000000002</v>
      </c>
      <c r="G734">
        <v>2.99</v>
      </c>
      <c r="H734">
        <v>3.55</v>
      </c>
      <c r="I734">
        <v>4.58</v>
      </c>
      <c r="K734">
        <f t="shared" si="91"/>
        <v>-5.0000000000000044</v>
      </c>
      <c r="L734">
        <f t="shared" si="92"/>
        <v>-4.9999999999999822</v>
      </c>
      <c r="M734">
        <f t="shared" si="93"/>
        <v>-8.0000000000000071</v>
      </c>
      <c r="N734">
        <f t="shared" si="94"/>
        <v>-8.9999999999999858</v>
      </c>
      <c r="O734">
        <f t="shared" si="95"/>
        <v>-10.999999999999988</v>
      </c>
      <c r="P734">
        <f t="shared" si="96"/>
        <v>-9.9999999999999645</v>
      </c>
      <c r="Q734">
        <f t="shared" si="97"/>
        <v>-9.0000000000000302</v>
      </c>
      <c r="R734">
        <f t="shared" si="98"/>
        <v>-4.0000000000000036</v>
      </c>
    </row>
    <row r="735" spans="1:18">
      <c r="A735" s="9">
        <v>37783</v>
      </c>
      <c r="B735">
        <v>1.06</v>
      </c>
      <c r="C735">
        <v>1.33</v>
      </c>
      <c r="D735">
        <v>1.7</v>
      </c>
      <c r="E735">
        <v>2.08</v>
      </c>
      <c r="F735">
        <v>2.42</v>
      </c>
      <c r="G735">
        <v>2.97</v>
      </c>
      <c r="H735">
        <v>3.52</v>
      </c>
      <c r="I735">
        <v>4.5</v>
      </c>
      <c r="K735">
        <f t="shared" si="91"/>
        <v>-1.0000000000000009</v>
      </c>
      <c r="L735">
        <f t="shared" si="92"/>
        <v>0</v>
      </c>
      <c r="M735">
        <f t="shared" si="93"/>
        <v>0</v>
      </c>
      <c r="N735">
        <f t="shared" si="94"/>
        <v>0</v>
      </c>
      <c r="O735">
        <f t="shared" si="95"/>
        <v>-1.0000000000000231</v>
      </c>
      <c r="P735">
        <f t="shared" si="96"/>
        <v>-2.0000000000000018</v>
      </c>
      <c r="Q735">
        <f t="shared" si="97"/>
        <v>-2.9999999999999805</v>
      </c>
      <c r="R735">
        <f t="shared" si="98"/>
        <v>-8.0000000000000071</v>
      </c>
    </row>
    <row r="736" spans="1:18">
      <c r="A736" s="9">
        <v>37784</v>
      </c>
      <c r="B736">
        <v>1.02</v>
      </c>
      <c r="C736">
        <v>1.29</v>
      </c>
      <c r="D736">
        <v>1.68</v>
      </c>
      <c r="E736">
        <v>2.06</v>
      </c>
      <c r="F736">
        <v>2.41</v>
      </c>
      <c r="G736">
        <v>2.96</v>
      </c>
      <c r="H736">
        <v>3.51</v>
      </c>
      <c r="I736">
        <v>4.49</v>
      </c>
      <c r="K736">
        <f t="shared" si="91"/>
        <v>-4.0000000000000036</v>
      </c>
      <c r="L736">
        <f t="shared" si="92"/>
        <v>-4.0000000000000036</v>
      </c>
      <c r="M736">
        <f t="shared" si="93"/>
        <v>-2.0000000000000018</v>
      </c>
      <c r="N736">
        <f t="shared" si="94"/>
        <v>-2.0000000000000018</v>
      </c>
      <c r="O736">
        <f t="shared" si="95"/>
        <v>-0.99999999999997868</v>
      </c>
      <c r="P736">
        <f t="shared" si="96"/>
        <v>-1.0000000000000231</v>
      </c>
      <c r="Q736">
        <f t="shared" si="97"/>
        <v>-1.0000000000000231</v>
      </c>
      <c r="R736">
        <f t="shared" si="98"/>
        <v>-0.99999999999997868</v>
      </c>
    </row>
    <row r="737" spans="1:18">
      <c r="A737" s="9">
        <v>37785</v>
      </c>
      <c r="B737">
        <v>1</v>
      </c>
      <c r="C737">
        <v>1.27</v>
      </c>
      <c r="D737">
        <v>1.64</v>
      </c>
      <c r="E737">
        <v>2.0099999999999998</v>
      </c>
      <c r="F737">
        <v>2.35</v>
      </c>
      <c r="G737">
        <v>2.89</v>
      </c>
      <c r="H737">
        <v>3.44</v>
      </c>
      <c r="I737">
        <v>4.4400000000000004</v>
      </c>
      <c r="K737">
        <f t="shared" si="91"/>
        <v>-2.0000000000000018</v>
      </c>
      <c r="L737">
        <f t="shared" si="92"/>
        <v>-2.0000000000000018</v>
      </c>
      <c r="M737">
        <f t="shared" si="93"/>
        <v>-4.0000000000000036</v>
      </c>
      <c r="N737">
        <f t="shared" si="94"/>
        <v>-5.0000000000000266</v>
      </c>
      <c r="O737">
        <f t="shared" si="95"/>
        <v>-6.0000000000000053</v>
      </c>
      <c r="P737">
        <f t="shared" si="96"/>
        <v>-6.999999999999984</v>
      </c>
      <c r="Q737">
        <f t="shared" si="97"/>
        <v>-6.999999999999984</v>
      </c>
      <c r="R737">
        <f t="shared" si="98"/>
        <v>-4.9999999999999822</v>
      </c>
    </row>
    <row r="738" spans="1:18">
      <c r="A738" s="9">
        <v>37788</v>
      </c>
      <c r="B738">
        <v>1.01</v>
      </c>
      <c r="C738">
        <v>1.3</v>
      </c>
      <c r="D738">
        <v>1.67</v>
      </c>
      <c r="E738">
        <v>2.04</v>
      </c>
      <c r="F738">
        <v>2.38</v>
      </c>
      <c r="G738">
        <v>2.92</v>
      </c>
      <c r="H738">
        <v>3.45</v>
      </c>
      <c r="I738">
        <v>4.43</v>
      </c>
      <c r="K738">
        <f t="shared" si="91"/>
        <v>1.0000000000000009</v>
      </c>
      <c r="L738">
        <f t="shared" si="92"/>
        <v>3.0000000000000027</v>
      </c>
      <c r="M738">
        <f t="shared" si="93"/>
        <v>3.0000000000000027</v>
      </c>
      <c r="N738">
        <f t="shared" si="94"/>
        <v>3.0000000000000249</v>
      </c>
      <c r="O738">
        <f t="shared" si="95"/>
        <v>2.9999999999999805</v>
      </c>
      <c r="P738">
        <f t="shared" si="96"/>
        <v>2.9999999999999805</v>
      </c>
      <c r="Q738">
        <f t="shared" si="97"/>
        <v>1.0000000000000231</v>
      </c>
      <c r="R738">
        <f t="shared" si="98"/>
        <v>-1.0000000000000675</v>
      </c>
    </row>
    <row r="739" spans="1:18">
      <c r="A739" s="9">
        <v>37789</v>
      </c>
      <c r="B739">
        <v>1.04</v>
      </c>
      <c r="C739">
        <v>1.37</v>
      </c>
      <c r="D739">
        <v>1.77</v>
      </c>
      <c r="E739">
        <v>2.15</v>
      </c>
      <c r="F739">
        <v>2.5</v>
      </c>
      <c r="G739">
        <v>3.04</v>
      </c>
      <c r="H739">
        <v>3.57</v>
      </c>
      <c r="I739">
        <v>4.54</v>
      </c>
      <c r="K739">
        <f t="shared" si="91"/>
        <v>3.0000000000000027</v>
      </c>
      <c r="L739">
        <f t="shared" si="92"/>
        <v>7.0000000000000062</v>
      </c>
      <c r="M739">
        <f t="shared" si="93"/>
        <v>10.000000000000009</v>
      </c>
      <c r="N739">
        <f t="shared" si="94"/>
        <v>10.999999999999988</v>
      </c>
      <c r="O739">
        <f t="shared" si="95"/>
        <v>12.000000000000011</v>
      </c>
      <c r="P739">
        <f t="shared" si="96"/>
        <v>12.000000000000011</v>
      </c>
      <c r="Q739">
        <f t="shared" si="97"/>
        <v>11.999999999999966</v>
      </c>
      <c r="R739">
        <f t="shared" si="98"/>
        <v>11.000000000000032</v>
      </c>
    </row>
    <row r="740" spans="1:18">
      <c r="A740" s="9">
        <v>37790</v>
      </c>
      <c r="B740">
        <v>1.07</v>
      </c>
      <c r="C740">
        <v>1.41</v>
      </c>
      <c r="D740">
        <v>1.84</v>
      </c>
      <c r="E740">
        <v>2.2400000000000002</v>
      </c>
      <c r="F740">
        <v>2.61</v>
      </c>
      <c r="G740">
        <v>3.16</v>
      </c>
      <c r="H740">
        <v>3.7</v>
      </c>
      <c r="I740">
        <v>4.66</v>
      </c>
      <c r="K740">
        <f t="shared" si="91"/>
        <v>3.0000000000000027</v>
      </c>
      <c r="L740">
        <f t="shared" si="92"/>
        <v>3.9999999999999813</v>
      </c>
      <c r="M740">
        <f t="shared" si="93"/>
        <v>7.0000000000000062</v>
      </c>
      <c r="N740">
        <f t="shared" si="94"/>
        <v>9.0000000000000302</v>
      </c>
      <c r="O740">
        <f t="shared" si="95"/>
        <v>10.999999999999988</v>
      </c>
      <c r="P740">
        <f t="shared" si="96"/>
        <v>12.000000000000011</v>
      </c>
      <c r="Q740">
        <f t="shared" si="97"/>
        <v>13.000000000000034</v>
      </c>
      <c r="R740">
        <f t="shared" si="98"/>
        <v>12.000000000000011</v>
      </c>
    </row>
    <row r="741" spans="1:18">
      <c r="A741" s="9">
        <v>37791</v>
      </c>
      <c r="B741">
        <v>1.02</v>
      </c>
      <c r="C741">
        <v>1.38</v>
      </c>
      <c r="D741">
        <v>1.83</v>
      </c>
      <c r="E741">
        <v>2.25</v>
      </c>
      <c r="F741">
        <v>2.62</v>
      </c>
      <c r="G741">
        <v>3.17</v>
      </c>
      <c r="H741">
        <v>3.72</v>
      </c>
      <c r="I741">
        <v>4.7</v>
      </c>
      <c r="K741">
        <f t="shared" si="91"/>
        <v>-5.0000000000000044</v>
      </c>
      <c r="L741">
        <f t="shared" si="92"/>
        <v>-3.0000000000000027</v>
      </c>
      <c r="M741">
        <f t="shared" si="93"/>
        <v>-1.0000000000000009</v>
      </c>
      <c r="N741">
        <f t="shared" si="94"/>
        <v>0.99999999999997868</v>
      </c>
      <c r="O741">
        <f t="shared" si="95"/>
        <v>1.0000000000000231</v>
      </c>
      <c r="P741">
        <f t="shared" si="96"/>
        <v>0.99999999999997868</v>
      </c>
      <c r="Q741">
        <f t="shared" si="97"/>
        <v>2.0000000000000018</v>
      </c>
      <c r="R741">
        <f t="shared" si="98"/>
        <v>4.0000000000000036</v>
      </c>
    </row>
    <row r="742" spans="1:18">
      <c r="A742" s="9">
        <v>37792</v>
      </c>
      <c r="B742">
        <v>1.03</v>
      </c>
      <c r="C742">
        <v>1.37</v>
      </c>
      <c r="D742">
        <v>1.82</v>
      </c>
      <c r="E742">
        <v>2.2400000000000002</v>
      </c>
      <c r="F742">
        <v>2.61</v>
      </c>
      <c r="G742">
        <v>3.18</v>
      </c>
      <c r="H742">
        <v>3.74</v>
      </c>
      <c r="I742">
        <v>4.72</v>
      </c>
      <c r="K742">
        <f t="shared" si="91"/>
        <v>1.0000000000000009</v>
      </c>
      <c r="L742">
        <f t="shared" si="92"/>
        <v>-0.99999999999997868</v>
      </c>
      <c r="M742">
        <f t="shared" si="93"/>
        <v>-1.0000000000000009</v>
      </c>
      <c r="N742">
        <f t="shared" si="94"/>
        <v>-0.99999999999997868</v>
      </c>
      <c r="O742">
        <f t="shared" si="95"/>
        <v>-1.0000000000000231</v>
      </c>
      <c r="P742">
        <f t="shared" si="96"/>
        <v>1.0000000000000231</v>
      </c>
      <c r="Q742">
        <f t="shared" si="97"/>
        <v>2.0000000000000018</v>
      </c>
      <c r="R742">
        <f t="shared" si="98"/>
        <v>1.9999999999999574</v>
      </c>
    </row>
    <row r="743" spans="1:18">
      <c r="A743" s="9">
        <v>37795</v>
      </c>
      <c r="B743">
        <v>1.02</v>
      </c>
      <c r="C743">
        <v>1.37</v>
      </c>
      <c r="D743">
        <v>1.8</v>
      </c>
      <c r="E743">
        <v>2.2200000000000002</v>
      </c>
      <c r="F743">
        <v>2.59</v>
      </c>
      <c r="G743">
        <v>3.16</v>
      </c>
      <c r="H743">
        <v>3.73</v>
      </c>
      <c r="I743">
        <v>4.72</v>
      </c>
      <c r="K743">
        <f t="shared" si="91"/>
        <v>-1.0000000000000009</v>
      </c>
      <c r="L743">
        <f t="shared" si="92"/>
        <v>0</v>
      </c>
      <c r="M743">
        <f t="shared" si="93"/>
        <v>-2.0000000000000018</v>
      </c>
      <c r="N743">
        <f t="shared" si="94"/>
        <v>-2.0000000000000018</v>
      </c>
      <c r="O743">
        <f t="shared" si="95"/>
        <v>-2.0000000000000018</v>
      </c>
      <c r="P743">
        <f t="shared" si="96"/>
        <v>-2.0000000000000018</v>
      </c>
      <c r="Q743">
        <f t="shared" si="97"/>
        <v>-1.0000000000000231</v>
      </c>
      <c r="R743">
        <f t="shared" si="98"/>
        <v>0</v>
      </c>
    </row>
    <row r="744" spans="1:18">
      <c r="A744" s="9">
        <v>37796</v>
      </c>
      <c r="B744">
        <v>1.02</v>
      </c>
      <c r="C744">
        <v>1.33</v>
      </c>
      <c r="D744">
        <v>1.75</v>
      </c>
      <c r="E744">
        <v>2.17</v>
      </c>
      <c r="F744">
        <v>2.54</v>
      </c>
      <c r="G744">
        <v>3.12</v>
      </c>
      <c r="H744">
        <v>3.67</v>
      </c>
      <c r="I744">
        <v>4.67</v>
      </c>
      <c r="K744">
        <f t="shared" si="91"/>
        <v>0</v>
      </c>
      <c r="L744">
        <f t="shared" si="92"/>
        <v>-4.0000000000000036</v>
      </c>
      <c r="M744">
        <f t="shared" si="93"/>
        <v>-5.0000000000000044</v>
      </c>
      <c r="N744">
        <f t="shared" si="94"/>
        <v>-5.0000000000000266</v>
      </c>
      <c r="O744">
        <f t="shared" si="95"/>
        <v>-4.9999999999999822</v>
      </c>
      <c r="P744">
        <f t="shared" si="96"/>
        <v>-4.0000000000000036</v>
      </c>
      <c r="Q744">
        <f t="shared" si="97"/>
        <v>-6.0000000000000053</v>
      </c>
      <c r="R744">
        <f t="shared" si="98"/>
        <v>-4.9999999999999822</v>
      </c>
    </row>
    <row r="745" spans="1:18">
      <c r="A745" s="9">
        <v>37797</v>
      </c>
      <c r="B745">
        <v>1.01</v>
      </c>
      <c r="C745">
        <v>1.32</v>
      </c>
      <c r="D745">
        <v>1.73</v>
      </c>
      <c r="E745">
        <v>2.14</v>
      </c>
      <c r="F745">
        <v>2.5099999999999998</v>
      </c>
      <c r="G745">
        <v>3.08</v>
      </c>
      <c r="H745">
        <v>3.64</v>
      </c>
      <c r="I745">
        <v>4.6399999999999997</v>
      </c>
      <c r="K745">
        <f t="shared" si="91"/>
        <v>-1.0000000000000009</v>
      </c>
      <c r="L745">
        <f t="shared" si="92"/>
        <v>-1.0000000000000009</v>
      </c>
      <c r="M745">
        <f t="shared" si="93"/>
        <v>-2.0000000000000018</v>
      </c>
      <c r="N745">
        <f t="shared" si="94"/>
        <v>-2.9999999999999805</v>
      </c>
      <c r="O745">
        <f t="shared" si="95"/>
        <v>-3.0000000000000249</v>
      </c>
      <c r="P745">
        <f t="shared" si="96"/>
        <v>-4.0000000000000036</v>
      </c>
      <c r="Q745">
        <f t="shared" si="97"/>
        <v>-2.9999999999999805</v>
      </c>
      <c r="R745">
        <f t="shared" si="98"/>
        <v>-3.0000000000000249</v>
      </c>
    </row>
    <row r="746" spans="1:18">
      <c r="A746" s="9">
        <v>37798</v>
      </c>
      <c r="B746">
        <v>1.18</v>
      </c>
      <c r="C746">
        <v>1.55</v>
      </c>
      <c r="D746">
        <v>1.96</v>
      </c>
      <c r="E746">
        <v>2.35</v>
      </c>
      <c r="F746">
        <v>2.7</v>
      </c>
      <c r="G746">
        <v>3.26</v>
      </c>
      <c r="H746">
        <v>3.81</v>
      </c>
      <c r="I746">
        <v>4.78</v>
      </c>
      <c r="K746">
        <f t="shared" si="91"/>
        <v>16.999999999999993</v>
      </c>
      <c r="L746">
        <f t="shared" si="92"/>
        <v>23</v>
      </c>
      <c r="M746">
        <f t="shared" si="93"/>
        <v>23</v>
      </c>
      <c r="N746">
        <f t="shared" si="94"/>
        <v>20.999999999999996</v>
      </c>
      <c r="O746">
        <f t="shared" si="95"/>
        <v>19.000000000000039</v>
      </c>
      <c r="P746">
        <f t="shared" si="96"/>
        <v>17.999999999999972</v>
      </c>
      <c r="Q746">
        <f t="shared" si="97"/>
        <v>16.999999999999993</v>
      </c>
      <c r="R746">
        <f t="shared" si="98"/>
        <v>14.000000000000057</v>
      </c>
    </row>
    <row r="747" spans="1:18">
      <c r="A747" s="9">
        <v>37799</v>
      </c>
      <c r="B747">
        <v>1.2</v>
      </c>
      <c r="C747">
        <v>1.58</v>
      </c>
      <c r="D747">
        <v>2.02</v>
      </c>
      <c r="E747">
        <v>2.41</v>
      </c>
      <c r="F747">
        <v>2.77</v>
      </c>
      <c r="G747">
        <v>3.33</v>
      </c>
      <c r="H747">
        <v>3.87</v>
      </c>
      <c r="I747">
        <v>4.83</v>
      </c>
      <c r="K747">
        <f t="shared" si="91"/>
        <v>2.0000000000000018</v>
      </c>
      <c r="L747">
        <f t="shared" si="92"/>
        <v>3.0000000000000027</v>
      </c>
      <c r="M747">
        <f t="shared" si="93"/>
        <v>6.0000000000000053</v>
      </c>
      <c r="N747">
        <f t="shared" si="94"/>
        <v>6.0000000000000053</v>
      </c>
      <c r="O747">
        <f t="shared" si="95"/>
        <v>6.999999999999984</v>
      </c>
      <c r="P747">
        <f t="shared" si="96"/>
        <v>7.0000000000000284</v>
      </c>
      <c r="Q747">
        <f t="shared" si="97"/>
        <v>6.0000000000000053</v>
      </c>
      <c r="R747">
        <f t="shared" si="98"/>
        <v>4.9999999999999822</v>
      </c>
    </row>
    <row r="748" spans="1:18">
      <c r="A748" s="9">
        <v>37802</v>
      </c>
      <c r="B748">
        <v>1.18</v>
      </c>
      <c r="C748">
        <v>1.52</v>
      </c>
      <c r="D748">
        <v>1.96</v>
      </c>
      <c r="E748">
        <v>2.37</v>
      </c>
      <c r="F748">
        <v>2.74</v>
      </c>
      <c r="G748">
        <v>3.3</v>
      </c>
      <c r="H748">
        <v>3.86</v>
      </c>
      <c r="I748">
        <v>4.84</v>
      </c>
      <c r="K748">
        <f t="shared" si="91"/>
        <v>-2.0000000000000018</v>
      </c>
      <c r="L748">
        <f t="shared" si="92"/>
        <v>-6.0000000000000053</v>
      </c>
      <c r="M748">
        <f t="shared" si="93"/>
        <v>-6.0000000000000053</v>
      </c>
      <c r="N748">
        <f t="shared" si="94"/>
        <v>-4.0000000000000036</v>
      </c>
      <c r="O748">
        <f t="shared" si="95"/>
        <v>-2.9999999999999805</v>
      </c>
      <c r="P748">
        <f t="shared" si="96"/>
        <v>-3.0000000000000249</v>
      </c>
      <c r="Q748">
        <f t="shared" si="97"/>
        <v>-1.0000000000000231</v>
      </c>
      <c r="R748">
        <f t="shared" si="98"/>
        <v>0.99999999999997868</v>
      </c>
    </row>
    <row r="749" spans="1:18">
      <c r="A749" s="9">
        <v>37803</v>
      </c>
      <c r="B749">
        <v>1.17</v>
      </c>
      <c r="C749">
        <v>1.5</v>
      </c>
      <c r="D749">
        <v>1.94</v>
      </c>
      <c r="E749">
        <v>2.37</v>
      </c>
      <c r="F749">
        <v>2.74</v>
      </c>
      <c r="G749">
        <v>3.32</v>
      </c>
      <c r="H749">
        <v>3.87</v>
      </c>
      <c r="I749">
        <v>4.84</v>
      </c>
      <c r="K749">
        <f t="shared" si="91"/>
        <v>-1.0000000000000009</v>
      </c>
      <c r="L749">
        <f t="shared" si="92"/>
        <v>-2.0000000000000018</v>
      </c>
      <c r="M749">
        <f t="shared" si="93"/>
        <v>-2.0000000000000018</v>
      </c>
      <c r="N749">
        <f t="shared" si="94"/>
        <v>0</v>
      </c>
      <c r="O749">
        <f t="shared" si="95"/>
        <v>0</v>
      </c>
      <c r="P749">
        <f t="shared" si="96"/>
        <v>2.0000000000000018</v>
      </c>
      <c r="Q749">
        <f t="shared" si="97"/>
        <v>1.0000000000000231</v>
      </c>
      <c r="R749">
        <f t="shared" si="98"/>
        <v>0</v>
      </c>
    </row>
    <row r="750" spans="1:18">
      <c r="A750" s="9">
        <v>37804</v>
      </c>
      <c r="B750">
        <v>1.18</v>
      </c>
      <c r="C750">
        <v>1.55</v>
      </c>
      <c r="D750">
        <v>2.0099999999999998</v>
      </c>
      <c r="E750">
        <v>2.4500000000000002</v>
      </c>
      <c r="F750">
        <v>2.82</v>
      </c>
      <c r="G750">
        <v>3.39</v>
      </c>
      <c r="H750">
        <v>3.94</v>
      </c>
      <c r="I750">
        <v>4.88</v>
      </c>
      <c r="K750">
        <f t="shared" si="91"/>
        <v>1.0000000000000009</v>
      </c>
      <c r="L750">
        <f t="shared" si="92"/>
        <v>5.0000000000000044</v>
      </c>
      <c r="M750">
        <f t="shared" si="93"/>
        <v>6.999999999999984</v>
      </c>
      <c r="N750">
        <f t="shared" si="94"/>
        <v>8.0000000000000071</v>
      </c>
      <c r="O750">
        <f t="shared" si="95"/>
        <v>7.9999999999999627</v>
      </c>
      <c r="P750">
        <f t="shared" si="96"/>
        <v>7.0000000000000284</v>
      </c>
      <c r="Q750">
        <f t="shared" si="97"/>
        <v>6.999999999999984</v>
      </c>
      <c r="R750">
        <f t="shared" si="98"/>
        <v>4.0000000000000036</v>
      </c>
    </row>
    <row r="751" spans="1:18">
      <c r="A751" s="9">
        <v>37805</v>
      </c>
      <c r="B751">
        <v>1.17</v>
      </c>
      <c r="C751">
        <v>1.52</v>
      </c>
      <c r="D751">
        <v>1.98</v>
      </c>
      <c r="E751">
        <v>2.42</v>
      </c>
      <c r="F751">
        <v>2.81</v>
      </c>
      <c r="G751">
        <v>3.41</v>
      </c>
      <c r="H751">
        <v>3.99</v>
      </c>
      <c r="I751">
        <v>4.9400000000000004</v>
      </c>
      <c r="K751">
        <f t="shared" si="91"/>
        <v>-1.0000000000000009</v>
      </c>
      <c r="L751">
        <f t="shared" si="92"/>
        <v>-3.0000000000000027</v>
      </c>
      <c r="M751">
        <f t="shared" si="93"/>
        <v>-2.9999999999999805</v>
      </c>
      <c r="N751">
        <f t="shared" si="94"/>
        <v>-3.0000000000000249</v>
      </c>
      <c r="O751">
        <f t="shared" si="95"/>
        <v>-0.99999999999997868</v>
      </c>
      <c r="P751">
        <f t="shared" si="96"/>
        <v>2.0000000000000018</v>
      </c>
      <c r="Q751">
        <f t="shared" si="97"/>
        <v>5.0000000000000266</v>
      </c>
      <c r="R751">
        <f t="shared" si="98"/>
        <v>6.0000000000000497</v>
      </c>
    </row>
    <row r="752" spans="1:18">
      <c r="A752" s="9">
        <v>37809</v>
      </c>
      <c r="B752">
        <v>1.18</v>
      </c>
      <c r="C752">
        <v>1.55</v>
      </c>
      <c r="D752">
        <v>2.0299999999999998</v>
      </c>
      <c r="E752">
        <v>2.48</v>
      </c>
      <c r="F752">
        <v>2.88</v>
      </c>
      <c r="G752">
        <v>3.46</v>
      </c>
      <c r="H752">
        <v>4.04</v>
      </c>
      <c r="I752">
        <v>4.97</v>
      </c>
      <c r="K752">
        <f t="shared" si="91"/>
        <v>1.0000000000000009</v>
      </c>
      <c r="L752">
        <f t="shared" si="92"/>
        <v>3.0000000000000027</v>
      </c>
      <c r="M752">
        <f t="shared" si="93"/>
        <v>4.9999999999999822</v>
      </c>
      <c r="N752">
        <f t="shared" si="94"/>
        <v>6.0000000000000053</v>
      </c>
      <c r="O752">
        <f t="shared" si="95"/>
        <v>6.999999999999984</v>
      </c>
      <c r="P752">
        <f t="shared" si="96"/>
        <v>4.9999999999999822</v>
      </c>
      <c r="Q752">
        <f t="shared" si="97"/>
        <v>4.9999999999999822</v>
      </c>
      <c r="R752">
        <f t="shared" si="98"/>
        <v>2.9999999999999361</v>
      </c>
    </row>
    <row r="753" spans="1:18">
      <c r="A753" s="9">
        <v>37810</v>
      </c>
      <c r="B753">
        <v>1.19</v>
      </c>
      <c r="C753">
        <v>1.56</v>
      </c>
      <c r="D753">
        <v>2.0499999999999998</v>
      </c>
      <c r="E753">
        <v>2.5099999999999998</v>
      </c>
      <c r="F753">
        <v>2.9</v>
      </c>
      <c r="G753">
        <v>3.49</v>
      </c>
      <c r="H753">
        <v>4.07</v>
      </c>
      <c r="I753">
        <v>5</v>
      </c>
      <c r="K753">
        <f t="shared" si="91"/>
        <v>1.0000000000000009</v>
      </c>
      <c r="L753">
        <f t="shared" si="92"/>
        <v>1.0000000000000009</v>
      </c>
      <c r="M753">
        <f t="shared" si="93"/>
        <v>2.0000000000000018</v>
      </c>
      <c r="N753">
        <f t="shared" si="94"/>
        <v>2.9999999999999805</v>
      </c>
      <c r="O753">
        <f t="shared" si="95"/>
        <v>2.0000000000000018</v>
      </c>
      <c r="P753">
        <f t="shared" si="96"/>
        <v>3.0000000000000249</v>
      </c>
      <c r="Q753">
        <f t="shared" si="97"/>
        <v>3.0000000000000249</v>
      </c>
      <c r="R753">
        <f t="shared" si="98"/>
        <v>3.0000000000000249</v>
      </c>
    </row>
    <row r="754" spans="1:18">
      <c r="A754" s="9">
        <v>37811</v>
      </c>
      <c r="B754">
        <v>1.19</v>
      </c>
      <c r="C754">
        <v>1.56</v>
      </c>
      <c r="D754">
        <v>2.0499999999999998</v>
      </c>
      <c r="E754">
        <v>2.5099999999999998</v>
      </c>
      <c r="F754">
        <v>2.91</v>
      </c>
      <c r="G754">
        <v>3.5</v>
      </c>
      <c r="H754">
        <v>4.07</v>
      </c>
      <c r="I754">
        <v>5.01</v>
      </c>
      <c r="K754">
        <f t="shared" si="91"/>
        <v>0</v>
      </c>
      <c r="L754">
        <f t="shared" si="92"/>
        <v>0</v>
      </c>
      <c r="M754">
        <f t="shared" si="93"/>
        <v>0</v>
      </c>
      <c r="N754">
        <f t="shared" si="94"/>
        <v>0</v>
      </c>
      <c r="O754">
        <f t="shared" si="95"/>
        <v>1.0000000000000231</v>
      </c>
      <c r="P754">
        <f t="shared" si="96"/>
        <v>0.99999999999997868</v>
      </c>
      <c r="Q754">
        <f t="shared" si="97"/>
        <v>0</v>
      </c>
      <c r="R754">
        <f t="shared" si="98"/>
        <v>0.99999999999997868</v>
      </c>
    </row>
    <row r="755" spans="1:18">
      <c r="A755" s="9">
        <v>37812</v>
      </c>
      <c r="B755">
        <v>1.17</v>
      </c>
      <c r="C755">
        <v>1.54</v>
      </c>
      <c r="D755">
        <v>2.02</v>
      </c>
      <c r="E755">
        <v>2.4900000000000002</v>
      </c>
      <c r="F755">
        <v>2.88</v>
      </c>
      <c r="G755">
        <v>3.47</v>
      </c>
      <c r="H755">
        <v>4.05</v>
      </c>
      <c r="I755">
        <v>5</v>
      </c>
      <c r="K755">
        <f t="shared" si="91"/>
        <v>-2.0000000000000018</v>
      </c>
      <c r="L755">
        <f t="shared" si="92"/>
        <v>-2.0000000000000018</v>
      </c>
      <c r="M755">
        <f t="shared" si="93"/>
        <v>-2.9999999999999805</v>
      </c>
      <c r="N755">
        <f t="shared" si="94"/>
        <v>-1.9999999999999574</v>
      </c>
      <c r="O755">
        <f t="shared" si="95"/>
        <v>-3.0000000000000249</v>
      </c>
      <c r="P755">
        <f t="shared" si="96"/>
        <v>-2.9999999999999805</v>
      </c>
      <c r="Q755">
        <f t="shared" si="97"/>
        <v>-2.0000000000000462</v>
      </c>
      <c r="R755">
        <f t="shared" si="98"/>
        <v>-0.99999999999997868</v>
      </c>
    </row>
    <row r="756" spans="1:18">
      <c r="A756" s="9">
        <v>37813</v>
      </c>
      <c r="B756">
        <v>1.17</v>
      </c>
      <c r="C756">
        <v>1.55</v>
      </c>
      <c r="D756">
        <v>2.0299999999999998</v>
      </c>
      <c r="E756">
        <v>2.4900000000000002</v>
      </c>
      <c r="F756">
        <v>2.88</v>
      </c>
      <c r="G756">
        <v>3.48</v>
      </c>
      <c r="H756">
        <v>4.05</v>
      </c>
      <c r="I756">
        <v>5</v>
      </c>
      <c r="K756">
        <f t="shared" si="91"/>
        <v>0</v>
      </c>
      <c r="L756">
        <f t="shared" si="92"/>
        <v>1.0000000000000009</v>
      </c>
      <c r="M756">
        <f t="shared" si="93"/>
        <v>0.99999999999997868</v>
      </c>
      <c r="N756">
        <f t="shared" si="94"/>
        <v>0</v>
      </c>
      <c r="O756">
        <f t="shared" si="95"/>
        <v>0</v>
      </c>
      <c r="P756">
        <f t="shared" si="96"/>
        <v>0.99999999999997868</v>
      </c>
      <c r="Q756">
        <f t="shared" si="97"/>
        <v>0</v>
      </c>
      <c r="R756">
        <f t="shared" si="98"/>
        <v>0</v>
      </c>
    </row>
    <row r="757" spans="1:18">
      <c r="A757" s="9">
        <v>37816</v>
      </c>
      <c r="B757">
        <v>1.17</v>
      </c>
      <c r="C757">
        <v>1.52</v>
      </c>
      <c r="D757">
        <v>1.99</v>
      </c>
      <c r="E757">
        <v>2.44</v>
      </c>
      <c r="F757">
        <v>2.83</v>
      </c>
      <c r="G757">
        <v>3.43</v>
      </c>
      <c r="H757">
        <v>4.01</v>
      </c>
      <c r="I757">
        <v>4.9800000000000004</v>
      </c>
      <c r="K757">
        <f t="shared" si="91"/>
        <v>0</v>
      </c>
      <c r="L757">
        <f t="shared" si="92"/>
        <v>-3.0000000000000027</v>
      </c>
      <c r="M757">
        <f t="shared" si="93"/>
        <v>-3.9999999999999813</v>
      </c>
      <c r="N757">
        <f t="shared" si="94"/>
        <v>-5.0000000000000266</v>
      </c>
      <c r="O757">
        <f t="shared" si="95"/>
        <v>-4.9999999999999822</v>
      </c>
      <c r="P757">
        <f t="shared" si="96"/>
        <v>-4.9999999999999822</v>
      </c>
      <c r="Q757">
        <f t="shared" si="97"/>
        <v>-4.0000000000000036</v>
      </c>
      <c r="R757">
        <f t="shared" si="98"/>
        <v>-1.9999999999999574</v>
      </c>
    </row>
    <row r="758" spans="1:18">
      <c r="A758" s="9">
        <v>37817</v>
      </c>
      <c r="B758">
        <v>1.19</v>
      </c>
      <c r="C758">
        <v>1.6</v>
      </c>
      <c r="D758">
        <v>2.13</v>
      </c>
      <c r="E758">
        <v>2.6</v>
      </c>
      <c r="F758">
        <v>3.02</v>
      </c>
      <c r="G758">
        <v>3.64</v>
      </c>
      <c r="H758">
        <v>4.22</v>
      </c>
      <c r="I758">
        <v>5.15</v>
      </c>
      <c r="K758">
        <f t="shared" si="91"/>
        <v>2.0000000000000018</v>
      </c>
      <c r="L758">
        <f t="shared" si="92"/>
        <v>8.0000000000000071</v>
      </c>
      <c r="M758">
        <f t="shared" si="93"/>
        <v>13.999999999999989</v>
      </c>
      <c r="N758">
        <f t="shared" si="94"/>
        <v>16.000000000000014</v>
      </c>
      <c r="O758">
        <f t="shared" si="95"/>
        <v>18.999999999999993</v>
      </c>
      <c r="P758">
        <f t="shared" si="96"/>
        <v>20.999999999999996</v>
      </c>
      <c r="Q758">
        <f t="shared" si="97"/>
        <v>20.999999999999996</v>
      </c>
      <c r="R758">
        <f t="shared" si="98"/>
        <v>16.999999999999993</v>
      </c>
    </row>
    <row r="759" spans="1:18">
      <c r="A759" s="9">
        <v>37818</v>
      </c>
      <c r="B759">
        <v>1.21</v>
      </c>
      <c r="C759">
        <v>1.67</v>
      </c>
      <c r="D759">
        <v>2.2200000000000002</v>
      </c>
      <c r="E759">
        <v>2.71</v>
      </c>
      <c r="F759">
        <v>3.14</v>
      </c>
      <c r="G759">
        <v>3.74</v>
      </c>
      <c r="H759">
        <v>4.33</v>
      </c>
      <c r="I759">
        <v>5.22</v>
      </c>
      <c r="K759">
        <f t="shared" si="91"/>
        <v>2.0000000000000018</v>
      </c>
      <c r="L759">
        <f t="shared" si="92"/>
        <v>6.999999999999984</v>
      </c>
      <c r="M759">
        <f t="shared" si="93"/>
        <v>9.0000000000000302</v>
      </c>
      <c r="N759">
        <f t="shared" si="94"/>
        <v>10.999999999999988</v>
      </c>
      <c r="O759">
        <f t="shared" si="95"/>
        <v>12.000000000000011</v>
      </c>
      <c r="P759">
        <f t="shared" si="96"/>
        <v>10.000000000000009</v>
      </c>
      <c r="Q759">
        <f t="shared" si="97"/>
        <v>11.000000000000032</v>
      </c>
      <c r="R759">
        <f t="shared" si="98"/>
        <v>6.9999999999999396</v>
      </c>
    </row>
    <row r="760" spans="1:18">
      <c r="A760" s="9">
        <v>37819</v>
      </c>
      <c r="B760">
        <v>1.23</v>
      </c>
      <c r="C760">
        <v>1.72</v>
      </c>
      <c r="D760">
        <v>2.29</v>
      </c>
      <c r="E760">
        <v>2.8</v>
      </c>
      <c r="F760">
        <v>3.22</v>
      </c>
      <c r="G760">
        <v>3.82</v>
      </c>
      <c r="H760">
        <v>4.4000000000000004</v>
      </c>
      <c r="I760">
        <v>5.26</v>
      </c>
      <c r="K760">
        <f t="shared" si="91"/>
        <v>2.0000000000000018</v>
      </c>
      <c r="L760">
        <f t="shared" si="92"/>
        <v>5.0000000000000044</v>
      </c>
      <c r="M760">
        <f t="shared" si="93"/>
        <v>6.999999999999984</v>
      </c>
      <c r="N760">
        <f t="shared" si="94"/>
        <v>8.9999999999999858</v>
      </c>
      <c r="O760">
        <f t="shared" si="95"/>
        <v>8.0000000000000071</v>
      </c>
      <c r="P760">
        <f t="shared" si="96"/>
        <v>7.9999999999999627</v>
      </c>
      <c r="Q760">
        <f t="shared" si="97"/>
        <v>7.0000000000000284</v>
      </c>
      <c r="R760">
        <f t="shared" si="98"/>
        <v>4.0000000000000036</v>
      </c>
    </row>
    <row r="761" spans="1:18">
      <c r="A761" s="9">
        <v>37820</v>
      </c>
      <c r="B761">
        <v>1.21</v>
      </c>
      <c r="C761">
        <v>1.68</v>
      </c>
      <c r="D761">
        <v>2.27</v>
      </c>
      <c r="E761">
        <v>2.77</v>
      </c>
      <c r="F761">
        <v>3.18</v>
      </c>
      <c r="G761">
        <v>3.78</v>
      </c>
      <c r="H761">
        <v>4.3499999999999996</v>
      </c>
      <c r="I761">
        <v>5.24</v>
      </c>
      <c r="K761">
        <f t="shared" si="91"/>
        <v>-2.0000000000000018</v>
      </c>
      <c r="L761">
        <f t="shared" si="92"/>
        <v>-4.0000000000000036</v>
      </c>
      <c r="M761">
        <f t="shared" si="93"/>
        <v>-2.0000000000000018</v>
      </c>
      <c r="N761">
        <f t="shared" si="94"/>
        <v>-2.9999999999999805</v>
      </c>
      <c r="O761">
        <f t="shared" si="95"/>
        <v>-4.0000000000000036</v>
      </c>
      <c r="P761">
        <f t="shared" si="96"/>
        <v>-4.0000000000000036</v>
      </c>
      <c r="Q761">
        <f t="shared" si="97"/>
        <v>-5.0000000000000711</v>
      </c>
      <c r="R761">
        <f t="shared" si="98"/>
        <v>-1.9999999999999574</v>
      </c>
    </row>
    <row r="762" spans="1:18">
      <c r="A762" s="9">
        <v>37823</v>
      </c>
      <c r="B762">
        <v>1.23</v>
      </c>
      <c r="C762">
        <v>1.75</v>
      </c>
      <c r="D762">
        <v>2.36</v>
      </c>
      <c r="E762">
        <v>2.87</v>
      </c>
      <c r="F762">
        <v>3.3</v>
      </c>
      <c r="G762">
        <v>3.89</v>
      </c>
      <c r="H762">
        <v>4.45</v>
      </c>
      <c r="I762">
        <v>5.29</v>
      </c>
      <c r="K762">
        <f t="shared" si="91"/>
        <v>2.0000000000000018</v>
      </c>
      <c r="L762">
        <f t="shared" si="92"/>
        <v>7.0000000000000062</v>
      </c>
      <c r="M762">
        <f t="shared" si="93"/>
        <v>8.9999999999999858</v>
      </c>
      <c r="N762">
        <f t="shared" si="94"/>
        <v>10.000000000000009</v>
      </c>
      <c r="O762">
        <f t="shared" si="95"/>
        <v>11.999999999999966</v>
      </c>
      <c r="P762">
        <f t="shared" si="96"/>
        <v>11.000000000000032</v>
      </c>
      <c r="Q762">
        <f t="shared" si="97"/>
        <v>10.000000000000053</v>
      </c>
      <c r="R762">
        <f t="shared" si="98"/>
        <v>4.9999999999999822</v>
      </c>
    </row>
    <row r="763" spans="1:18">
      <c r="A763" s="9">
        <v>37824</v>
      </c>
      <c r="B763">
        <v>1.24</v>
      </c>
      <c r="C763">
        <v>1.8</v>
      </c>
      <c r="D763">
        <v>2.4300000000000002</v>
      </c>
      <c r="E763">
        <v>2.98</v>
      </c>
      <c r="F763">
        <v>3.43</v>
      </c>
      <c r="G763">
        <v>4.03</v>
      </c>
      <c r="H763">
        <v>4.5999999999999996</v>
      </c>
      <c r="I763">
        <v>5.42</v>
      </c>
      <c r="K763">
        <f t="shared" si="91"/>
        <v>1.0000000000000009</v>
      </c>
      <c r="L763">
        <f t="shared" si="92"/>
        <v>5.0000000000000044</v>
      </c>
      <c r="M763">
        <f t="shared" si="93"/>
        <v>7.0000000000000284</v>
      </c>
      <c r="N763">
        <f t="shared" si="94"/>
        <v>10.999999999999988</v>
      </c>
      <c r="O763">
        <f t="shared" si="95"/>
        <v>13.000000000000034</v>
      </c>
      <c r="P763">
        <f t="shared" si="96"/>
        <v>14.000000000000012</v>
      </c>
      <c r="Q763">
        <f t="shared" si="97"/>
        <v>14.999999999999947</v>
      </c>
      <c r="R763">
        <f t="shared" si="98"/>
        <v>12.999999999999989</v>
      </c>
    </row>
    <row r="764" spans="1:18">
      <c r="A764" s="9">
        <v>37825</v>
      </c>
      <c r="B764">
        <v>1.21</v>
      </c>
      <c r="C764">
        <v>1.68</v>
      </c>
      <c r="D764">
        <v>2.2999999999999998</v>
      </c>
      <c r="E764">
        <v>2.84</v>
      </c>
      <c r="F764">
        <v>3.28</v>
      </c>
      <c r="G764">
        <v>3.89</v>
      </c>
      <c r="H764">
        <v>4.46</v>
      </c>
      <c r="I764">
        <v>5.32</v>
      </c>
      <c r="K764">
        <f t="shared" si="91"/>
        <v>-3.0000000000000027</v>
      </c>
      <c r="L764">
        <f t="shared" si="92"/>
        <v>-12.000000000000011</v>
      </c>
      <c r="M764">
        <f t="shared" si="93"/>
        <v>-13.000000000000034</v>
      </c>
      <c r="N764">
        <f t="shared" si="94"/>
        <v>-14.000000000000012</v>
      </c>
      <c r="O764">
        <f t="shared" si="95"/>
        <v>-15.000000000000036</v>
      </c>
      <c r="P764">
        <f t="shared" si="96"/>
        <v>-14.000000000000012</v>
      </c>
      <c r="Q764">
        <f t="shared" si="97"/>
        <v>-13.999999999999968</v>
      </c>
      <c r="R764">
        <f t="shared" si="98"/>
        <v>-9.9999999999999645</v>
      </c>
    </row>
    <row r="765" spans="1:18">
      <c r="A765" s="9">
        <v>37826</v>
      </c>
      <c r="B765">
        <v>1.23</v>
      </c>
      <c r="C765">
        <v>1.76</v>
      </c>
      <c r="D765">
        <v>2.4</v>
      </c>
      <c r="E765">
        <v>2.96</v>
      </c>
      <c r="F765">
        <v>3.42</v>
      </c>
      <c r="G765">
        <v>4.04</v>
      </c>
      <c r="H765">
        <v>4.5999999999999996</v>
      </c>
      <c r="I765">
        <v>5.43</v>
      </c>
      <c r="K765">
        <f t="shared" si="91"/>
        <v>2.0000000000000018</v>
      </c>
      <c r="L765">
        <f t="shared" si="92"/>
        <v>8.0000000000000071</v>
      </c>
      <c r="M765">
        <f t="shared" si="93"/>
        <v>10.000000000000009</v>
      </c>
      <c r="N765">
        <f t="shared" si="94"/>
        <v>12.000000000000011</v>
      </c>
      <c r="O765">
        <f t="shared" si="95"/>
        <v>14.000000000000012</v>
      </c>
      <c r="P765">
        <f t="shared" si="96"/>
        <v>14.999999999999991</v>
      </c>
      <c r="Q765">
        <f t="shared" si="97"/>
        <v>13.999999999999968</v>
      </c>
      <c r="R765">
        <f t="shared" si="98"/>
        <v>10.999999999999943</v>
      </c>
    </row>
    <row r="766" spans="1:18">
      <c r="A766" s="9">
        <v>37827</v>
      </c>
      <c r="B766">
        <v>1.2</v>
      </c>
      <c r="C766">
        <v>1.68</v>
      </c>
      <c r="D766">
        <v>2.31</v>
      </c>
      <c r="E766">
        <v>2.85</v>
      </c>
      <c r="F766">
        <v>3.31</v>
      </c>
      <c r="G766">
        <v>3.94</v>
      </c>
      <c r="H766">
        <v>4.51</v>
      </c>
      <c r="I766">
        <v>5.34</v>
      </c>
      <c r="K766">
        <f t="shared" si="91"/>
        <v>-3.0000000000000027</v>
      </c>
      <c r="L766">
        <f t="shared" si="92"/>
        <v>-8.0000000000000071</v>
      </c>
      <c r="M766">
        <f t="shared" si="93"/>
        <v>-8.9999999999999858</v>
      </c>
      <c r="N766">
        <f t="shared" si="94"/>
        <v>-10.999999999999988</v>
      </c>
      <c r="O766">
        <f t="shared" si="95"/>
        <v>-10.999999999999988</v>
      </c>
      <c r="P766">
        <f t="shared" si="96"/>
        <v>-10.000000000000009</v>
      </c>
      <c r="Q766">
        <f t="shared" si="97"/>
        <v>-8.9999999999999858</v>
      </c>
      <c r="R766">
        <f t="shared" si="98"/>
        <v>-8.9999999999999858</v>
      </c>
    </row>
    <row r="767" spans="1:18">
      <c r="A767" s="9">
        <v>37830</v>
      </c>
      <c r="B767">
        <v>1.24</v>
      </c>
      <c r="C767">
        <v>1.79</v>
      </c>
      <c r="D767">
        <v>2.4500000000000002</v>
      </c>
      <c r="E767">
        <v>3.02</v>
      </c>
      <c r="F767">
        <v>3.49</v>
      </c>
      <c r="G767">
        <v>4.12</v>
      </c>
      <c r="H767">
        <v>4.68</v>
      </c>
      <c r="I767">
        <v>5.48</v>
      </c>
      <c r="K767">
        <f t="shared" si="91"/>
        <v>4.0000000000000036</v>
      </c>
      <c r="L767">
        <f t="shared" si="92"/>
        <v>11.000000000000011</v>
      </c>
      <c r="M767">
        <f t="shared" si="93"/>
        <v>14.000000000000012</v>
      </c>
      <c r="N767">
        <f t="shared" si="94"/>
        <v>16.999999999999993</v>
      </c>
      <c r="O767">
        <f t="shared" si="95"/>
        <v>18.000000000000014</v>
      </c>
      <c r="P767">
        <f t="shared" si="96"/>
        <v>18.000000000000014</v>
      </c>
      <c r="Q767">
        <f t="shared" si="97"/>
        <v>16.999999999999993</v>
      </c>
      <c r="R767">
        <f t="shared" si="98"/>
        <v>14.000000000000057</v>
      </c>
    </row>
    <row r="768" spans="1:18">
      <c r="A768" s="9">
        <v>37831</v>
      </c>
      <c r="B768">
        <v>1.25</v>
      </c>
      <c r="C768">
        <v>1.82</v>
      </c>
      <c r="D768">
        <v>2.5099999999999998</v>
      </c>
      <c r="E768">
        <v>3.1</v>
      </c>
      <c r="F768">
        <v>3.58</v>
      </c>
      <c r="G768">
        <v>4.2</v>
      </c>
      <c r="H768">
        <v>4.75</v>
      </c>
      <c r="I768">
        <v>5.55</v>
      </c>
      <c r="K768">
        <f t="shared" si="91"/>
        <v>1.0000000000000009</v>
      </c>
      <c r="L768">
        <f t="shared" si="92"/>
        <v>3.0000000000000027</v>
      </c>
      <c r="M768">
        <f t="shared" si="93"/>
        <v>5.9999999999999609</v>
      </c>
      <c r="N768">
        <f t="shared" si="94"/>
        <v>8.0000000000000071</v>
      </c>
      <c r="O768">
        <f t="shared" si="95"/>
        <v>8.9999999999999858</v>
      </c>
      <c r="P768">
        <f t="shared" si="96"/>
        <v>8.0000000000000071</v>
      </c>
      <c r="Q768">
        <f t="shared" si="97"/>
        <v>7.0000000000000284</v>
      </c>
      <c r="R768">
        <f t="shared" si="98"/>
        <v>6.9999999999999396</v>
      </c>
    </row>
    <row r="769" spans="1:18">
      <c r="A769" s="9">
        <v>37832</v>
      </c>
      <c r="B769">
        <v>1.27</v>
      </c>
      <c r="C769">
        <v>1.85</v>
      </c>
      <c r="D769">
        <v>2.56</v>
      </c>
      <c r="E769">
        <v>3.16</v>
      </c>
      <c r="F769">
        <v>3.63</v>
      </c>
      <c r="G769">
        <v>4.25</v>
      </c>
      <c r="H769">
        <v>4.8</v>
      </c>
      <c r="I769">
        <v>5.61</v>
      </c>
      <c r="K769">
        <f t="shared" si="91"/>
        <v>2.0000000000000018</v>
      </c>
      <c r="L769">
        <f t="shared" si="92"/>
        <v>3.0000000000000027</v>
      </c>
      <c r="M769">
        <f t="shared" si="93"/>
        <v>5.0000000000000266</v>
      </c>
      <c r="N769">
        <f t="shared" si="94"/>
        <v>6.0000000000000053</v>
      </c>
      <c r="O769">
        <f t="shared" si="95"/>
        <v>4.9999999999999822</v>
      </c>
      <c r="P769">
        <f t="shared" si="96"/>
        <v>4.9999999999999822</v>
      </c>
      <c r="Q769">
        <f t="shared" si="97"/>
        <v>4.9999999999999822</v>
      </c>
      <c r="R769">
        <f t="shared" si="98"/>
        <v>6.0000000000000497</v>
      </c>
    </row>
    <row r="770" spans="1:18">
      <c r="A770" s="9">
        <v>37833</v>
      </c>
      <c r="B770">
        <v>1.33</v>
      </c>
      <c r="C770">
        <v>1.96</v>
      </c>
      <c r="D770">
        <v>2.66</v>
      </c>
      <c r="E770">
        <v>3.26</v>
      </c>
      <c r="F770">
        <v>3.73</v>
      </c>
      <c r="G770">
        <v>4.3499999999999996</v>
      </c>
      <c r="H770">
        <v>4.92</v>
      </c>
      <c r="I770">
        <v>5.71</v>
      </c>
      <c r="K770">
        <f t="shared" si="91"/>
        <v>6.0000000000000053</v>
      </c>
      <c r="L770">
        <f t="shared" si="92"/>
        <v>10.999999999999988</v>
      </c>
      <c r="M770">
        <f t="shared" si="93"/>
        <v>10.000000000000009</v>
      </c>
      <c r="N770">
        <f t="shared" si="94"/>
        <v>9.9999999999999645</v>
      </c>
      <c r="O770">
        <f t="shared" si="95"/>
        <v>10.000000000000009</v>
      </c>
      <c r="P770">
        <f t="shared" si="96"/>
        <v>9.9999999999999645</v>
      </c>
      <c r="Q770">
        <f t="shared" si="97"/>
        <v>12.000000000000011</v>
      </c>
      <c r="R770">
        <f t="shared" si="98"/>
        <v>9.9999999999999645</v>
      </c>
    </row>
    <row r="771" spans="1:18">
      <c r="A771" s="9">
        <v>37834</v>
      </c>
      <c r="B771">
        <v>1.43</v>
      </c>
      <c r="C771">
        <v>2.15</v>
      </c>
      <c r="D771">
        <v>2.87</v>
      </c>
      <c r="E771">
        <v>3.44</v>
      </c>
      <c r="F771">
        <v>3.9</v>
      </c>
      <c r="G771">
        <v>4.51</v>
      </c>
      <c r="H771">
        <v>5.0599999999999996</v>
      </c>
      <c r="I771">
        <v>5.87</v>
      </c>
      <c r="K771">
        <f t="shared" si="91"/>
        <v>9.9999999999999858</v>
      </c>
      <c r="L771">
        <f t="shared" si="92"/>
        <v>18.999999999999993</v>
      </c>
      <c r="M771">
        <f t="shared" si="93"/>
        <v>20.999999999999996</v>
      </c>
      <c r="N771">
        <f t="shared" si="94"/>
        <v>18.000000000000014</v>
      </c>
      <c r="O771">
        <f t="shared" si="95"/>
        <v>16.999999999999993</v>
      </c>
      <c r="P771">
        <f t="shared" si="96"/>
        <v>16.000000000000014</v>
      </c>
      <c r="Q771">
        <f t="shared" si="97"/>
        <v>13.999999999999968</v>
      </c>
      <c r="R771">
        <f t="shared" si="98"/>
        <v>16.000000000000014</v>
      </c>
    </row>
    <row r="772" spans="1:18">
      <c r="A772" s="9">
        <v>37837</v>
      </c>
      <c r="B772">
        <v>1.42</v>
      </c>
      <c r="C772">
        <v>2.12</v>
      </c>
      <c r="D772">
        <v>2.82</v>
      </c>
      <c r="E772">
        <v>3.39</v>
      </c>
      <c r="F772">
        <v>3.84</v>
      </c>
      <c r="G772">
        <v>4.4800000000000004</v>
      </c>
      <c r="H772">
        <v>5.04</v>
      </c>
      <c r="I772">
        <v>5.84</v>
      </c>
      <c r="K772">
        <f t="shared" si="91"/>
        <v>-1.0000000000000009</v>
      </c>
      <c r="L772">
        <f t="shared" si="92"/>
        <v>-2.9999999999999805</v>
      </c>
      <c r="M772">
        <f t="shared" si="93"/>
        <v>-5.0000000000000266</v>
      </c>
      <c r="N772">
        <f t="shared" si="94"/>
        <v>-4.9999999999999822</v>
      </c>
      <c r="O772">
        <f t="shared" si="95"/>
        <v>-6.0000000000000053</v>
      </c>
      <c r="P772">
        <f t="shared" si="96"/>
        <v>-2.9999999999999361</v>
      </c>
      <c r="Q772">
        <f t="shared" si="97"/>
        <v>-1.9999999999999574</v>
      </c>
      <c r="R772">
        <f t="shared" si="98"/>
        <v>-3.0000000000000249</v>
      </c>
    </row>
    <row r="773" spans="1:18">
      <c r="A773" s="9">
        <v>37838</v>
      </c>
      <c r="B773">
        <v>1.42</v>
      </c>
      <c r="C773">
        <v>2.09</v>
      </c>
      <c r="D773">
        <v>2.76</v>
      </c>
      <c r="E773">
        <v>3.32</v>
      </c>
      <c r="F773">
        <v>3.76</v>
      </c>
      <c r="G773">
        <v>4.3899999999999997</v>
      </c>
      <c r="H773">
        <v>4.95</v>
      </c>
      <c r="I773">
        <v>5.77</v>
      </c>
      <c r="K773">
        <f t="shared" ref="K773:K836" si="99">(B773-B772)*100</f>
        <v>0</v>
      </c>
      <c r="L773">
        <f t="shared" ref="L773:L836" si="100">(C773-C772)*100</f>
        <v>-3.0000000000000249</v>
      </c>
      <c r="M773">
        <f t="shared" ref="M773:M836" si="101">(D773-D772)*100</f>
        <v>-6.0000000000000053</v>
      </c>
      <c r="N773">
        <f t="shared" ref="N773:N836" si="102">(E773-E772)*100</f>
        <v>-7.0000000000000284</v>
      </c>
      <c r="O773">
        <f t="shared" ref="O773:O836" si="103">(F773-F772)*100</f>
        <v>-8.0000000000000071</v>
      </c>
      <c r="P773">
        <f t="shared" ref="P773:P836" si="104">(G773-G772)*100</f>
        <v>-9.0000000000000746</v>
      </c>
      <c r="Q773">
        <f t="shared" ref="Q773:Q836" si="105">(H773-H772)*100</f>
        <v>-8.9999999999999858</v>
      </c>
      <c r="R773">
        <f t="shared" ref="R773:R836" si="106">(I773-I772)*100</f>
        <v>-7.0000000000000284</v>
      </c>
    </row>
    <row r="774" spans="1:18">
      <c r="A774" s="9">
        <v>37839</v>
      </c>
      <c r="B774">
        <v>1.44</v>
      </c>
      <c r="C774">
        <v>2.13</v>
      </c>
      <c r="D774">
        <v>2.79</v>
      </c>
      <c r="E774">
        <v>3.33</v>
      </c>
      <c r="F774">
        <v>3.76</v>
      </c>
      <c r="G774">
        <v>4.3600000000000003</v>
      </c>
      <c r="H774">
        <v>4.9000000000000004</v>
      </c>
      <c r="I774">
        <v>5.7</v>
      </c>
      <c r="K774">
        <f t="shared" si="99"/>
        <v>2.0000000000000018</v>
      </c>
      <c r="L774">
        <f t="shared" si="100"/>
        <v>4.0000000000000036</v>
      </c>
      <c r="M774">
        <f t="shared" si="101"/>
        <v>3.0000000000000249</v>
      </c>
      <c r="N774">
        <f t="shared" si="102"/>
        <v>1.0000000000000231</v>
      </c>
      <c r="O774">
        <f t="shared" si="103"/>
        <v>0</v>
      </c>
      <c r="P774">
        <f t="shared" si="104"/>
        <v>-2.9999999999999361</v>
      </c>
      <c r="Q774">
        <f t="shared" si="105"/>
        <v>-4.9999999999999822</v>
      </c>
      <c r="R774">
        <f t="shared" si="106"/>
        <v>-6.9999999999999396</v>
      </c>
    </row>
    <row r="775" spans="1:18">
      <c r="A775" s="9">
        <v>37840</v>
      </c>
      <c r="B775">
        <v>1.4</v>
      </c>
      <c r="C775">
        <v>2.04</v>
      </c>
      <c r="D775">
        <v>2.66</v>
      </c>
      <c r="E775">
        <v>3.18</v>
      </c>
      <c r="F775">
        <v>3.6</v>
      </c>
      <c r="G775">
        <v>4.2</v>
      </c>
      <c r="H775">
        <v>4.75</v>
      </c>
      <c r="I775">
        <v>5.56</v>
      </c>
      <c r="K775">
        <f t="shared" si="99"/>
        <v>-4.0000000000000036</v>
      </c>
      <c r="L775">
        <f t="shared" si="100"/>
        <v>-8.9999999999999858</v>
      </c>
      <c r="M775">
        <f t="shared" si="101"/>
        <v>-12.999999999999989</v>
      </c>
      <c r="N775">
        <f t="shared" si="102"/>
        <v>-14.999999999999991</v>
      </c>
      <c r="O775">
        <f t="shared" si="103"/>
        <v>-15.99999999999997</v>
      </c>
      <c r="P775">
        <f t="shared" si="104"/>
        <v>-16.000000000000014</v>
      </c>
      <c r="Q775">
        <f t="shared" si="105"/>
        <v>-15.000000000000036</v>
      </c>
      <c r="R775">
        <f t="shared" si="106"/>
        <v>-14.000000000000057</v>
      </c>
    </row>
    <row r="776" spans="1:18">
      <c r="A776" s="9">
        <v>37841</v>
      </c>
      <c r="B776">
        <v>1.34</v>
      </c>
      <c r="C776">
        <v>1.91</v>
      </c>
      <c r="D776">
        <v>2.5</v>
      </c>
      <c r="E776">
        <v>3.01</v>
      </c>
      <c r="F776">
        <v>3.43</v>
      </c>
      <c r="G776">
        <v>4.04</v>
      </c>
      <c r="H776">
        <v>4.59</v>
      </c>
      <c r="I776">
        <v>5.45</v>
      </c>
      <c r="K776">
        <f t="shared" si="99"/>
        <v>-5.9999999999999831</v>
      </c>
      <c r="L776">
        <f t="shared" si="100"/>
        <v>-13.000000000000011</v>
      </c>
      <c r="M776">
        <f t="shared" si="101"/>
        <v>-16.000000000000014</v>
      </c>
      <c r="N776">
        <f t="shared" si="102"/>
        <v>-17.000000000000036</v>
      </c>
      <c r="O776">
        <f t="shared" si="103"/>
        <v>-16.999999999999993</v>
      </c>
      <c r="P776">
        <f t="shared" si="104"/>
        <v>-16.000000000000014</v>
      </c>
      <c r="Q776">
        <f t="shared" si="105"/>
        <v>-16.000000000000014</v>
      </c>
      <c r="R776">
        <f t="shared" si="106"/>
        <v>-10.999999999999943</v>
      </c>
    </row>
    <row r="777" spans="1:18">
      <c r="A777" s="9">
        <v>37844</v>
      </c>
      <c r="B777">
        <v>1.39</v>
      </c>
      <c r="C777">
        <v>2.0499999999999998</v>
      </c>
      <c r="D777">
        <v>2.67</v>
      </c>
      <c r="E777">
        <v>3.21</v>
      </c>
      <c r="F777">
        <v>3.66</v>
      </c>
      <c r="G777">
        <v>4.25</v>
      </c>
      <c r="H777">
        <v>4.8</v>
      </c>
      <c r="I777">
        <v>5.64</v>
      </c>
      <c r="K777">
        <f t="shared" si="99"/>
        <v>4.9999999999999822</v>
      </c>
      <c r="L777">
        <f t="shared" si="100"/>
        <v>13.999999999999989</v>
      </c>
      <c r="M777">
        <f t="shared" si="101"/>
        <v>16.999999999999993</v>
      </c>
      <c r="N777">
        <f t="shared" si="102"/>
        <v>20.000000000000018</v>
      </c>
      <c r="O777">
        <f t="shared" si="103"/>
        <v>23</v>
      </c>
      <c r="P777">
        <f t="shared" si="104"/>
        <v>20.999999999999996</v>
      </c>
      <c r="Q777">
        <f t="shared" si="105"/>
        <v>20.999999999999996</v>
      </c>
      <c r="R777">
        <f t="shared" si="106"/>
        <v>18.99999999999995</v>
      </c>
    </row>
    <row r="778" spans="1:18">
      <c r="A778" s="9">
        <v>37845</v>
      </c>
      <c r="B778">
        <v>1.38</v>
      </c>
      <c r="C778">
        <v>2.0699999999999998</v>
      </c>
      <c r="D778">
        <v>2.72</v>
      </c>
      <c r="E778">
        <v>3.26</v>
      </c>
      <c r="F778">
        <v>3.71</v>
      </c>
      <c r="G778">
        <v>4.3099999999999996</v>
      </c>
      <c r="H778">
        <v>4.8600000000000003</v>
      </c>
      <c r="I778">
        <v>5.68</v>
      </c>
      <c r="K778">
        <f t="shared" si="99"/>
        <v>-1.0000000000000009</v>
      </c>
      <c r="L778">
        <f t="shared" si="100"/>
        <v>2.0000000000000018</v>
      </c>
      <c r="M778">
        <f t="shared" si="101"/>
        <v>5.0000000000000266</v>
      </c>
      <c r="N778">
        <f t="shared" si="102"/>
        <v>4.9999999999999822</v>
      </c>
      <c r="O778">
        <f t="shared" si="103"/>
        <v>4.9999999999999822</v>
      </c>
      <c r="P778">
        <f t="shared" si="104"/>
        <v>5.9999999999999609</v>
      </c>
      <c r="Q778">
        <f t="shared" si="105"/>
        <v>6.0000000000000497</v>
      </c>
      <c r="R778">
        <f t="shared" si="106"/>
        <v>4.0000000000000036</v>
      </c>
    </row>
    <row r="779" spans="1:18">
      <c r="A779" s="9">
        <v>37846</v>
      </c>
      <c r="B779">
        <v>1.4</v>
      </c>
      <c r="C779">
        <v>2.1</v>
      </c>
      <c r="D779">
        <v>2.81</v>
      </c>
      <c r="E779">
        <v>3.38</v>
      </c>
      <c r="F779">
        <v>3.86</v>
      </c>
      <c r="G779">
        <v>4.4800000000000004</v>
      </c>
      <c r="H779">
        <v>5.04</v>
      </c>
      <c r="I779">
        <v>5.85</v>
      </c>
      <c r="K779">
        <f t="shared" si="99"/>
        <v>2.0000000000000018</v>
      </c>
      <c r="L779">
        <f t="shared" si="100"/>
        <v>3.0000000000000249</v>
      </c>
      <c r="M779">
        <f t="shared" si="101"/>
        <v>8.9999999999999858</v>
      </c>
      <c r="N779">
        <f t="shared" si="102"/>
        <v>12.000000000000011</v>
      </c>
      <c r="O779">
        <f t="shared" si="103"/>
        <v>14.999999999999991</v>
      </c>
      <c r="P779">
        <f t="shared" si="104"/>
        <v>17.000000000000082</v>
      </c>
      <c r="Q779">
        <f t="shared" si="105"/>
        <v>17.999999999999972</v>
      </c>
      <c r="R779">
        <f t="shared" si="106"/>
        <v>16.999999999999993</v>
      </c>
    </row>
    <row r="780" spans="1:18">
      <c r="A780" s="9">
        <v>37847</v>
      </c>
      <c r="B780">
        <v>1.41</v>
      </c>
      <c r="C780">
        <v>2.19</v>
      </c>
      <c r="D780">
        <v>2.93</v>
      </c>
      <c r="E780">
        <v>3.51</v>
      </c>
      <c r="F780">
        <v>3.98</v>
      </c>
      <c r="G780">
        <v>4.59</v>
      </c>
      <c r="H780">
        <v>5.14</v>
      </c>
      <c r="I780">
        <v>5.87</v>
      </c>
      <c r="K780">
        <f t="shared" si="99"/>
        <v>1.0000000000000009</v>
      </c>
      <c r="L780">
        <f t="shared" si="100"/>
        <v>8.9999999999999858</v>
      </c>
      <c r="M780">
        <f t="shared" si="101"/>
        <v>12.000000000000011</v>
      </c>
      <c r="N780">
        <f t="shared" si="102"/>
        <v>12.999999999999989</v>
      </c>
      <c r="O780">
        <f t="shared" si="103"/>
        <v>12.000000000000011</v>
      </c>
      <c r="P780">
        <f t="shared" si="104"/>
        <v>10.999999999999943</v>
      </c>
      <c r="Q780">
        <f t="shared" si="105"/>
        <v>9.9999999999999645</v>
      </c>
      <c r="R780">
        <f t="shared" si="106"/>
        <v>2.0000000000000462</v>
      </c>
    </row>
    <row r="781" spans="1:18">
      <c r="A781" s="9">
        <v>37848</v>
      </c>
      <c r="B781">
        <v>1.4</v>
      </c>
      <c r="C781">
        <v>2.12</v>
      </c>
      <c r="D781">
        <v>2.83</v>
      </c>
      <c r="E781">
        <v>3.4</v>
      </c>
      <c r="F781">
        <v>3.84</v>
      </c>
      <c r="G781">
        <v>4.45</v>
      </c>
      <c r="H781">
        <v>4.99</v>
      </c>
      <c r="I781">
        <v>5.77</v>
      </c>
      <c r="K781">
        <f t="shared" si="99"/>
        <v>-1.0000000000000009</v>
      </c>
      <c r="L781">
        <f t="shared" si="100"/>
        <v>-6.999999999999984</v>
      </c>
      <c r="M781">
        <f t="shared" si="101"/>
        <v>-10.000000000000009</v>
      </c>
      <c r="N781">
        <f t="shared" si="102"/>
        <v>-10.999999999999988</v>
      </c>
      <c r="O781">
        <f t="shared" si="103"/>
        <v>-14.000000000000012</v>
      </c>
      <c r="P781">
        <f t="shared" si="104"/>
        <v>-13.999999999999968</v>
      </c>
      <c r="Q781">
        <f t="shared" si="105"/>
        <v>-14.999999999999947</v>
      </c>
      <c r="R781">
        <f t="shared" si="106"/>
        <v>-10.000000000000053</v>
      </c>
    </row>
    <row r="782" spans="1:18">
      <c r="A782" s="9">
        <v>37851</v>
      </c>
      <c r="B782">
        <v>1.41</v>
      </c>
      <c r="C782">
        <v>2.15</v>
      </c>
      <c r="D782">
        <v>2.84</v>
      </c>
      <c r="E782">
        <v>3.39</v>
      </c>
      <c r="F782">
        <v>3.83</v>
      </c>
      <c r="G782">
        <v>4.43</v>
      </c>
      <c r="H782">
        <v>4.97</v>
      </c>
      <c r="I782">
        <v>5.75</v>
      </c>
      <c r="K782">
        <f t="shared" si="99"/>
        <v>1.0000000000000009</v>
      </c>
      <c r="L782">
        <f t="shared" si="100"/>
        <v>2.9999999999999805</v>
      </c>
      <c r="M782">
        <f t="shared" si="101"/>
        <v>0.99999999999997868</v>
      </c>
      <c r="N782">
        <f t="shared" si="102"/>
        <v>-0.99999999999997868</v>
      </c>
      <c r="O782">
        <f t="shared" si="103"/>
        <v>-0.99999999999997868</v>
      </c>
      <c r="P782">
        <f t="shared" si="104"/>
        <v>-2.0000000000000462</v>
      </c>
      <c r="Q782">
        <f t="shared" si="105"/>
        <v>-2.0000000000000462</v>
      </c>
      <c r="R782">
        <f t="shared" si="106"/>
        <v>-1.9999999999999574</v>
      </c>
    </row>
    <row r="783" spans="1:18">
      <c r="A783" s="9">
        <v>37852</v>
      </c>
      <c r="B783">
        <v>1.42</v>
      </c>
      <c r="C783">
        <v>2.15</v>
      </c>
      <c r="D783">
        <v>2.82</v>
      </c>
      <c r="E783">
        <v>3.36</v>
      </c>
      <c r="F783">
        <v>3.8</v>
      </c>
      <c r="G783">
        <v>4.4000000000000004</v>
      </c>
      <c r="H783">
        <v>4.9400000000000004</v>
      </c>
      <c r="I783">
        <v>5.7</v>
      </c>
      <c r="K783">
        <f t="shared" si="99"/>
        <v>1.0000000000000009</v>
      </c>
      <c r="L783">
        <f t="shared" si="100"/>
        <v>0</v>
      </c>
      <c r="M783">
        <f t="shared" si="101"/>
        <v>-2.0000000000000018</v>
      </c>
      <c r="N783">
        <f t="shared" si="102"/>
        <v>-3.0000000000000249</v>
      </c>
      <c r="O783">
        <f t="shared" si="103"/>
        <v>-3.0000000000000249</v>
      </c>
      <c r="P783">
        <f t="shared" si="104"/>
        <v>-2.9999999999999361</v>
      </c>
      <c r="Q783">
        <f t="shared" si="105"/>
        <v>-2.9999999999999361</v>
      </c>
      <c r="R783">
        <f t="shared" si="106"/>
        <v>-4.9999999999999822</v>
      </c>
    </row>
    <row r="784" spans="1:18">
      <c r="A784" s="9">
        <v>37853</v>
      </c>
      <c r="B784">
        <v>1.4</v>
      </c>
      <c r="C784">
        <v>2.1</v>
      </c>
      <c r="D784">
        <v>2.79</v>
      </c>
      <c r="E784">
        <v>3.34</v>
      </c>
      <c r="F784">
        <v>3.78</v>
      </c>
      <c r="G784">
        <v>4.38</v>
      </c>
      <c r="H784">
        <v>4.92</v>
      </c>
      <c r="I784">
        <v>5.68</v>
      </c>
      <c r="K784">
        <f t="shared" si="99"/>
        <v>-2.0000000000000018</v>
      </c>
      <c r="L784">
        <f t="shared" si="100"/>
        <v>-4.9999999999999822</v>
      </c>
      <c r="M784">
        <f t="shared" si="101"/>
        <v>-2.9999999999999805</v>
      </c>
      <c r="N784">
        <f t="shared" si="102"/>
        <v>-2.0000000000000018</v>
      </c>
      <c r="O784">
        <f t="shared" si="103"/>
        <v>-2.0000000000000018</v>
      </c>
      <c r="P784">
        <f t="shared" si="104"/>
        <v>-2.0000000000000462</v>
      </c>
      <c r="Q784">
        <f t="shared" si="105"/>
        <v>-2.0000000000000462</v>
      </c>
      <c r="R784">
        <f t="shared" si="106"/>
        <v>-2.0000000000000462</v>
      </c>
    </row>
    <row r="785" spans="1:18">
      <c r="A785" s="9">
        <v>37854</v>
      </c>
      <c r="B785">
        <v>1.42</v>
      </c>
      <c r="C785">
        <v>2.17</v>
      </c>
      <c r="D785">
        <v>2.87</v>
      </c>
      <c r="E785">
        <v>3.41</v>
      </c>
      <c r="F785">
        <v>3.86</v>
      </c>
      <c r="G785">
        <v>4.45</v>
      </c>
      <c r="H785">
        <v>4.96</v>
      </c>
      <c r="I785">
        <v>5.66</v>
      </c>
      <c r="K785">
        <f t="shared" si="99"/>
        <v>2.0000000000000018</v>
      </c>
      <c r="L785">
        <f t="shared" si="100"/>
        <v>6.999999999999984</v>
      </c>
      <c r="M785">
        <f t="shared" si="101"/>
        <v>8.0000000000000071</v>
      </c>
      <c r="N785">
        <f t="shared" si="102"/>
        <v>7.0000000000000284</v>
      </c>
      <c r="O785">
        <f t="shared" si="103"/>
        <v>8.0000000000000071</v>
      </c>
      <c r="P785">
        <f t="shared" si="104"/>
        <v>7.0000000000000284</v>
      </c>
      <c r="Q785">
        <f t="shared" si="105"/>
        <v>4.0000000000000036</v>
      </c>
      <c r="R785">
        <f t="shared" si="106"/>
        <v>-1.9999999999999574</v>
      </c>
    </row>
    <row r="786" spans="1:18">
      <c r="A786" s="9">
        <v>37855</v>
      </c>
      <c r="B786">
        <v>1.48</v>
      </c>
      <c r="C786">
        <v>2.2799999999999998</v>
      </c>
      <c r="D786">
        <v>2.98</v>
      </c>
      <c r="E786">
        <v>3.5</v>
      </c>
      <c r="F786">
        <v>3.93</v>
      </c>
      <c r="G786">
        <v>4.49</v>
      </c>
      <c r="H786">
        <v>4.9800000000000004</v>
      </c>
      <c r="I786">
        <v>5.68</v>
      </c>
      <c r="K786">
        <f t="shared" si="99"/>
        <v>6.0000000000000053</v>
      </c>
      <c r="L786">
        <f t="shared" si="100"/>
        <v>10.999999999999988</v>
      </c>
      <c r="M786">
        <f t="shared" si="101"/>
        <v>10.999999999999988</v>
      </c>
      <c r="N786">
        <f t="shared" si="102"/>
        <v>8.9999999999999858</v>
      </c>
      <c r="O786">
        <f t="shared" si="103"/>
        <v>7.0000000000000284</v>
      </c>
      <c r="P786">
        <f t="shared" si="104"/>
        <v>4.0000000000000036</v>
      </c>
      <c r="Q786">
        <f t="shared" si="105"/>
        <v>2.0000000000000462</v>
      </c>
      <c r="R786">
        <f t="shared" si="106"/>
        <v>1.9999999999999574</v>
      </c>
    </row>
    <row r="787" spans="1:18">
      <c r="A787" s="9">
        <v>37858</v>
      </c>
      <c r="B787">
        <v>1.48</v>
      </c>
      <c r="C787">
        <v>2.2999999999999998</v>
      </c>
      <c r="D787">
        <v>2.98</v>
      </c>
      <c r="E787">
        <v>3.51</v>
      </c>
      <c r="F787">
        <v>3.95</v>
      </c>
      <c r="G787">
        <v>4.5199999999999996</v>
      </c>
      <c r="H787">
        <v>5.0199999999999996</v>
      </c>
      <c r="I787">
        <v>5.71</v>
      </c>
      <c r="K787">
        <f t="shared" si="99"/>
        <v>0</v>
      </c>
      <c r="L787">
        <f t="shared" si="100"/>
        <v>2.0000000000000018</v>
      </c>
      <c r="M787">
        <f t="shared" si="101"/>
        <v>0</v>
      </c>
      <c r="N787">
        <f t="shared" si="102"/>
        <v>0.99999999999997868</v>
      </c>
      <c r="O787">
        <f t="shared" si="103"/>
        <v>2.0000000000000018</v>
      </c>
      <c r="P787">
        <f t="shared" si="104"/>
        <v>2.9999999999999361</v>
      </c>
      <c r="Q787">
        <f t="shared" si="105"/>
        <v>3.9999999999999147</v>
      </c>
      <c r="R787">
        <f t="shared" si="106"/>
        <v>3.0000000000000249</v>
      </c>
    </row>
    <row r="788" spans="1:18">
      <c r="A788" s="9">
        <v>37859</v>
      </c>
      <c r="B788">
        <v>1.48</v>
      </c>
      <c r="C788">
        <v>2.29</v>
      </c>
      <c r="D788">
        <v>3.01</v>
      </c>
      <c r="E788">
        <v>3.55</v>
      </c>
      <c r="F788">
        <v>3.98</v>
      </c>
      <c r="G788">
        <v>4.57</v>
      </c>
      <c r="H788">
        <v>5.0599999999999996</v>
      </c>
      <c r="I788">
        <v>5.73</v>
      </c>
      <c r="K788">
        <f t="shared" si="99"/>
        <v>0</v>
      </c>
      <c r="L788">
        <f t="shared" si="100"/>
        <v>-0.99999999999997868</v>
      </c>
      <c r="M788">
        <f t="shared" si="101"/>
        <v>2.9999999999999805</v>
      </c>
      <c r="N788">
        <f t="shared" si="102"/>
        <v>4.0000000000000036</v>
      </c>
      <c r="O788">
        <f t="shared" si="103"/>
        <v>2.9999999999999805</v>
      </c>
      <c r="P788">
        <f t="shared" si="104"/>
        <v>5.0000000000000711</v>
      </c>
      <c r="Q788">
        <f t="shared" si="105"/>
        <v>4.0000000000000036</v>
      </c>
      <c r="R788">
        <f t="shared" si="106"/>
        <v>2.0000000000000462</v>
      </c>
    </row>
    <row r="789" spans="1:18">
      <c r="A789" s="9">
        <v>37860</v>
      </c>
      <c r="B789">
        <v>1.48</v>
      </c>
      <c r="C789">
        <v>2.2799999999999998</v>
      </c>
      <c r="D789">
        <v>3</v>
      </c>
      <c r="E789">
        <v>3.55</v>
      </c>
      <c r="F789">
        <v>3.99</v>
      </c>
      <c r="G789">
        <v>4.55</v>
      </c>
      <c r="H789">
        <v>5.03</v>
      </c>
      <c r="I789">
        <v>5.72</v>
      </c>
      <c r="K789">
        <f t="shared" si="99"/>
        <v>0</v>
      </c>
      <c r="L789">
        <f t="shared" si="100"/>
        <v>-1.0000000000000231</v>
      </c>
      <c r="M789">
        <f t="shared" si="101"/>
        <v>-0.99999999999997868</v>
      </c>
      <c r="N789">
        <f t="shared" si="102"/>
        <v>0</v>
      </c>
      <c r="O789">
        <f t="shared" si="103"/>
        <v>1.0000000000000231</v>
      </c>
      <c r="P789">
        <f t="shared" si="104"/>
        <v>-2.0000000000000462</v>
      </c>
      <c r="Q789">
        <f t="shared" si="105"/>
        <v>-2.9999999999999361</v>
      </c>
      <c r="R789">
        <f t="shared" si="106"/>
        <v>-1.0000000000000675</v>
      </c>
    </row>
    <row r="790" spans="1:18">
      <c r="A790" s="9">
        <v>37861</v>
      </c>
      <c r="B790">
        <v>1.44</v>
      </c>
      <c r="C790">
        <v>2.2400000000000002</v>
      </c>
      <c r="D790">
        <v>2.95</v>
      </c>
      <c r="E790">
        <v>3.5</v>
      </c>
      <c r="F790">
        <v>3.92</v>
      </c>
      <c r="G790">
        <v>4.4800000000000004</v>
      </c>
      <c r="H790">
        <v>4.96</v>
      </c>
      <c r="I790">
        <v>5.64</v>
      </c>
      <c r="K790">
        <f t="shared" si="99"/>
        <v>-4.0000000000000036</v>
      </c>
      <c r="L790">
        <f t="shared" si="100"/>
        <v>-3.9999999999999591</v>
      </c>
      <c r="M790">
        <f t="shared" si="101"/>
        <v>-4.9999999999999822</v>
      </c>
      <c r="N790">
        <f t="shared" si="102"/>
        <v>-4.9999999999999822</v>
      </c>
      <c r="O790">
        <f t="shared" si="103"/>
        <v>-7.0000000000000284</v>
      </c>
      <c r="P790">
        <f t="shared" si="104"/>
        <v>-6.9999999999999396</v>
      </c>
      <c r="Q790">
        <f t="shared" si="105"/>
        <v>-7.0000000000000284</v>
      </c>
      <c r="R790">
        <f t="shared" si="106"/>
        <v>-8.0000000000000071</v>
      </c>
    </row>
    <row r="791" spans="1:18">
      <c r="A791" s="9">
        <v>37862</v>
      </c>
      <c r="B791">
        <v>1.45</v>
      </c>
      <c r="C791">
        <v>2.2599999999999998</v>
      </c>
      <c r="D791">
        <v>2.96</v>
      </c>
      <c r="E791">
        <v>3.51</v>
      </c>
      <c r="F791">
        <v>3.93</v>
      </c>
      <c r="G791">
        <v>4.49</v>
      </c>
      <c r="H791">
        <v>4.97</v>
      </c>
      <c r="I791">
        <v>5.65</v>
      </c>
      <c r="K791">
        <f t="shared" si="99"/>
        <v>1.0000000000000009</v>
      </c>
      <c r="L791">
        <f t="shared" si="100"/>
        <v>1.9999999999999574</v>
      </c>
      <c r="M791">
        <f t="shared" si="101"/>
        <v>0.99999999999997868</v>
      </c>
      <c r="N791">
        <f t="shared" si="102"/>
        <v>0.99999999999997868</v>
      </c>
      <c r="O791">
        <f t="shared" si="103"/>
        <v>1.0000000000000231</v>
      </c>
      <c r="P791">
        <f t="shared" si="104"/>
        <v>0.99999999999997868</v>
      </c>
      <c r="Q791">
        <f t="shared" si="105"/>
        <v>0.99999999999997868</v>
      </c>
      <c r="R791">
        <f t="shared" si="106"/>
        <v>1.0000000000000675</v>
      </c>
    </row>
    <row r="792" spans="1:18">
      <c r="A792" s="9">
        <v>37866</v>
      </c>
      <c r="B792">
        <v>1.48</v>
      </c>
      <c r="C792">
        <v>2.2999999999999998</v>
      </c>
      <c r="D792">
        <v>3.02</v>
      </c>
      <c r="E792">
        <v>3.57</v>
      </c>
      <c r="F792">
        <v>4</v>
      </c>
      <c r="G792">
        <v>4.5599999999999996</v>
      </c>
      <c r="H792">
        <v>5.04</v>
      </c>
      <c r="I792">
        <v>5.68</v>
      </c>
      <c r="K792">
        <f t="shared" si="99"/>
        <v>3.0000000000000027</v>
      </c>
      <c r="L792">
        <f t="shared" si="100"/>
        <v>4.0000000000000036</v>
      </c>
      <c r="M792">
        <f t="shared" si="101"/>
        <v>6.0000000000000053</v>
      </c>
      <c r="N792">
        <f t="shared" si="102"/>
        <v>6.0000000000000053</v>
      </c>
      <c r="O792">
        <f t="shared" si="103"/>
        <v>6.999999999999984</v>
      </c>
      <c r="P792">
        <f t="shared" si="104"/>
        <v>6.9999999999999396</v>
      </c>
      <c r="Q792">
        <f t="shared" si="105"/>
        <v>7.0000000000000284</v>
      </c>
      <c r="R792">
        <f t="shared" si="106"/>
        <v>2.9999999999999361</v>
      </c>
    </row>
    <row r="793" spans="1:18">
      <c r="A793" s="9">
        <v>37867</v>
      </c>
      <c r="B793">
        <v>1.49</v>
      </c>
      <c r="C793">
        <v>2.34</v>
      </c>
      <c r="D793">
        <v>3.07</v>
      </c>
      <c r="E793">
        <v>3.63</v>
      </c>
      <c r="F793">
        <v>4.07</v>
      </c>
      <c r="G793">
        <v>4.63</v>
      </c>
      <c r="H793">
        <v>5.1100000000000003</v>
      </c>
      <c r="I793">
        <v>5.76</v>
      </c>
      <c r="K793">
        <f t="shared" si="99"/>
        <v>1.0000000000000009</v>
      </c>
      <c r="L793">
        <f t="shared" si="100"/>
        <v>4.0000000000000036</v>
      </c>
      <c r="M793">
        <f t="shared" si="101"/>
        <v>4.9999999999999822</v>
      </c>
      <c r="N793">
        <f t="shared" si="102"/>
        <v>6.0000000000000053</v>
      </c>
      <c r="O793">
        <f t="shared" si="103"/>
        <v>7.0000000000000284</v>
      </c>
      <c r="P793">
        <f t="shared" si="104"/>
        <v>7.0000000000000284</v>
      </c>
      <c r="Q793">
        <f t="shared" si="105"/>
        <v>7.0000000000000284</v>
      </c>
      <c r="R793">
        <f t="shared" si="106"/>
        <v>8.0000000000000071</v>
      </c>
    </row>
    <row r="794" spans="1:18">
      <c r="A794" s="9">
        <v>37868</v>
      </c>
      <c r="B794">
        <v>1.45</v>
      </c>
      <c r="C794">
        <v>2.25</v>
      </c>
      <c r="D794">
        <v>2.98</v>
      </c>
      <c r="E794">
        <v>3.56</v>
      </c>
      <c r="F794">
        <v>3.99</v>
      </c>
      <c r="G794">
        <v>4.5599999999999996</v>
      </c>
      <c r="H794">
        <v>5.0599999999999996</v>
      </c>
      <c r="I794">
        <v>5.74</v>
      </c>
      <c r="K794">
        <f t="shared" si="99"/>
        <v>-4.0000000000000036</v>
      </c>
      <c r="L794">
        <f t="shared" si="100"/>
        <v>-8.9999999999999858</v>
      </c>
      <c r="M794">
        <f t="shared" si="101"/>
        <v>-8.9999999999999858</v>
      </c>
      <c r="N794">
        <f t="shared" si="102"/>
        <v>-6.999999999999984</v>
      </c>
      <c r="O794">
        <f t="shared" si="103"/>
        <v>-8.0000000000000071</v>
      </c>
      <c r="P794">
        <f t="shared" si="104"/>
        <v>-7.0000000000000284</v>
      </c>
      <c r="Q794">
        <f t="shared" si="105"/>
        <v>-5.0000000000000711</v>
      </c>
      <c r="R794">
        <f t="shared" si="106"/>
        <v>-1.9999999999999574</v>
      </c>
    </row>
    <row r="795" spans="1:18">
      <c r="A795" s="9">
        <v>37869</v>
      </c>
      <c r="B795">
        <v>1.38</v>
      </c>
      <c r="C795">
        <v>2.1</v>
      </c>
      <c r="D795">
        <v>2.81</v>
      </c>
      <c r="E795">
        <v>3.38</v>
      </c>
      <c r="F795">
        <v>3.81</v>
      </c>
      <c r="G795">
        <v>4.38</v>
      </c>
      <c r="H795">
        <v>4.8899999999999997</v>
      </c>
      <c r="I795">
        <v>5.61</v>
      </c>
      <c r="K795">
        <f t="shared" si="99"/>
        <v>-7.0000000000000062</v>
      </c>
      <c r="L795">
        <f t="shared" si="100"/>
        <v>-14.999999999999991</v>
      </c>
      <c r="M795">
        <f t="shared" si="101"/>
        <v>-16.999999999999993</v>
      </c>
      <c r="N795">
        <f t="shared" si="102"/>
        <v>-18.000000000000014</v>
      </c>
      <c r="O795">
        <f t="shared" si="103"/>
        <v>-18.000000000000014</v>
      </c>
      <c r="P795">
        <f t="shared" si="104"/>
        <v>-17.999999999999972</v>
      </c>
      <c r="Q795">
        <f t="shared" si="105"/>
        <v>-16.999999999999993</v>
      </c>
      <c r="R795">
        <f t="shared" si="106"/>
        <v>-12.999999999999989</v>
      </c>
    </row>
    <row r="796" spans="1:18">
      <c r="A796" s="9">
        <v>37872</v>
      </c>
      <c r="B796">
        <v>1.33</v>
      </c>
      <c r="C796">
        <v>1.98</v>
      </c>
      <c r="D796">
        <v>2.66</v>
      </c>
      <c r="E796">
        <v>3.22</v>
      </c>
      <c r="F796">
        <v>3.66</v>
      </c>
      <c r="G796">
        <v>4.26</v>
      </c>
      <c r="H796">
        <v>4.7699999999999996</v>
      </c>
      <c r="I796">
        <v>5.53</v>
      </c>
      <c r="K796">
        <f t="shared" si="99"/>
        <v>-4.9999999999999822</v>
      </c>
      <c r="L796">
        <f t="shared" si="100"/>
        <v>-12.000000000000011</v>
      </c>
      <c r="M796">
        <f t="shared" si="101"/>
        <v>-14.999999999999991</v>
      </c>
      <c r="N796">
        <f t="shared" si="102"/>
        <v>-15.99999999999997</v>
      </c>
      <c r="O796">
        <f t="shared" si="103"/>
        <v>-14.999999999999991</v>
      </c>
      <c r="P796">
        <f t="shared" si="104"/>
        <v>-12.000000000000011</v>
      </c>
      <c r="Q796">
        <f t="shared" si="105"/>
        <v>-12.000000000000011</v>
      </c>
      <c r="R796">
        <f t="shared" si="106"/>
        <v>-8.0000000000000071</v>
      </c>
    </row>
    <row r="797" spans="1:18">
      <c r="A797" s="9">
        <v>37873</v>
      </c>
      <c r="B797">
        <v>1.35</v>
      </c>
      <c r="C797">
        <v>2.0499999999999998</v>
      </c>
      <c r="D797">
        <v>2.75</v>
      </c>
      <c r="E797">
        <v>3.32</v>
      </c>
      <c r="F797">
        <v>3.77</v>
      </c>
      <c r="G797">
        <v>4.3600000000000003</v>
      </c>
      <c r="H797">
        <v>4.87</v>
      </c>
      <c r="I797">
        <v>5.6</v>
      </c>
      <c r="K797">
        <f t="shared" si="99"/>
        <v>2.0000000000000018</v>
      </c>
      <c r="L797">
        <f t="shared" si="100"/>
        <v>6.999999999999984</v>
      </c>
      <c r="M797">
        <f t="shared" si="101"/>
        <v>8.9999999999999858</v>
      </c>
      <c r="N797">
        <f t="shared" si="102"/>
        <v>9.9999999999999645</v>
      </c>
      <c r="O797">
        <f t="shared" si="103"/>
        <v>10.999999999999988</v>
      </c>
      <c r="P797">
        <f t="shared" si="104"/>
        <v>10.000000000000053</v>
      </c>
      <c r="Q797">
        <f t="shared" si="105"/>
        <v>10.000000000000053</v>
      </c>
      <c r="R797">
        <f t="shared" si="106"/>
        <v>6.9999999999999396</v>
      </c>
    </row>
    <row r="798" spans="1:18">
      <c r="A798" s="9">
        <v>37874</v>
      </c>
      <c r="B798">
        <v>1.33</v>
      </c>
      <c r="C798">
        <v>1.99</v>
      </c>
      <c r="D798">
        <v>2.67</v>
      </c>
      <c r="E798">
        <v>3.23</v>
      </c>
      <c r="F798">
        <v>3.67</v>
      </c>
      <c r="G798">
        <v>4.2699999999999996</v>
      </c>
      <c r="H798">
        <v>4.79</v>
      </c>
      <c r="I798">
        <v>5.56</v>
      </c>
      <c r="K798">
        <f t="shared" si="99"/>
        <v>-2.0000000000000018</v>
      </c>
      <c r="L798">
        <f t="shared" si="100"/>
        <v>-5.9999999999999831</v>
      </c>
      <c r="M798">
        <f t="shared" si="101"/>
        <v>-8.0000000000000071</v>
      </c>
      <c r="N798">
        <f t="shared" si="102"/>
        <v>-8.9999999999999858</v>
      </c>
      <c r="O798">
        <f t="shared" si="103"/>
        <v>-10.000000000000009</v>
      </c>
      <c r="P798">
        <f t="shared" si="104"/>
        <v>-9.0000000000000746</v>
      </c>
      <c r="Q798">
        <f t="shared" si="105"/>
        <v>-8.0000000000000071</v>
      </c>
      <c r="R798">
        <f t="shared" si="106"/>
        <v>-4.0000000000000036</v>
      </c>
    </row>
    <row r="799" spans="1:18">
      <c r="A799" s="9">
        <v>37875</v>
      </c>
      <c r="B799">
        <v>1.34</v>
      </c>
      <c r="C799">
        <v>2</v>
      </c>
      <c r="D799">
        <v>2.67</v>
      </c>
      <c r="E799">
        <v>3.22</v>
      </c>
      <c r="F799">
        <v>3.66</v>
      </c>
      <c r="G799">
        <v>4.25</v>
      </c>
      <c r="H799">
        <v>4.7699999999999996</v>
      </c>
      <c r="I799">
        <v>5.55</v>
      </c>
      <c r="K799">
        <f t="shared" si="99"/>
        <v>1.0000000000000009</v>
      </c>
      <c r="L799">
        <f t="shared" si="100"/>
        <v>1.0000000000000009</v>
      </c>
      <c r="M799">
        <f t="shared" si="101"/>
        <v>0</v>
      </c>
      <c r="N799">
        <f t="shared" si="102"/>
        <v>-0.99999999999997868</v>
      </c>
      <c r="O799">
        <f t="shared" si="103"/>
        <v>-0.99999999999997868</v>
      </c>
      <c r="P799">
        <f t="shared" si="104"/>
        <v>-1.9999999999999574</v>
      </c>
      <c r="Q799">
        <f t="shared" si="105"/>
        <v>-2.0000000000000462</v>
      </c>
      <c r="R799">
        <f t="shared" si="106"/>
        <v>-0.99999999999997868</v>
      </c>
    </row>
    <row r="800" spans="1:18">
      <c r="A800" s="9">
        <v>37876</v>
      </c>
      <c r="B800">
        <v>1.3</v>
      </c>
      <c r="C800">
        <v>1.91</v>
      </c>
      <c r="D800">
        <v>2.57</v>
      </c>
      <c r="E800">
        <v>3.09</v>
      </c>
      <c r="F800">
        <v>3.52</v>
      </c>
      <c r="G800">
        <v>4.1100000000000003</v>
      </c>
      <c r="H800">
        <v>4.63</v>
      </c>
      <c r="I800">
        <v>5.43</v>
      </c>
      <c r="K800">
        <f t="shared" si="99"/>
        <v>-4.0000000000000036</v>
      </c>
      <c r="L800">
        <f t="shared" si="100"/>
        <v>-9.0000000000000071</v>
      </c>
      <c r="M800">
        <f t="shared" si="101"/>
        <v>-10.000000000000009</v>
      </c>
      <c r="N800">
        <f t="shared" si="102"/>
        <v>-13.000000000000034</v>
      </c>
      <c r="O800">
        <f t="shared" si="103"/>
        <v>-14.000000000000012</v>
      </c>
      <c r="P800">
        <f t="shared" si="104"/>
        <v>-13.999999999999968</v>
      </c>
      <c r="Q800">
        <f t="shared" si="105"/>
        <v>-13.999999999999968</v>
      </c>
      <c r="R800">
        <f t="shared" si="106"/>
        <v>-12.000000000000011</v>
      </c>
    </row>
    <row r="801" spans="1:18">
      <c r="A801" s="9">
        <v>37879</v>
      </c>
      <c r="B801">
        <v>1.32</v>
      </c>
      <c r="C801">
        <v>1.94</v>
      </c>
      <c r="D801">
        <v>2.59</v>
      </c>
      <c r="E801">
        <v>3.14</v>
      </c>
      <c r="F801">
        <v>3.58</v>
      </c>
      <c r="G801">
        <v>4.18</v>
      </c>
      <c r="H801">
        <v>4.7300000000000004</v>
      </c>
      <c r="I801">
        <v>5.54</v>
      </c>
      <c r="K801">
        <f t="shared" si="99"/>
        <v>2.0000000000000018</v>
      </c>
      <c r="L801">
        <f t="shared" si="100"/>
        <v>3.0000000000000027</v>
      </c>
      <c r="M801">
        <f t="shared" si="101"/>
        <v>2.0000000000000018</v>
      </c>
      <c r="N801">
        <f t="shared" si="102"/>
        <v>5.0000000000000266</v>
      </c>
      <c r="O801">
        <f t="shared" si="103"/>
        <v>6.0000000000000053</v>
      </c>
      <c r="P801">
        <f t="shared" si="104"/>
        <v>6.9999999999999396</v>
      </c>
      <c r="Q801">
        <f t="shared" si="105"/>
        <v>10.000000000000053</v>
      </c>
      <c r="R801">
        <f t="shared" si="106"/>
        <v>11.000000000000032</v>
      </c>
    </row>
    <row r="802" spans="1:18">
      <c r="A802" s="9">
        <v>37880</v>
      </c>
      <c r="B802">
        <v>1.32</v>
      </c>
      <c r="C802">
        <v>1.93</v>
      </c>
      <c r="D802">
        <v>2.57</v>
      </c>
      <c r="E802">
        <v>3.12</v>
      </c>
      <c r="F802">
        <v>3.56</v>
      </c>
      <c r="G802">
        <v>4.18</v>
      </c>
      <c r="H802">
        <v>4.74</v>
      </c>
      <c r="I802">
        <v>5.56</v>
      </c>
      <c r="K802">
        <f t="shared" si="99"/>
        <v>0</v>
      </c>
      <c r="L802">
        <f t="shared" si="100"/>
        <v>-1.0000000000000009</v>
      </c>
      <c r="M802">
        <f t="shared" si="101"/>
        <v>-2.0000000000000018</v>
      </c>
      <c r="N802">
        <f t="shared" si="102"/>
        <v>-2.0000000000000018</v>
      </c>
      <c r="O802">
        <f t="shared" si="103"/>
        <v>-2.0000000000000018</v>
      </c>
      <c r="P802">
        <f t="shared" si="104"/>
        <v>0</v>
      </c>
      <c r="Q802">
        <f t="shared" si="105"/>
        <v>0.99999999999997868</v>
      </c>
      <c r="R802">
        <f t="shared" si="106"/>
        <v>1.9999999999999574</v>
      </c>
    </row>
    <row r="803" spans="1:18">
      <c r="A803" s="9">
        <v>37881</v>
      </c>
      <c r="B803">
        <v>1.3</v>
      </c>
      <c r="C803">
        <v>1.89</v>
      </c>
      <c r="D803">
        <v>2.52</v>
      </c>
      <c r="E803">
        <v>3.05</v>
      </c>
      <c r="F803">
        <v>3.49</v>
      </c>
      <c r="G803">
        <v>4.0999999999999996</v>
      </c>
      <c r="H803">
        <v>4.66</v>
      </c>
      <c r="I803">
        <v>5.47</v>
      </c>
      <c r="K803">
        <f t="shared" si="99"/>
        <v>-2.0000000000000018</v>
      </c>
      <c r="L803">
        <f t="shared" si="100"/>
        <v>-4.0000000000000036</v>
      </c>
      <c r="M803">
        <f t="shared" si="101"/>
        <v>-4.9999999999999822</v>
      </c>
      <c r="N803">
        <f t="shared" si="102"/>
        <v>-7.0000000000000284</v>
      </c>
      <c r="O803">
        <f t="shared" si="103"/>
        <v>-6.999999999999984</v>
      </c>
      <c r="P803">
        <f t="shared" si="104"/>
        <v>-8.0000000000000071</v>
      </c>
      <c r="Q803">
        <f t="shared" si="105"/>
        <v>-8.0000000000000071</v>
      </c>
      <c r="R803">
        <f t="shared" si="106"/>
        <v>-8.9999999999999858</v>
      </c>
    </row>
    <row r="804" spans="1:18">
      <c r="A804" s="9">
        <v>37882</v>
      </c>
      <c r="B804">
        <v>1.33</v>
      </c>
      <c r="C804">
        <v>1.95</v>
      </c>
      <c r="D804">
        <v>2.56</v>
      </c>
      <c r="E804">
        <v>3.07</v>
      </c>
      <c r="F804">
        <v>3.49</v>
      </c>
      <c r="G804">
        <v>4.09</v>
      </c>
      <c r="H804">
        <v>4.63</v>
      </c>
      <c r="I804">
        <v>5.44</v>
      </c>
      <c r="K804">
        <f t="shared" si="99"/>
        <v>3.0000000000000027</v>
      </c>
      <c r="L804">
        <f t="shared" si="100"/>
        <v>6.0000000000000053</v>
      </c>
      <c r="M804">
        <f t="shared" si="101"/>
        <v>4.0000000000000036</v>
      </c>
      <c r="N804">
        <f t="shared" si="102"/>
        <v>2.0000000000000018</v>
      </c>
      <c r="O804">
        <f t="shared" si="103"/>
        <v>0</v>
      </c>
      <c r="P804">
        <f t="shared" si="104"/>
        <v>-0.99999999999997868</v>
      </c>
      <c r="Q804">
        <f t="shared" si="105"/>
        <v>-3.0000000000000249</v>
      </c>
      <c r="R804">
        <f t="shared" si="106"/>
        <v>-2.9999999999999361</v>
      </c>
    </row>
    <row r="805" spans="1:18">
      <c r="A805" s="9">
        <v>37883</v>
      </c>
      <c r="B805">
        <v>1.33</v>
      </c>
      <c r="C805">
        <v>1.97</v>
      </c>
      <c r="D805">
        <v>2.59</v>
      </c>
      <c r="E805">
        <v>3.08</v>
      </c>
      <c r="F805">
        <v>3.49</v>
      </c>
      <c r="G805">
        <v>4.0599999999999996</v>
      </c>
      <c r="H805">
        <v>4.57</v>
      </c>
      <c r="I805">
        <v>5.38</v>
      </c>
      <c r="K805">
        <f t="shared" si="99"/>
        <v>0</v>
      </c>
      <c r="L805">
        <f t="shared" si="100"/>
        <v>2.0000000000000018</v>
      </c>
      <c r="M805">
        <f t="shared" si="101"/>
        <v>2.9999999999999805</v>
      </c>
      <c r="N805">
        <f t="shared" si="102"/>
        <v>1.0000000000000231</v>
      </c>
      <c r="O805">
        <f t="shared" si="103"/>
        <v>0</v>
      </c>
      <c r="P805">
        <f t="shared" si="104"/>
        <v>-3.0000000000000249</v>
      </c>
      <c r="Q805">
        <f t="shared" si="105"/>
        <v>-5.9999999999999609</v>
      </c>
      <c r="R805">
        <f t="shared" si="106"/>
        <v>-6.0000000000000497</v>
      </c>
    </row>
    <row r="806" spans="1:18">
      <c r="A806" s="9">
        <v>37886</v>
      </c>
      <c r="B806">
        <v>1.34</v>
      </c>
      <c r="C806">
        <v>2.0099999999999998</v>
      </c>
      <c r="D806">
        <v>2.66</v>
      </c>
      <c r="E806">
        <v>3.17</v>
      </c>
      <c r="F806">
        <v>3.6</v>
      </c>
      <c r="G806">
        <v>4.18</v>
      </c>
      <c r="H806">
        <v>4.72</v>
      </c>
      <c r="I806">
        <v>5.51</v>
      </c>
      <c r="K806">
        <f t="shared" si="99"/>
        <v>1.0000000000000009</v>
      </c>
      <c r="L806">
        <f t="shared" si="100"/>
        <v>3.9999999999999813</v>
      </c>
      <c r="M806">
        <f t="shared" si="101"/>
        <v>7.0000000000000284</v>
      </c>
      <c r="N806">
        <f t="shared" si="102"/>
        <v>8.9999999999999858</v>
      </c>
      <c r="O806">
        <f t="shared" si="103"/>
        <v>10.999999999999988</v>
      </c>
      <c r="P806">
        <f t="shared" si="104"/>
        <v>12.000000000000011</v>
      </c>
      <c r="Q806">
        <f t="shared" si="105"/>
        <v>14.999999999999947</v>
      </c>
      <c r="R806">
        <f t="shared" si="106"/>
        <v>12.999999999999989</v>
      </c>
    </row>
    <row r="807" spans="1:18">
      <c r="A807" s="9">
        <v>37887</v>
      </c>
      <c r="B807">
        <v>1.33</v>
      </c>
      <c r="C807">
        <v>1.97</v>
      </c>
      <c r="D807">
        <v>2.6</v>
      </c>
      <c r="E807">
        <v>3.11</v>
      </c>
      <c r="F807">
        <v>3.53</v>
      </c>
      <c r="G807">
        <v>4.12</v>
      </c>
      <c r="H807">
        <v>4.66</v>
      </c>
      <c r="I807">
        <v>5.45</v>
      </c>
      <c r="K807">
        <f t="shared" si="99"/>
        <v>-1.0000000000000009</v>
      </c>
      <c r="L807">
        <f t="shared" si="100"/>
        <v>-3.9999999999999813</v>
      </c>
      <c r="M807">
        <f t="shared" si="101"/>
        <v>-6.0000000000000053</v>
      </c>
      <c r="N807">
        <f t="shared" si="102"/>
        <v>-6.0000000000000053</v>
      </c>
      <c r="O807">
        <f t="shared" si="103"/>
        <v>-7.0000000000000284</v>
      </c>
      <c r="P807">
        <f t="shared" si="104"/>
        <v>-5.9999999999999609</v>
      </c>
      <c r="Q807">
        <f t="shared" si="105"/>
        <v>-5.9999999999999609</v>
      </c>
      <c r="R807">
        <f t="shared" si="106"/>
        <v>-5.9999999999999609</v>
      </c>
    </row>
    <row r="808" spans="1:18">
      <c r="A808" s="9">
        <v>37888</v>
      </c>
      <c r="B808">
        <v>1.33</v>
      </c>
      <c r="C808">
        <v>1.97</v>
      </c>
      <c r="D808">
        <v>2.59</v>
      </c>
      <c r="E808">
        <v>3.1</v>
      </c>
      <c r="F808">
        <v>3.51</v>
      </c>
      <c r="G808">
        <v>4.0999999999999996</v>
      </c>
      <c r="H808">
        <v>4.62</v>
      </c>
      <c r="I808">
        <v>5.41</v>
      </c>
      <c r="K808">
        <f t="shared" si="99"/>
        <v>0</v>
      </c>
      <c r="L808">
        <f t="shared" si="100"/>
        <v>0</v>
      </c>
      <c r="M808">
        <f t="shared" si="101"/>
        <v>-1.0000000000000231</v>
      </c>
      <c r="N808">
        <f t="shared" si="102"/>
        <v>-0.99999999999997868</v>
      </c>
      <c r="O808">
        <f t="shared" si="103"/>
        <v>-2.0000000000000018</v>
      </c>
      <c r="P808">
        <f t="shared" si="104"/>
        <v>-2.0000000000000462</v>
      </c>
      <c r="Q808">
        <f t="shared" si="105"/>
        <v>-4.0000000000000036</v>
      </c>
      <c r="R808">
        <f t="shared" si="106"/>
        <v>-4.0000000000000036</v>
      </c>
    </row>
    <row r="809" spans="1:18">
      <c r="A809" s="9">
        <v>37889</v>
      </c>
      <c r="B809">
        <v>1.3</v>
      </c>
      <c r="C809">
        <v>1.88</v>
      </c>
      <c r="D809">
        <v>2.4900000000000002</v>
      </c>
      <c r="E809">
        <v>2.99</v>
      </c>
      <c r="F809">
        <v>3.4</v>
      </c>
      <c r="G809">
        <v>3.98</v>
      </c>
      <c r="H809">
        <v>4.5</v>
      </c>
      <c r="I809">
        <v>5.31</v>
      </c>
      <c r="K809">
        <f t="shared" si="99"/>
        <v>-3.0000000000000027</v>
      </c>
      <c r="L809">
        <f t="shared" si="100"/>
        <v>-9.0000000000000071</v>
      </c>
      <c r="M809">
        <f t="shared" si="101"/>
        <v>-9.9999999999999645</v>
      </c>
      <c r="N809">
        <f t="shared" si="102"/>
        <v>-10.999999999999988</v>
      </c>
      <c r="O809">
        <f t="shared" si="103"/>
        <v>-10.999999999999988</v>
      </c>
      <c r="P809">
        <f t="shared" si="104"/>
        <v>-11.999999999999966</v>
      </c>
      <c r="Q809">
        <f t="shared" si="105"/>
        <v>-12.000000000000011</v>
      </c>
      <c r="R809">
        <f t="shared" si="106"/>
        <v>-10.000000000000053</v>
      </c>
    </row>
    <row r="810" spans="1:18">
      <c r="A810" s="9">
        <v>37890</v>
      </c>
      <c r="B810">
        <v>1.3</v>
      </c>
      <c r="C810">
        <v>1.88</v>
      </c>
      <c r="D810">
        <v>2.48</v>
      </c>
      <c r="E810">
        <v>2.97</v>
      </c>
      <c r="F810">
        <v>3.38</v>
      </c>
      <c r="G810">
        <v>3.95</v>
      </c>
      <c r="H810">
        <v>4.47</v>
      </c>
      <c r="I810">
        <v>5.27</v>
      </c>
      <c r="K810">
        <f t="shared" si="99"/>
        <v>0</v>
      </c>
      <c r="L810">
        <f t="shared" si="100"/>
        <v>0</v>
      </c>
      <c r="M810">
        <f t="shared" si="101"/>
        <v>-1.0000000000000231</v>
      </c>
      <c r="N810">
        <f t="shared" si="102"/>
        <v>-2.0000000000000018</v>
      </c>
      <c r="O810">
        <f t="shared" si="103"/>
        <v>-2.0000000000000018</v>
      </c>
      <c r="P810">
        <f t="shared" si="104"/>
        <v>-2.9999999999999805</v>
      </c>
      <c r="Q810">
        <f t="shared" si="105"/>
        <v>-3.0000000000000249</v>
      </c>
      <c r="R810">
        <f t="shared" si="106"/>
        <v>-4.0000000000000036</v>
      </c>
    </row>
    <row r="811" spans="1:18">
      <c r="A811" s="9">
        <v>37893</v>
      </c>
      <c r="B811">
        <v>1.3</v>
      </c>
      <c r="C811">
        <v>1.86</v>
      </c>
      <c r="D811">
        <v>2.4500000000000002</v>
      </c>
      <c r="E811">
        <v>2.94</v>
      </c>
      <c r="F811">
        <v>3.34</v>
      </c>
      <c r="G811">
        <v>3.91</v>
      </c>
      <c r="H811">
        <v>4.4400000000000004</v>
      </c>
      <c r="I811">
        <v>5.27</v>
      </c>
      <c r="K811">
        <f t="shared" si="99"/>
        <v>0</v>
      </c>
      <c r="L811">
        <f t="shared" si="100"/>
        <v>-1.9999999999999796</v>
      </c>
      <c r="M811">
        <f t="shared" si="101"/>
        <v>-2.9999999999999805</v>
      </c>
      <c r="N811">
        <f t="shared" si="102"/>
        <v>-3.0000000000000249</v>
      </c>
      <c r="O811">
        <f t="shared" si="103"/>
        <v>-4.0000000000000036</v>
      </c>
      <c r="P811">
        <f t="shared" si="104"/>
        <v>-4.0000000000000036</v>
      </c>
      <c r="Q811">
        <f t="shared" si="105"/>
        <v>-2.9999999999999361</v>
      </c>
      <c r="R811">
        <f t="shared" si="106"/>
        <v>0</v>
      </c>
    </row>
    <row r="812" spans="1:18">
      <c r="A812" s="9">
        <v>37894</v>
      </c>
      <c r="B812">
        <v>1.25</v>
      </c>
      <c r="C812">
        <v>1.76</v>
      </c>
      <c r="D812">
        <v>2.34</v>
      </c>
      <c r="E812">
        <v>2.83</v>
      </c>
      <c r="F812">
        <v>3.23</v>
      </c>
      <c r="G812">
        <v>3.82</v>
      </c>
      <c r="H812">
        <v>4.3600000000000003</v>
      </c>
      <c r="I812">
        <v>5.22</v>
      </c>
      <c r="K812">
        <f t="shared" si="99"/>
        <v>-5.0000000000000044</v>
      </c>
      <c r="L812">
        <f t="shared" si="100"/>
        <v>-10.000000000000009</v>
      </c>
      <c r="M812">
        <f t="shared" si="101"/>
        <v>-11.000000000000032</v>
      </c>
      <c r="N812">
        <f t="shared" si="102"/>
        <v>-10.999999999999988</v>
      </c>
      <c r="O812">
        <f t="shared" si="103"/>
        <v>-10.999999999999988</v>
      </c>
      <c r="P812">
        <f t="shared" si="104"/>
        <v>-9.0000000000000302</v>
      </c>
      <c r="Q812">
        <f t="shared" si="105"/>
        <v>-8.0000000000000071</v>
      </c>
      <c r="R812">
        <f t="shared" si="106"/>
        <v>-4.9999999999999822</v>
      </c>
    </row>
    <row r="813" spans="1:18">
      <c r="A813" s="9">
        <v>37895</v>
      </c>
      <c r="B813">
        <v>1.23</v>
      </c>
      <c r="C813">
        <v>1.74</v>
      </c>
      <c r="D813">
        <v>2.34</v>
      </c>
      <c r="E813">
        <v>2.83</v>
      </c>
      <c r="F813">
        <v>3.25</v>
      </c>
      <c r="G813">
        <v>3.83</v>
      </c>
      <c r="H813">
        <v>4.37</v>
      </c>
      <c r="I813">
        <v>5.21</v>
      </c>
      <c r="K813">
        <f t="shared" si="99"/>
        <v>-2.0000000000000018</v>
      </c>
      <c r="L813">
        <f t="shared" si="100"/>
        <v>-2.0000000000000018</v>
      </c>
      <c r="M813">
        <f t="shared" si="101"/>
        <v>0</v>
      </c>
      <c r="N813">
        <f t="shared" si="102"/>
        <v>0</v>
      </c>
      <c r="O813">
        <f t="shared" si="103"/>
        <v>2.0000000000000018</v>
      </c>
      <c r="P813">
        <f t="shared" si="104"/>
        <v>1.0000000000000231</v>
      </c>
      <c r="Q813">
        <f t="shared" si="105"/>
        <v>0.99999999999997868</v>
      </c>
      <c r="R813">
        <f t="shared" si="106"/>
        <v>-0.99999999999997868</v>
      </c>
    </row>
    <row r="814" spans="1:18">
      <c r="A814" s="9">
        <v>37896</v>
      </c>
      <c r="B814">
        <v>1.27</v>
      </c>
      <c r="C814">
        <v>1.83</v>
      </c>
      <c r="D814">
        <v>2.4500000000000002</v>
      </c>
      <c r="E814">
        <v>2.96</v>
      </c>
      <c r="F814">
        <v>3.37</v>
      </c>
      <c r="G814">
        <v>3.95</v>
      </c>
      <c r="H814">
        <v>4.49</v>
      </c>
      <c r="I814">
        <v>5.32</v>
      </c>
      <c r="K814">
        <f t="shared" si="99"/>
        <v>4.0000000000000036</v>
      </c>
      <c r="L814">
        <f t="shared" si="100"/>
        <v>9.0000000000000071</v>
      </c>
      <c r="M814">
        <f t="shared" si="101"/>
        <v>11.000000000000032</v>
      </c>
      <c r="N814">
        <f t="shared" si="102"/>
        <v>12.999999999999989</v>
      </c>
      <c r="O814">
        <f t="shared" si="103"/>
        <v>12.000000000000011</v>
      </c>
      <c r="P814">
        <f t="shared" si="104"/>
        <v>12.000000000000011</v>
      </c>
      <c r="Q814">
        <f t="shared" si="105"/>
        <v>12.000000000000011</v>
      </c>
      <c r="R814">
        <f t="shared" si="106"/>
        <v>11.000000000000032</v>
      </c>
    </row>
    <row r="815" spans="1:18">
      <c r="A815" s="9">
        <v>37897</v>
      </c>
      <c r="B815">
        <v>1.34</v>
      </c>
      <c r="C815">
        <v>1.96</v>
      </c>
      <c r="D815">
        <v>2.58</v>
      </c>
      <c r="E815">
        <v>3.09</v>
      </c>
      <c r="F815">
        <v>3.51</v>
      </c>
      <c r="G815">
        <v>4.09</v>
      </c>
      <c r="H815">
        <v>4.62</v>
      </c>
      <c r="I815">
        <v>5.42</v>
      </c>
      <c r="K815">
        <f t="shared" si="99"/>
        <v>7.0000000000000062</v>
      </c>
      <c r="L815">
        <f t="shared" si="100"/>
        <v>12.999999999999989</v>
      </c>
      <c r="M815">
        <f t="shared" si="101"/>
        <v>12.999999999999989</v>
      </c>
      <c r="N815">
        <f t="shared" si="102"/>
        <v>12.999999999999989</v>
      </c>
      <c r="O815">
        <f t="shared" si="103"/>
        <v>13.999999999999968</v>
      </c>
      <c r="P815">
        <f t="shared" si="104"/>
        <v>13.999999999999968</v>
      </c>
      <c r="Q815">
        <f t="shared" si="105"/>
        <v>12.999999999999989</v>
      </c>
      <c r="R815">
        <f t="shared" si="106"/>
        <v>9.9999999999999645</v>
      </c>
    </row>
    <row r="816" spans="1:18">
      <c r="A816" s="9">
        <v>37900</v>
      </c>
      <c r="B816">
        <v>1.34</v>
      </c>
      <c r="C816">
        <v>1.97</v>
      </c>
      <c r="D816">
        <v>2.6</v>
      </c>
      <c r="E816">
        <v>3.13</v>
      </c>
      <c r="F816">
        <v>3.55</v>
      </c>
      <c r="G816">
        <v>4.13</v>
      </c>
      <c r="H816">
        <v>4.66</v>
      </c>
      <c r="I816">
        <v>5.43</v>
      </c>
      <c r="K816">
        <f t="shared" si="99"/>
        <v>0</v>
      </c>
      <c r="L816">
        <f t="shared" si="100"/>
        <v>1.0000000000000009</v>
      </c>
      <c r="M816">
        <f t="shared" si="101"/>
        <v>2.0000000000000018</v>
      </c>
      <c r="N816">
        <f t="shared" si="102"/>
        <v>4.0000000000000036</v>
      </c>
      <c r="O816">
        <f t="shared" si="103"/>
        <v>4.0000000000000036</v>
      </c>
      <c r="P816">
        <f t="shared" si="104"/>
        <v>4.0000000000000036</v>
      </c>
      <c r="Q816">
        <f t="shared" si="105"/>
        <v>4.0000000000000036</v>
      </c>
      <c r="R816">
        <f t="shared" si="106"/>
        <v>0.99999999999997868</v>
      </c>
    </row>
    <row r="817" spans="1:18">
      <c r="A817" s="9">
        <v>37901</v>
      </c>
      <c r="B817">
        <v>1.34</v>
      </c>
      <c r="C817">
        <v>1.96</v>
      </c>
      <c r="D817">
        <v>2.59</v>
      </c>
      <c r="E817">
        <v>3.11</v>
      </c>
      <c r="F817">
        <v>3.53</v>
      </c>
      <c r="G817">
        <v>4.1100000000000003</v>
      </c>
      <c r="H817">
        <v>4.66</v>
      </c>
      <c r="I817">
        <v>5.46</v>
      </c>
      <c r="K817">
        <f t="shared" si="99"/>
        <v>0</v>
      </c>
      <c r="L817">
        <f t="shared" si="100"/>
        <v>-1.0000000000000009</v>
      </c>
      <c r="M817">
        <f t="shared" si="101"/>
        <v>-1.0000000000000231</v>
      </c>
      <c r="N817">
        <f t="shared" si="102"/>
        <v>-2.0000000000000018</v>
      </c>
      <c r="O817">
        <f t="shared" si="103"/>
        <v>-2.0000000000000018</v>
      </c>
      <c r="P817">
        <f t="shared" si="104"/>
        <v>-1.9999999999999574</v>
      </c>
      <c r="Q817">
        <f t="shared" si="105"/>
        <v>0</v>
      </c>
      <c r="R817">
        <f t="shared" si="106"/>
        <v>3.0000000000000249</v>
      </c>
    </row>
    <row r="818" spans="1:18">
      <c r="A818" s="9">
        <v>37902</v>
      </c>
      <c r="B818">
        <v>1.34</v>
      </c>
      <c r="C818">
        <v>1.96</v>
      </c>
      <c r="D818">
        <v>2.59</v>
      </c>
      <c r="E818">
        <v>3.11</v>
      </c>
      <c r="F818">
        <v>3.55</v>
      </c>
      <c r="G818">
        <v>4.1399999999999997</v>
      </c>
      <c r="H818">
        <v>4.6900000000000004</v>
      </c>
      <c r="I818">
        <v>5.49</v>
      </c>
      <c r="K818">
        <f t="shared" si="99"/>
        <v>0</v>
      </c>
      <c r="L818">
        <f t="shared" si="100"/>
        <v>0</v>
      </c>
      <c r="M818">
        <f t="shared" si="101"/>
        <v>0</v>
      </c>
      <c r="N818">
        <f t="shared" si="102"/>
        <v>0</v>
      </c>
      <c r="O818">
        <f t="shared" si="103"/>
        <v>2.0000000000000018</v>
      </c>
      <c r="P818">
        <f t="shared" si="104"/>
        <v>2.9999999999999361</v>
      </c>
      <c r="Q818">
        <f t="shared" si="105"/>
        <v>3.0000000000000249</v>
      </c>
      <c r="R818">
        <f t="shared" si="106"/>
        <v>3.0000000000000249</v>
      </c>
    </row>
    <row r="819" spans="1:18">
      <c r="A819" s="9">
        <v>37903</v>
      </c>
      <c r="B819">
        <v>1.36</v>
      </c>
      <c r="C819">
        <v>2.0099999999999998</v>
      </c>
      <c r="D819">
        <v>2.65</v>
      </c>
      <c r="E819">
        <v>3.17</v>
      </c>
      <c r="F819">
        <v>3.59</v>
      </c>
      <c r="G819">
        <v>4.1900000000000004</v>
      </c>
      <c r="H819">
        <v>4.75</v>
      </c>
      <c r="I819">
        <v>5.55</v>
      </c>
      <c r="K819">
        <f t="shared" si="99"/>
        <v>2.0000000000000018</v>
      </c>
      <c r="L819">
        <f t="shared" si="100"/>
        <v>4.9999999999999822</v>
      </c>
      <c r="M819">
        <f t="shared" si="101"/>
        <v>6.0000000000000053</v>
      </c>
      <c r="N819">
        <f t="shared" si="102"/>
        <v>6.0000000000000053</v>
      </c>
      <c r="O819">
        <f t="shared" si="103"/>
        <v>4.0000000000000036</v>
      </c>
      <c r="P819">
        <f t="shared" si="104"/>
        <v>5.0000000000000711</v>
      </c>
      <c r="Q819">
        <f t="shared" si="105"/>
        <v>5.9999999999999609</v>
      </c>
      <c r="R819">
        <f t="shared" si="106"/>
        <v>5.9999999999999609</v>
      </c>
    </row>
    <row r="820" spans="1:18">
      <c r="A820" s="9">
        <v>37904</v>
      </c>
      <c r="B820">
        <v>1.34</v>
      </c>
      <c r="C820">
        <v>1.95</v>
      </c>
      <c r="D820">
        <v>2.57</v>
      </c>
      <c r="E820">
        <v>3.09</v>
      </c>
      <c r="F820">
        <v>3.51</v>
      </c>
      <c r="G820">
        <v>4.1100000000000003</v>
      </c>
      <c r="H820">
        <v>4.66</v>
      </c>
      <c r="I820">
        <v>5.49</v>
      </c>
      <c r="K820">
        <f t="shared" si="99"/>
        <v>-2.0000000000000018</v>
      </c>
      <c r="L820">
        <f t="shared" si="100"/>
        <v>-5.9999999999999831</v>
      </c>
      <c r="M820">
        <f t="shared" si="101"/>
        <v>-8.0000000000000071</v>
      </c>
      <c r="N820">
        <f t="shared" si="102"/>
        <v>-8.0000000000000071</v>
      </c>
      <c r="O820">
        <f t="shared" si="103"/>
        <v>-8.0000000000000071</v>
      </c>
      <c r="P820">
        <f t="shared" si="104"/>
        <v>-8.0000000000000071</v>
      </c>
      <c r="Q820">
        <f t="shared" si="105"/>
        <v>-8.9999999999999858</v>
      </c>
      <c r="R820">
        <f t="shared" si="106"/>
        <v>-5.9999999999999609</v>
      </c>
    </row>
    <row r="821" spans="1:18">
      <c r="A821" s="9">
        <v>37908</v>
      </c>
      <c r="B821">
        <v>1.39</v>
      </c>
      <c r="C821">
        <v>2.0299999999999998</v>
      </c>
      <c r="D821">
        <v>2.66</v>
      </c>
      <c r="E821">
        <v>3.18</v>
      </c>
      <c r="F821">
        <v>3.61</v>
      </c>
      <c r="G821">
        <v>4.21</v>
      </c>
      <c r="H821">
        <v>4.76</v>
      </c>
      <c r="I821">
        <v>5.55</v>
      </c>
      <c r="K821">
        <f t="shared" si="99"/>
        <v>4.9999999999999822</v>
      </c>
      <c r="L821">
        <f t="shared" si="100"/>
        <v>7.9999999999999849</v>
      </c>
      <c r="M821">
        <f t="shared" si="101"/>
        <v>9.0000000000000302</v>
      </c>
      <c r="N821">
        <f t="shared" si="102"/>
        <v>9.0000000000000302</v>
      </c>
      <c r="O821">
        <f t="shared" si="103"/>
        <v>10.000000000000009</v>
      </c>
      <c r="P821">
        <f t="shared" si="104"/>
        <v>9.9999999999999645</v>
      </c>
      <c r="Q821">
        <f t="shared" si="105"/>
        <v>9.9999999999999645</v>
      </c>
      <c r="R821">
        <f t="shared" si="106"/>
        <v>5.9999999999999609</v>
      </c>
    </row>
    <row r="822" spans="1:18">
      <c r="A822" s="9">
        <v>37909</v>
      </c>
      <c r="B822">
        <v>1.43</v>
      </c>
      <c r="C822">
        <v>2.12</v>
      </c>
      <c r="D822">
        <v>2.76</v>
      </c>
      <c r="E822">
        <v>3.28</v>
      </c>
      <c r="F822">
        <v>3.71</v>
      </c>
      <c r="G822">
        <v>4.3099999999999996</v>
      </c>
      <c r="H822">
        <v>4.8600000000000003</v>
      </c>
      <c r="I822">
        <v>5.63</v>
      </c>
      <c r="K822">
        <f t="shared" si="99"/>
        <v>4.0000000000000036</v>
      </c>
      <c r="L822">
        <f t="shared" si="100"/>
        <v>9.0000000000000302</v>
      </c>
      <c r="M822">
        <f t="shared" si="101"/>
        <v>9.9999999999999645</v>
      </c>
      <c r="N822">
        <f t="shared" si="102"/>
        <v>9.9999999999999645</v>
      </c>
      <c r="O822">
        <f t="shared" si="103"/>
        <v>10.000000000000009</v>
      </c>
      <c r="P822">
        <f t="shared" si="104"/>
        <v>9.9999999999999645</v>
      </c>
      <c r="Q822">
        <f t="shared" si="105"/>
        <v>10.000000000000053</v>
      </c>
      <c r="R822">
        <f t="shared" si="106"/>
        <v>8.0000000000000071</v>
      </c>
    </row>
    <row r="823" spans="1:18">
      <c r="A823" s="9">
        <v>37910</v>
      </c>
      <c r="B823">
        <v>1.43</v>
      </c>
      <c r="C823">
        <v>2.09</v>
      </c>
      <c r="D823">
        <v>2.72</v>
      </c>
      <c r="E823">
        <v>3.25</v>
      </c>
      <c r="F823">
        <v>3.66</v>
      </c>
      <c r="G823">
        <v>4.25</v>
      </c>
      <c r="H823">
        <v>4.79</v>
      </c>
      <c r="I823">
        <v>5.57</v>
      </c>
      <c r="K823">
        <f t="shared" si="99"/>
        <v>0</v>
      </c>
      <c r="L823">
        <f t="shared" si="100"/>
        <v>-3.0000000000000249</v>
      </c>
      <c r="M823">
        <f t="shared" si="101"/>
        <v>-3.9999999999999591</v>
      </c>
      <c r="N823">
        <f t="shared" si="102"/>
        <v>-2.9999999999999805</v>
      </c>
      <c r="O823">
        <f t="shared" si="103"/>
        <v>-4.9999999999999822</v>
      </c>
      <c r="P823">
        <f t="shared" si="104"/>
        <v>-5.9999999999999609</v>
      </c>
      <c r="Q823">
        <f t="shared" si="105"/>
        <v>-7.0000000000000284</v>
      </c>
      <c r="R823">
        <f t="shared" si="106"/>
        <v>-5.9999999999999609</v>
      </c>
    </row>
    <row r="824" spans="1:18">
      <c r="A824" s="9">
        <v>37911</v>
      </c>
      <c r="B824">
        <v>1.52</v>
      </c>
      <c r="C824">
        <v>2.2599999999999998</v>
      </c>
      <c r="D824">
        <v>2.9</v>
      </c>
      <c r="E824">
        <v>3.4</v>
      </c>
      <c r="F824">
        <v>3.8</v>
      </c>
      <c r="G824">
        <v>4.3600000000000003</v>
      </c>
      <c r="H824">
        <v>4.87</v>
      </c>
      <c r="I824">
        <v>5.62</v>
      </c>
      <c r="K824">
        <f t="shared" si="99"/>
        <v>9.0000000000000071</v>
      </c>
      <c r="L824">
        <f t="shared" si="100"/>
        <v>16.999999999999993</v>
      </c>
      <c r="M824">
        <f t="shared" si="101"/>
        <v>17.999999999999972</v>
      </c>
      <c r="N824">
        <f t="shared" si="102"/>
        <v>14.999999999999991</v>
      </c>
      <c r="O824">
        <f t="shared" si="103"/>
        <v>13.999999999999968</v>
      </c>
      <c r="P824">
        <f t="shared" si="104"/>
        <v>11.000000000000032</v>
      </c>
      <c r="Q824">
        <f t="shared" si="105"/>
        <v>8.0000000000000071</v>
      </c>
      <c r="R824">
        <f t="shared" si="106"/>
        <v>4.9999999999999822</v>
      </c>
    </row>
    <row r="825" spans="1:18">
      <c r="A825" s="9">
        <v>37914</v>
      </c>
      <c r="B825">
        <v>1.53</v>
      </c>
      <c r="C825">
        <v>2.2599999999999998</v>
      </c>
      <c r="D825">
        <v>2.87</v>
      </c>
      <c r="E825">
        <v>3.35</v>
      </c>
      <c r="F825">
        <v>3.75</v>
      </c>
      <c r="G825">
        <v>4.3</v>
      </c>
      <c r="H825">
        <v>4.8</v>
      </c>
      <c r="I825">
        <v>5.54</v>
      </c>
      <c r="K825">
        <f t="shared" si="99"/>
        <v>1.0000000000000009</v>
      </c>
      <c r="L825">
        <f t="shared" si="100"/>
        <v>0</v>
      </c>
      <c r="M825">
        <f t="shared" si="101"/>
        <v>-2.9999999999999805</v>
      </c>
      <c r="N825">
        <f t="shared" si="102"/>
        <v>-4.9999999999999822</v>
      </c>
      <c r="O825">
        <f t="shared" si="103"/>
        <v>-4.9999999999999822</v>
      </c>
      <c r="P825">
        <f t="shared" si="104"/>
        <v>-6.0000000000000497</v>
      </c>
      <c r="Q825">
        <f t="shared" si="105"/>
        <v>-7.0000000000000284</v>
      </c>
      <c r="R825">
        <f t="shared" si="106"/>
        <v>-8.0000000000000071</v>
      </c>
    </row>
    <row r="826" spans="1:18">
      <c r="A826" s="9">
        <v>37915</v>
      </c>
      <c r="B826">
        <v>1.51</v>
      </c>
      <c r="C826">
        <v>2.2000000000000002</v>
      </c>
      <c r="D826">
        <v>2.81</v>
      </c>
      <c r="E826">
        <v>3.29</v>
      </c>
      <c r="F826">
        <v>3.69</v>
      </c>
      <c r="G826">
        <v>4.24</v>
      </c>
      <c r="H826">
        <v>4.76</v>
      </c>
      <c r="I826">
        <v>5.52</v>
      </c>
      <c r="K826">
        <f t="shared" si="99"/>
        <v>-2.0000000000000018</v>
      </c>
      <c r="L826">
        <f t="shared" si="100"/>
        <v>-5.9999999999999609</v>
      </c>
      <c r="M826">
        <f t="shared" si="101"/>
        <v>-6.0000000000000053</v>
      </c>
      <c r="N826">
        <f t="shared" si="102"/>
        <v>-6.0000000000000053</v>
      </c>
      <c r="O826">
        <f t="shared" si="103"/>
        <v>-6.0000000000000053</v>
      </c>
      <c r="P826">
        <f t="shared" si="104"/>
        <v>-5.9999999999999609</v>
      </c>
      <c r="Q826">
        <f t="shared" si="105"/>
        <v>-4.0000000000000036</v>
      </c>
      <c r="R826">
        <f t="shared" si="106"/>
        <v>-2.0000000000000462</v>
      </c>
    </row>
    <row r="827" spans="1:18">
      <c r="A827" s="9">
        <v>37916</v>
      </c>
      <c r="B827">
        <v>1.5</v>
      </c>
      <c r="C827">
        <v>2.2000000000000002</v>
      </c>
      <c r="D827">
        <v>2.79</v>
      </c>
      <c r="E827">
        <v>3.26</v>
      </c>
      <c r="F827">
        <v>3.64</v>
      </c>
      <c r="G827">
        <v>4.1900000000000004</v>
      </c>
      <c r="H827">
        <v>4.7</v>
      </c>
      <c r="I827">
        <v>5.47</v>
      </c>
      <c r="K827">
        <f t="shared" si="99"/>
        <v>-1.0000000000000009</v>
      </c>
      <c r="L827">
        <f t="shared" si="100"/>
        <v>0</v>
      </c>
      <c r="M827">
        <f t="shared" si="101"/>
        <v>-2.0000000000000018</v>
      </c>
      <c r="N827">
        <f t="shared" si="102"/>
        <v>-3.0000000000000249</v>
      </c>
      <c r="O827">
        <f t="shared" si="103"/>
        <v>-4.9999999999999822</v>
      </c>
      <c r="P827">
        <f t="shared" si="104"/>
        <v>-4.9999999999999822</v>
      </c>
      <c r="Q827">
        <f t="shared" si="105"/>
        <v>-5.9999999999999609</v>
      </c>
      <c r="R827">
        <f t="shared" si="106"/>
        <v>-4.9999999999999822</v>
      </c>
    </row>
    <row r="828" spans="1:18">
      <c r="A828" s="9">
        <v>37917</v>
      </c>
      <c r="B828">
        <v>1.49</v>
      </c>
      <c r="C828">
        <v>2.1800000000000002</v>
      </c>
      <c r="D828">
        <v>2.78</v>
      </c>
      <c r="E828">
        <v>3.25</v>
      </c>
      <c r="F828">
        <v>3.63</v>
      </c>
      <c r="G828">
        <v>4.1900000000000004</v>
      </c>
      <c r="H828">
        <v>4.72</v>
      </c>
      <c r="I828">
        <v>5.49</v>
      </c>
      <c r="K828">
        <f t="shared" si="99"/>
        <v>-1.0000000000000009</v>
      </c>
      <c r="L828">
        <f t="shared" si="100"/>
        <v>-2.0000000000000018</v>
      </c>
      <c r="M828">
        <f t="shared" si="101"/>
        <v>-1.0000000000000231</v>
      </c>
      <c r="N828">
        <f t="shared" si="102"/>
        <v>-0.99999999999997868</v>
      </c>
      <c r="O828">
        <f t="shared" si="103"/>
        <v>-1.0000000000000231</v>
      </c>
      <c r="P828">
        <f t="shared" si="104"/>
        <v>0</v>
      </c>
      <c r="Q828">
        <f t="shared" si="105"/>
        <v>1.9999999999999574</v>
      </c>
      <c r="R828">
        <f t="shared" si="106"/>
        <v>2.0000000000000462</v>
      </c>
    </row>
    <row r="829" spans="1:18">
      <c r="A829" s="9">
        <v>37918</v>
      </c>
      <c r="B829">
        <v>1.48</v>
      </c>
      <c r="C829">
        <v>2.16</v>
      </c>
      <c r="D829">
        <v>2.76</v>
      </c>
      <c r="E829">
        <v>3.23</v>
      </c>
      <c r="F829">
        <v>3.61</v>
      </c>
      <c r="G829">
        <v>4.17</v>
      </c>
      <c r="H829">
        <v>4.71</v>
      </c>
      <c r="I829">
        <v>5.47</v>
      </c>
      <c r="K829">
        <f t="shared" si="99"/>
        <v>-1.0000000000000009</v>
      </c>
      <c r="L829">
        <f t="shared" si="100"/>
        <v>-2.0000000000000018</v>
      </c>
      <c r="M829">
        <f t="shared" si="101"/>
        <v>-2.0000000000000018</v>
      </c>
      <c r="N829">
        <f t="shared" si="102"/>
        <v>-2.0000000000000018</v>
      </c>
      <c r="O829">
        <f t="shared" si="103"/>
        <v>-2.0000000000000018</v>
      </c>
      <c r="P829">
        <f t="shared" si="104"/>
        <v>-2.0000000000000462</v>
      </c>
      <c r="Q829">
        <f t="shared" si="105"/>
        <v>-0.99999999999997868</v>
      </c>
      <c r="R829">
        <f t="shared" si="106"/>
        <v>-2.0000000000000462</v>
      </c>
    </row>
    <row r="830" spans="1:18">
      <c r="A830" s="9">
        <v>37921</v>
      </c>
      <c r="B830">
        <v>1.48</v>
      </c>
      <c r="C830">
        <v>2.15</v>
      </c>
      <c r="D830">
        <v>2.75</v>
      </c>
      <c r="E830">
        <v>3.22</v>
      </c>
      <c r="F830">
        <v>3.6</v>
      </c>
      <c r="G830">
        <v>4.16</v>
      </c>
      <c r="H830">
        <v>4.68</v>
      </c>
      <c r="I830">
        <v>5.42</v>
      </c>
      <c r="K830">
        <f t="shared" si="99"/>
        <v>0</v>
      </c>
      <c r="L830">
        <f t="shared" si="100"/>
        <v>-1.0000000000000231</v>
      </c>
      <c r="M830">
        <f t="shared" si="101"/>
        <v>-0.99999999999997868</v>
      </c>
      <c r="N830">
        <f t="shared" si="102"/>
        <v>-0.99999999999997868</v>
      </c>
      <c r="O830">
        <f t="shared" si="103"/>
        <v>-0.99999999999997868</v>
      </c>
      <c r="P830">
        <f t="shared" si="104"/>
        <v>-0.99999999999997868</v>
      </c>
      <c r="Q830">
        <f t="shared" si="105"/>
        <v>-3.0000000000000249</v>
      </c>
      <c r="R830">
        <f t="shared" si="106"/>
        <v>-4.9999999999999822</v>
      </c>
    </row>
    <row r="831" spans="1:18">
      <c r="A831" s="9">
        <v>37922</v>
      </c>
      <c r="B831">
        <v>1.5</v>
      </c>
      <c r="C831">
        <v>2.2200000000000002</v>
      </c>
      <c r="D831">
        <v>2.81</v>
      </c>
      <c r="E831">
        <v>3.27</v>
      </c>
      <c r="F831">
        <v>3.65</v>
      </c>
      <c r="G831">
        <v>4.1900000000000004</v>
      </c>
      <c r="H831">
        <v>4.7</v>
      </c>
      <c r="I831">
        <v>5.43</v>
      </c>
      <c r="K831">
        <f t="shared" si="99"/>
        <v>2.0000000000000018</v>
      </c>
      <c r="L831">
        <f t="shared" si="100"/>
        <v>7.0000000000000284</v>
      </c>
      <c r="M831">
        <f t="shared" si="101"/>
        <v>6.0000000000000053</v>
      </c>
      <c r="N831">
        <f t="shared" si="102"/>
        <v>4.9999999999999822</v>
      </c>
      <c r="O831">
        <f t="shared" si="103"/>
        <v>4.9999999999999822</v>
      </c>
      <c r="P831">
        <f t="shared" si="104"/>
        <v>3.0000000000000249</v>
      </c>
      <c r="Q831">
        <f t="shared" si="105"/>
        <v>2.0000000000000462</v>
      </c>
      <c r="R831">
        <f t="shared" si="106"/>
        <v>0.99999999999997868</v>
      </c>
    </row>
    <row r="832" spans="1:18">
      <c r="A832" s="9">
        <v>37923</v>
      </c>
      <c r="B832">
        <v>1.44</v>
      </c>
      <c r="C832">
        <v>2.1</v>
      </c>
      <c r="D832">
        <v>2.7</v>
      </c>
      <c r="E832">
        <v>3.17</v>
      </c>
      <c r="F832">
        <v>3.56</v>
      </c>
      <c r="G832">
        <v>4.12</v>
      </c>
      <c r="H832">
        <v>4.66</v>
      </c>
      <c r="I832">
        <v>5.42</v>
      </c>
      <c r="K832">
        <f t="shared" si="99"/>
        <v>-6.0000000000000053</v>
      </c>
      <c r="L832">
        <f t="shared" si="100"/>
        <v>-12.000000000000011</v>
      </c>
      <c r="M832">
        <f t="shared" si="101"/>
        <v>-10.999999999999988</v>
      </c>
      <c r="N832">
        <f t="shared" si="102"/>
        <v>-10.000000000000009</v>
      </c>
      <c r="O832">
        <f t="shared" si="103"/>
        <v>-8.9999999999999858</v>
      </c>
      <c r="P832">
        <f t="shared" si="104"/>
        <v>-7.0000000000000284</v>
      </c>
      <c r="Q832">
        <f t="shared" si="105"/>
        <v>-4.0000000000000036</v>
      </c>
      <c r="R832">
        <f t="shared" si="106"/>
        <v>-0.99999999999997868</v>
      </c>
    </row>
    <row r="833" spans="1:18">
      <c r="A833" s="9">
        <v>37924</v>
      </c>
      <c r="B833">
        <v>1.49</v>
      </c>
      <c r="C833">
        <v>2.21</v>
      </c>
      <c r="D833">
        <v>2.82</v>
      </c>
      <c r="E833">
        <v>3.32</v>
      </c>
      <c r="F833">
        <v>3.72</v>
      </c>
      <c r="G833">
        <v>4.2699999999999996</v>
      </c>
      <c r="H833">
        <v>4.79</v>
      </c>
      <c r="I833">
        <v>5.52</v>
      </c>
      <c r="K833">
        <f t="shared" si="99"/>
        <v>5.0000000000000044</v>
      </c>
      <c r="L833">
        <f t="shared" si="100"/>
        <v>10.999999999999988</v>
      </c>
      <c r="M833">
        <f t="shared" si="101"/>
        <v>11.999999999999966</v>
      </c>
      <c r="N833">
        <f t="shared" si="102"/>
        <v>14.999999999999991</v>
      </c>
      <c r="O833">
        <f t="shared" si="103"/>
        <v>16.000000000000014</v>
      </c>
      <c r="P833">
        <f t="shared" si="104"/>
        <v>14.999999999999947</v>
      </c>
      <c r="Q833">
        <f t="shared" si="105"/>
        <v>12.999999999999989</v>
      </c>
      <c r="R833">
        <f t="shared" si="106"/>
        <v>9.9999999999999645</v>
      </c>
    </row>
    <row r="834" spans="1:18">
      <c r="A834" s="9">
        <v>37925</v>
      </c>
      <c r="B834">
        <v>1.48</v>
      </c>
      <c r="C834">
        <v>2.17</v>
      </c>
      <c r="D834">
        <v>2.79</v>
      </c>
      <c r="E834">
        <v>3.28</v>
      </c>
      <c r="F834">
        <v>3.68</v>
      </c>
      <c r="G834">
        <v>4.22</v>
      </c>
      <c r="H834">
        <v>4.7300000000000004</v>
      </c>
      <c r="I834">
        <v>5.44</v>
      </c>
      <c r="K834">
        <f t="shared" si="99"/>
        <v>-1.0000000000000009</v>
      </c>
      <c r="L834">
        <f t="shared" si="100"/>
        <v>-4.0000000000000036</v>
      </c>
      <c r="M834">
        <f t="shared" si="101"/>
        <v>-2.9999999999999805</v>
      </c>
      <c r="N834">
        <f t="shared" si="102"/>
        <v>-4.0000000000000036</v>
      </c>
      <c r="O834">
        <f t="shared" si="103"/>
        <v>-4.0000000000000036</v>
      </c>
      <c r="P834">
        <f t="shared" si="104"/>
        <v>-4.9999999999999822</v>
      </c>
      <c r="Q834">
        <f t="shared" si="105"/>
        <v>-5.9999999999999609</v>
      </c>
      <c r="R834">
        <f t="shared" si="106"/>
        <v>-7.9999999999999183</v>
      </c>
    </row>
    <row r="835" spans="1:18">
      <c r="A835" s="9">
        <v>37928</v>
      </c>
      <c r="B835">
        <v>1.53</v>
      </c>
      <c r="C835">
        <v>2.2799999999999998</v>
      </c>
      <c r="D835">
        <v>2.91</v>
      </c>
      <c r="E835">
        <v>3.4</v>
      </c>
      <c r="F835">
        <v>3.79</v>
      </c>
      <c r="G835">
        <v>4.32</v>
      </c>
      <c r="H835">
        <v>4.8099999999999996</v>
      </c>
      <c r="I835">
        <v>5.5</v>
      </c>
      <c r="K835">
        <f t="shared" si="99"/>
        <v>5.0000000000000044</v>
      </c>
      <c r="L835">
        <f t="shared" si="100"/>
        <v>10.999999999999988</v>
      </c>
      <c r="M835">
        <f t="shared" si="101"/>
        <v>12.000000000000011</v>
      </c>
      <c r="N835">
        <f t="shared" si="102"/>
        <v>12.000000000000011</v>
      </c>
      <c r="O835">
        <f t="shared" si="103"/>
        <v>10.999999999999988</v>
      </c>
      <c r="P835">
        <f t="shared" si="104"/>
        <v>10.000000000000053</v>
      </c>
      <c r="Q835">
        <f t="shared" si="105"/>
        <v>7.9999999999999183</v>
      </c>
      <c r="R835">
        <f t="shared" si="106"/>
        <v>5.9999999999999609</v>
      </c>
    </row>
    <row r="836" spans="1:18">
      <c r="A836" s="9">
        <v>37929</v>
      </c>
      <c r="B836">
        <v>1.5</v>
      </c>
      <c r="C836">
        <v>2.21</v>
      </c>
      <c r="D836">
        <v>2.82</v>
      </c>
      <c r="E836">
        <v>3.31</v>
      </c>
      <c r="F836">
        <v>3.69</v>
      </c>
      <c r="G836">
        <v>4.2300000000000004</v>
      </c>
      <c r="H836">
        <v>4.7300000000000004</v>
      </c>
      <c r="I836">
        <v>5.44</v>
      </c>
      <c r="K836">
        <f t="shared" si="99"/>
        <v>-3.0000000000000027</v>
      </c>
      <c r="L836">
        <f t="shared" si="100"/>
        <v>-6.999999999999984</v>
      </c>
      <c r="M836">
        <f t="shared" si="101"/>
        <v>-9.0000000000000302</v>
      </c>
      <c r="N836">
        <f t="shared" si="102"/>
        <v>-8.9999999999999858</v>
      </c>
      <c r="O836">
        <f t="shared" si="103"/>
        <v>-10.000000000000009</v>
      </c>
      <c r="P836">
        <f t="shared" si="104"/>
        <v>-8.9999999999999858</v>
      </c>
      <c r="Q836">
        <f t="shared" si="105"/>
        <v>-7.9999999999999183</v>
      </c>
      <c r="R836">
        <f t="shared" si="106"/>
        <v>-5.9999999999999609</v>
      </c>
    </row>
    <row r="837" spans="1:18">
      <c r="A837" s="9">
        <v>37930</v>
      </c>
      <c r="B837">
        <v>1.5</v>
      </c>
      <c r="C837">
        <v>2.21</v>
      </c>
      <c r="D837">
        <v>2.82</v>
      </c>
      <c r="E837">
        <v>3.3</v>
      </c>
      <c r="F837">
        <v>3.69</v>
      </c>
      <c r="G837">
        <v>4.22</v>
      </c>
      <c r="H837">
        <v>4.72</v>
      </c>
      <c r="I837">
        <v>5.45</v>
      </c>
      <c r="K837">
        <f t="shared" ref="K837:K900" si="107">(B837-B836)*100</f>
        <v>0</v>
      </c>
      <c r="L837">
        <f t="shared" ref="L837:L900" si="108">(C837-C836)*100</f>
        <v>0</v>
      </c>
      <c r="M837">
        <f t="shared" ref="M837:M900" si="109">(D837-D836)*100</f>
        <v>0</v>
      </c>
      <c r="N837">
        <f t="shared" ref="N837:N900" si="110">(E837-E836)*100</f>
        <v>-1.0000000000000231</v>
      </c>
      <c r="O837">
        <f t="shared" ref="O837:O900" si="111">(F837-F836)*100</f>
        <v>0</v>
      </c>
      <c r="P837">
        <f t="shared" ref="P837:P900" si="112">(G837-G836)*100</f>
        <v>-1.0000000000000675</v>
      </c>
      <c r="Q837">
        <f t="shared" ref="Q837:Q900" si="113">(H837-H836)*100</f>
        <v>-1.0000000000000675</v>
      </c>
      <c r="R837">
        <f t="shared" ref="R837:R900" si="114">(I837-I836)*100</f>
        <v>0.99999999999997868</v>
      </c>
    </row>
    <row r="838" spans="1:18">
      <c r="A838" s="9">
        <v>37931</v>
      </c>
      <c r="B838">
        <v>1.56</v>
      </c>
      <c r="C838">
        <v>2.3199999999999998</v>
      </c>
      <c r="D838">
        <v>2.95</v>
      </c>
      <c r="E838">
        <v>3.44</v>
      </c>
      <c r="F838">
        <v>3.82</v>
      </c>
      <c r="G838">
        <v>4.33</v>
      </c>
      <c r="H838">
        <v>4.82</v>
      </c>
      <c r="I838">
        <v>5.53</v>
      </c>
      <c r="K838">
        <f t="shared" si="107"/>
        <v>6.0000000000000053</v>
      </c>
      <c r="L838">
        <f t="shared" si="108"/>
        <v>10.999999999999988</v>
      </c>
      <c r="M838">
        <f t="shared" si="109"/>
        <v>13.000000000000034</v>
      </c>
      <c r="N838">
        <f t="shared" si="110"/>
        <v>14.000000000000012</v>
      </c>
      <c r="O838">
        <f t="shared" si="111"/>
        <v>12.999999999999989</v>
      </c>
      <c r="P838">
        <f t="shared" si="112"/>
        <v>11.000000000000032</v>
      </c>
      <c r="Q838">
        <f t="shared" si="113"/>
        <v>10.000000000000053</v>
      </c>
      <c r="R838">
        <f t="shared" si="114"/>
        <v>8.0000000000000071</v>
      </c>
    </row>
    <row r="839" spans="1:18">
      <c r="A839" s="9">
        <v>37932</v>
      </c>
      <c r="B839">
        <v>1.6</v>
      </c>
      <c r="C839">
        <v>2.4</v>
      </c>
      <c r="D839">
        <v>3.04</v>
      </c>
      <c r="E839">
        <v>3.52</v>
      </c>
      <c r="F839">
        <v>3.9</v>
      </c>
      <c r="G839">
        <v>4.42</v>
      </c>
      <c r="H839">
        <v>4.91</v>
      </c>
      <c r="I839">
        <v>5.6</v>
      </c>
      <c r="K839">
        <f t="shared" si="107"/>
        <v>4.0000000000000036</v>
      </c>
      <c r="L839">
        <f t="shared" si="108"/>
        <v>8.0000000000000071</v>
      </c>
      <c r="M839">
        <f t="shared" si="109"/>
        <v>8.9999999999999858</v>
      </c>
      <c r="N839">
        <f t="shared" si="110"/>
        <v>8.0000000000000071</v>
      </c>
      <c r="O839">
        <f t="shared" si="111"/>
        <v>8.0000000000000071</v>
      </c>
      <c r="P839">
        <f t="shared" si="112"/>
        <v>8.9999999999999858</v>
      </c>
      <c r="Q839">
        <f t="shared" si="113"/>
        <v>8.9999999999999858</v>
      </c>
      <c r="R839">
        <f t="shared" si="114"/>
        <v>6.9999999999999396</v>
      </c>
    </row>
    <row r="840" spans="1:18">
      <c r="A840" s="9">
        <v>37935</v>
      </c>
      <c r="B840">
        <v>1.59</v>
      </c>
      <c r="C840">
        <v>2.35</v>
      </c>
      <c r="D840">
        <v>2.99</v>
      </c>
      <c r="E840">
        <v>3.47</v>
      </c>
      <c r="F840">
        <v>3.85</v>
      </c>
      <c r="G840">
        <v>4.37</v>
      </c>
      <c r="H840">
        <v>4.8499999999999996</v>
      </c>
      <c r="I840">
        <v>5.55</v>
      </c>
      <c r="K840">
        <f t="shared" si="107"/>
        <v>-1.0000000000000009</v>
      </c>
      <c r="L840">
        <f t="shared" si="108"/>
        <v>-4.9999999999999822</v>
      </c>
      <c r="M840">
        <f t="shared" si="109"/>
        <v>-4.9999999999999822</v>
      </c>
      <c r="N840">
        <f t="shared" si="110"/>
        <v>-4.9999999999999822</v>
      </c>
      <c r="O840">
        <f t="shared" si="111"/>
        <v>-4.9999999999999822</v>
      </c>
      <c r="P840">
        <f t="shared" si="112"/>
        <v>-4.9999999999999822</v>
      </c>
      <c r="Q840">
        <f t="shared" si="113"/>
        <v>-6.0000000000000497</v>
      </c>
      <c r="R840">
        <f t="shared" si="114"/>
        <v>-4.9999999999999822</v>
      </c>
    </row>
    <row r="841" spans="1:18">
      <c r="A841" s="9">
        <v>37937</v>
      </c>
      <c r="B841">
        <v>1.59</v>
      </c>
      <c r="C841">
        <v>2.36</v>
      </c>
      <c r="D841">
        <v>2.98</v>
      </c>
      <c r="E841">
        <v>3.46</v>
      </c>
      <c r="F841">
        <v>3.84</v>
      </c>
      <c r="G841">
        <v>4.3600000000000003</v>
      </c>
      <c r="H841">
        <v>4.84</v>
      </c>
      <c r="I841">
        <v>5.54</v>
      </c>
      <c r="K841">
        <f t="shared" si="107"/>
        <v>0</v>
      </c>
      <c r="L841">
        <f t="shared" si="108"/>
        <v>0.99999999999997868</v>
      </c>
      <c r="M841">
        <f t="shared" si="109"/>
        <v>-1.0000000000000231</v>
      </c>
      <c r="N841">
        <f t="shared" si="110"/>
        <v>-1.0000000000000231</v>
      </c>
      <c r="O841">
        <f t="shared" si="111"/>
        <v>-1.0000000000000231</v>
      </c>
      <c r="P841">
        <f t="shared" si="112"/>
        <v>-0.99999999999997868</v>
      </c>
      <c r="Q841">
        <f t="shared" si="113"/>
        <v>-0.99999999999997868</v>
      </c>
      <c r="R841">
        <f t="shared" si="114"/>
        <v>-0.99999999999997868</v>
      </c>
    </row>
    <row r="842" spans="1:18">
      <c r="A842" s="9">
        <v>37938</v>
      </c>
      <c r="B842">
        <v>1.53</v>
      </c>
      <c r="C842">
        <v>2.2599999999999998</v>
      </c>
      <c r="D842">
        <v>2.87</v>
      </c>
      <c r="E842">
        <v>3.35</v>
      </c>
      <c r="F842">
        <v>3.73</v>
      </c>
      <c r="G842">
        <v>4.26</v>
      </c>
      <c r="H842">
        <v>4.75</v>
      </c>
      <c r="I842">
        <v>5.46</v>
      </c>
      <c r="K842">
        <f t="shared" si="107"/>
        <v>-6.0000000000000053</v>
      </c>
      <c r="L842">
        <f t="shared" si="108"/>
        <v>-10.000000000000009</v>
      </c>
      <c r="M842">
        <f t="shared" si="109"/>
        <v>-10.999999999999988</v>
      </c>
      <c r="N842">
        <f t="shared" si="110"/>
        <v>-10.999999999999988</v>
      </c>
      <c r="O842">
        <f t="shared" si="111"/>
        <v>-10.999999999999988</v>
      </c>
      <c r="P842">
        <f t="shared" si="112"/>
        <v>-10.000000000000053</v>
      </c>
      <c r="Q842">
        <f t="shared" si="113"/>
        <v>-8.9999999999999858</v>
      </c>
      <c r="R842">
        <f t="shared" si="114"/>
        <v>-8.0000000000000071</v>
      </c>
    </row>
    <row r="843" spans="1:18">
      <c r="A843" s="9">
        <v>37939</v>
      </c>
      <c r="B843">
        <v>1.47</v>
      </c>
      <c r="C843">
        <v>2.15</v>
      </c>
      <c r="D843">
        <v>2.75</v>
      </c>
      <c r="E843">
        <v>3.22</v>
      </c>
      <c r="F843">
        <v>3.58</v>
      </c>
      <c r="G843">
        <v>4.1100000000000003</v>
      </c>
      <c r="H843">
        <v>4.62</v>
      </c>
      <c r="I843">
        <v>5.36</v>
      </c>
      <c r="K843">
        <f t="shared" si="107"/>
        <v>-6.0000000000000053</v>
      </c>
      <c r="L843">
        <f t="shared" si="108"/>
        <v>-10.999999999999988</v>
      </c>
      <c r="M843">
        <f t="shared" si="109"/>
        <v>-12.000000000000011</v>
      </c>
      <c r="N843">
        <f t="shared" si="110"/>
        <v>-12.999999999999989</v>
      </c>
      <c r="O843">
        <f t="shared" si="111"/>
        <v>-14.999999999999991</v>
      </c>
      <c r="P843">
        <f t="shared" si="112"/>
        <v>-14.999999999999947</v>
      </c>
      <c r="Q843">
        <f t="shared" si="113"/>
        <v>-12.999999999999989</v>
      </c>
      <c r="R843">
        <f t="shared" si="114"/>
        <v>-9.9999999999999645</v>
      </c>
    </row>
    <row r="844" spans="1:18">
      <c r="A844" s="9">
        <v>37942</v>
      </c>
      <c r="B844">
        <v>1.44</v>
      </c>
      <c r="C844">
        <v>2.09</v>
      </c>
      <c r="D844">
        <v>2.7</v>
      </c>
      <c r="E844">
        <v>3.16</v>
      </c>
      <c r="F844">
        <v>3.52</v>
      </c>
      <c r="G844">
        <v>4.0599999999999996</v>
      </c>
      <c r="H844">
        <v>4.57</v>
      </c>
      <c r="I844">
        <v>5.32</v>
      </c>
      <c r="K844">
        <f t="shared" si="107"/>
        <v>-3.0000000000000027</v>
      </c>
      <c r="L844">
        <f t="shared" si="108"/>
        <v>-6.0000000000000053</v>
      </c>
      <c r="M844">
        <f t="shared" si="109"/>
        <v>-4.9999999999999822</v>
      </c>
      <c r="N844">
        <f t="shared" si="110"/>
        <v>-6.0000000000000053</v>
      </c>
      <c r="O844">
        <f t="shared" si="111"/>
        <v>-6.0000000000000053</v>
      </c>
      <c r="P844">
        <f t="shared" si="112"/>
        <v>-5.0000000000000711</v>
      </c>
      <c r="Q844">
        <f t="shared" si="113"/>
        <v>-4.9999999999999822</v>
      </c>
      <c r="R844">
        <f t="shared" si="114"/>
        <v>-4.0000000000000036</v>
      </c>
    </row>
    <row r="845" spans="1:18">
      <c r="A845" s="9">
        <v>37943</v>
      </c>
      <c r="B845">
        <v>1.47</v>
      </c>
      <c r="C845">
        <v>2.13</v>
      </c>
      <c r="D845">
        <v>2.72</v>
      </c>
      <c r="E845">
        <v>3.18</v>
      </c>
      <c r="F845">
        <v>3.55</v>
      </c>
      <c r="G845">
        <v>4.08</v>
      </c>
      <c r="H845">
        <v>4.58</v>
      </c>
      <c r="I845">
        <v>5.34</v>
      </c>
      <c r="K845">
        <f t="shared" si="107"/>
        <v>3.0000000000000027</v>
      </c>
      <c r="L845">
        <f t="shared" si="108"/>
        <v>4.0000000000000036</v>
      </c>
      <c r="M845">
        <f t="shared" si="109"/>
        <v>2.0000000000000018</v>
      </c>
      <c r="N845">
        <f t="shared" si="110"/>
        <v>2.0000000000000018</v>
      </c>
      <c r="O845">
        <f t="shared" si="111"/>
        <v>2.9999999999999805</v>
      </c>
      <c r="P845">
        <f t="shared" si="112"/>
        <v>2.0000000000000462</v>
      </c>
      <c r="Q845">
        <f t="shared" si="113"/>
        <v>0.99999999999997868</v>
      </c>
      <c r="R845">
        <f t="shared" si="114"/>
        <v>1.9999999999999574</v>
      </c>
    </row>
    <row r="846" spans="1:18">
      <c r="A846" s="9">
        <v>37944</v>
      </c>
      <c r="B846">
        <v>1.48</v>
      </c>
      <c r="C846">
        <v>2.15</v>
      </c>
      <c r="D846">
        <v>2.73</v>
      </c>
      <c r="E846">
        <v>3.18</v>
      </c>
      <c r="F846">
        <v>3.54</v>
      </c>
      <c r="G846">
        <v>4.0599999999999996</v>
      </c>
      <c r="H846">
        <v>4.5599999999999996</v>
      </c>
      <c r="I846">
        <v>5.34</v>
      </c>
      <c r="K846">
        <f t="shared" si="107"/>
        <v>1.0000000000000009</v>
      </c>
      <c r="L846">
        <f t="shared" si="108"/>
        <v>2.0000000000000018</v>
      </c>
      <c r="M846">
        <f t="shared" si="109"/>
        <v>0.99999999999997868</v>
      </c>
      <c r="N846">
        <f t="shared" si="110"/>
        <v>0</v>
      </c>
      <c r="O846">
        <f t="shared" si="111"/>
        <v>-0.99999999999997868</v>
      </c>
      <c r="P846">
        <f t="shared" si="112"/>
        <v>-2.0000000000000462</v>
      </c>
      <c r="Q846">
        <f t="shared" si="113"/>
        <v>-2.0000000000000462</v>
      </c>
      <c r="R846">
        <f t="shared" si="114"/>
        <v>0</v>
      </c>
    </row>
    <row r="847" spans="1:18">
      <c r="A847" s="9">
        <v>37945</v>
      </c>
      <c r="B847">
        <v>1.5</v>
      </c>
      <c r="C847">
        <v>2.2000000000000002</v>
      </c>
      <c r="D847">
        <v>2.79</v>
      </c>
      <c r="E847">
        <v>3.24</v>
      </c>
      <c r="F847">
        <v>3.6</v>
      </c>
      <c r="G847">
        <v>4.1100000000000003</v>
      </c>
      <c r="H847">
        <v>4.5999999999999996</v>
      </c>
      <c r="I847">
        <v>5.37</v>
      </c>
      <c r="K847">
        <f t="shared" si="107"/>
        <v>2.0000000000000018</v>
      </c>
      <c r="L847">
        <f t="shared" si="108"/>
        <v>5.0000000000000266</v>
      </c>
      <c r="M847">
        <f t="shared" si="109"/>
        <v>6.0000000000000053</v>
      </c>
      <c r="N847">
        <f t="shared" si="110"/>
        <v>6.0000000000000053</v>
      </c>
      <c r="O847">
        <f t="shared" si="111"/>
        <v>6.0000000000000053</v>
      </c>
      <c r="P847">
        <f t="shared" si="112"/>
        <v>5.0000000000000711</v>
      </c>
      <c r="Q847">
        <f t="shared" si="113"/>
        <v>4.0000000000000036</v>
      </c>
      <c r="R847">
        <f t="shared" si="114"/>
        <v>3.0000000000000249</v>
      </c>
    </row>
    <row r="848" spans="1:18">
      <c r="A848" s="9">
        <v>37946</v>
      </c>
      <c r="B848">
        <v>1.45</v>
      </c>
      <c r="C848">
        <v>2.11</v>
      </c>
      <c r="D848">
        <v>2.7</v>
      </c>
      <c r="E848">
        <v>3.14</v>
      </c>
      <c r="F848">
        <v>3.5</v>
      </c>
      <c r="G848">
        <v>4.0199999999999996</v>
      </c>
      <c r="H848">
        <v>4.51</v>
      </c>
      <c r="I848">
        <v>5.28</v>
      </c>
      <c r="K848">
        <f t="shared" si="107"/>
        <v>-5.0000000000000044</v>
      </c>
      <c r="L848">
        <f t="shared" si="108"/>
        <v>-9.0000000000000302</v>
      </c>
      <c r="M848">
        <f t="shared" si="109"/>
        <v>-8.9999999999999858</v>
      </c>
      <c r="N848">
        <f t="shared" si="110"/>
        <v>-10.000000000000009</v>
      </c>
      <c r="O848">
        <f t="shared" si="111"/>
        <v>-10.000000000000009</v>
      </c>
      <c r="P848">
        <f t="shared" si="112"/>
        <v>-9.0000000000000746</v>
      </c>
      <c r="Q848">
        <f t="shared" si="113"/>
        <v>-8.9999999999999858</v>
      </c>
      <c r="R848">
        <f t="shared" si="114"/>
        <v>-8.9999999999999858</v>
      </c>
    </row>
    <row r="849" spans="1:18">
      <c r="A849" s="9">
        <v>37949</v>
      </c>
      <c r="B849">
        <v>1.5</v>
      </c>
      <c r="C849">
        <v>2.21</v>
      </c>
      <c r="D849">
        <v>2.8</v>
      </c>
      <c r="E849">
        <v>3.25</v>
      </c>
      <c r="F849">
        <v>3.6</v>
      </c>
      <c r="G849">
        <v>4.1100000000000003</v>
      </c>
      <c r="H849">
        <v>4.59</v>
      </c>
      <c r="I849">
        <v>5.35</v>
      </c>
      <c r="K849">
        <f t="shared" si="107"/>
        <v>5.0000000000000044</v>
      </c>
      <c r="L849">
        <f t="shared" si="108"/>
        <v>10.000000000000009</v>
      </c>
      <c r="M849">
        <f t="shared" si="109"/>
        <v>9.9999999999999645</v>
      </c>
      <c r="N849">
        <f t="shared" si="110"/>
        <v>10.999999999999988</v>
      </c>
      <c r="O849">
        <f t="shared" si="111"/>
        <v>10.000000000000009</v>
      </c>
      <c r="P849">
        <f t="shared" si="112"/>
        <v>9.0000000000000746</v>
      </c>
      <c r="Q849">
        <f t="shared" si="113"/>
        <v>8.0000000000000071</v>
      </c>
      <c r="R849">
        <f t="shared" si="114"/>
        <v>6.9999999999999396</v>
      </c>
    </row>
    <row r="850" spans="1:18">
      <c r="A850" s="9">
        <v>37950</v>
      </c>
      <c r="B850">
        <v>1.51</v>
      </c>
      <c r="C850">
        <v>2.2200000000000002</v>
      </c>
      <c r="D850">
        <v>2.8</v>
      </c>
      <c r="E850">
        <v>3.25</v>
      </c>
      <c r="F850">
        <v>3.61</v>
      </c>
      <c r="G850">
        <v>4.1100000000000003</v>
      </c>
      <c r="H850">
        <v>4.59</v>
      </c>
      <c r="I850">
        <v>5.35</v>
      </c>
      <c r="K850">
        <f t="shared" si="107"/>
        <v>1.0000000000000009</v>
      </c>
      <c r="L850">
        <f t="shared" si="108"/>
        <v>1.0000000000000231</v>
      </c>
      <c r="M850">
        <f t="shared" si="109"/>
        <v>0</v>
      </c>
      <c r="N850">
        <f t="shared" si="110"/>
        <v>0</v>
      </c>
      <c r="O850">
        <f t="shared" si="111"/>
        <v>0.99999999999997868</v>
      </c>
      <c r="P850">
        <f t="shared" si="112"/>
        <v>0</v>
      </c>
      <c r="Q850">
        <f t="shared" si="113"/>
        <v>0</v>
      </c>
      <c r="R850">
        <f t="shared" si="114"/>
        <v>0</v>
      </c>
    </row>
    <row r="851" spans="1:18">
      <c r="A851" s="9">
        <v>37951</v>
      </c>
      <c r="B851">
        <v>1.52</v>
      </c>
      <c r="C851">
        <v>2.2200000000000002</v>
      </c>
      <c r="D851">
        <v>2.81</v>
      </c>
      <c r="E851">
        <v>3.26</v>
      </c>
      <c r="F851">
        <v>3.61</v>
      </c>
      <c r="G851">
        <v>4.0999999999999996</v>
      </c>
      <c r="H851">
        <v>4.58</v>
      </c>
      <c r="I851">
        <v>5.33</v>
      </c>
      <c r="K851">
        <f t="shared" si="107"/>
        <v>1.0000000000000009</v>
      </c>
      <c r="L851">
        <f t="shared" si="108"/>
        <v>0</v>
      </c>
      <c r="M851">
        <f t="shared" si="109"/>
        <v>1.0000000000000231</v>
      </c>
      <c r="N851">
        <f t="shared" si="110"/>
        <v>0.99999999999997868</v>
      </c>
      <c r="O851">
        <f t="shared" si="111"/>
        <v>0</v>
      </c>
      <c r="P851">
        <f t="shared" si="112"/>
        <v>-1.0000000000000675</v>
      </c>
      <c r="Q851">
        <f t="shared" si="113"/>
        <v>-0.99999999999997868</v>
      </c>
      <c r="R851">
        <f t="shared" si="114"/>
        <v>-1.9999999999999574</v>
      </c>
    </row>
    <row r="852" spans="1:18">
      <c r="A852" s="9">
        <v>37953</v>
      </c>
      <c r="B852">
        <v>1.6</v>
      </c>
      <c r="C852">
        <v>2.34</v>
      </c>
      <c r="D852">
        <v>2.94</v>
      </c>
      <c r="E852">
        <v>3.39</v>
      </c>
      <c r="F852">
        <v>3.74</v>
      </c>
      <c r="G852">
        <v>4.22</v>
      </c>
      <c r="H852">
        <v>4.7</v>
      </c>
      <c r="I852">
        <v>5.44</v>
      </c>
      <c r="K852">
        <f t="shared" si="107"/>
        <v>8.0000000000000071</v>
      </c>
      <c r="L852">
        <f t="shared" si="108"/>
        <v>11.999999999999966</v>
      </c>
      <c r="M852">
        <f t="shared" si="109"/>
        <v>12.999999999999989</v>
      </c>
      <c r="N852">
        <f t="shared" si="110"/>
        <v>13.000000000000034</v>
      </c>
      <c r="O852">
        <f t="shared" si="111"/>
        <v>13.000000000000034</v>
      </c>
      <c r="P852">
        <f t="shared" si="112"/>
        <v>12.000000000000011</v>
      </c>
      <c r="Q852">
        <f t="shared" si="113"/>
        <v>12.000000000000011</v>
      </c>
      <c r="R852">
        <f t="shared" si="114"/>
        <v>11.000000000000032</v>
      </c>
    </row>
    <row r="853" spans="1:18">
      <c r="A853" s="9">
        <v>37956</v>
      </c>
      <c r="B853">
        <v>1.65</v>
      </c>
      <c r="C853">
        <v>2.44</v>
      </c>
      <c r="D853">
        <v>3.05</v>
      </c>
      <c r="E853">
        <v>3.52</v>
      </c>
      <c r="F853">
        <v>3.88</v>
      </c>
      <c r="G853">
        <v>4.3600000000000003</v>
      </c>
      <c r="H853">
        <v>4.83</v>
      </c>
      <c r="I853">
        <v>5.52</v>
      </c>
      <c r="K853">
        <f t="shared" si="107"/>
        <v>4.9999999999999822</v>
      </c>
      <c r="L853">
        <f t="shared" si="108"/>
        <v>10.000000000000009</v>
      </c>
      <c r="M853">
        <f t="shared" si="109"/>
        <v>10.999999999999988</v>
      </c>
      <c r="N853">
        <f t="shared" si="110"/>
        <v>12.999999999999989</v>
      </c>
      <c r="O853">
        <f t="shared" si="111"/>
        <v>13.999999999999968</v>
      </c>
      <c r="P853">
        <f t="shared" si="112"/>
        <v>14.000000000000057</v>
      </c>
      <c r="Q853">
        <f t="shared" si="113"/>
        <v>12.999999999999989</v>
      </c>
      <c r="R853">
        <f t="shared" si="114"/>
        <v>7.9999999999999183</v>
      </c>
    </row>
    <row r="854" spans="1:18">
      <c r="A854" s="9">
        <v>37957</v>
      </c>
      <c r="B854">
        <v>1.64</v>
      </c>
      <c r="C854">
        <v>2.44</v>
      </c>
      <c r="D854">
        <v>3.05</v>
      </c>
      <c r="E854">
        <v>3.52</v>
      </c>
      <c r="F854">
        <v>3.87</v>
      </c>
      <c r="G854">
        <v>4.3499999999999996</v>
      </c>
      <c r="H854">
        <v>4.8099999999999996</v>
      </c>
      <c r="I854">
        <v>5.49</v>
      </c>
      <c r="K854">
        <f t="shared" si="107"/>
        <v>-1.0000000000000009</v>
      </c>
      <c r="L854">
        <f t="shared" si="108"/>
        <v>0</v>
      </c>
      <c r="M854">
        <f t="shared" si="109"/>
        <v>0</v>
      </c>
      <c r="N854">
        <f t="shared" si="110"/>
        <v>0</v>
      </c>
      <c r="O854">
        <f t="shared" si="111"/>
        <v>-0.99999999999997868</v>
      </c>
      <c r="P854">
        <f t="shared" si="112"/>
        <v>-1.0000000000000675</v>
      </c>
      <c r="Q854">
        <f t="shared" si="113"/>
        <v>-2.0000000000000462</v>
      </c>
      <c r="R854">
        <f t="shared" si="114"/>
        <v>-2.9999999999999361</v>
      </c>
    </row>
    <row r="855" spans="1:18">
      <c r="A855" s="9">
        <v>37958</v>
      </c>
      <c r="B855">
        <v>1.62</v>
      </c>
      <c r="C855">
        <v>2.38</v>
      </c>
      <c r="D855">
        <v>2.98</v>
      </c>
      <c r="E855">
        <v>3.44</v>
      </c>
      <c r="F855">
        <v>3.79</v>
      </c>
      <c r="G855">
        <v>4.29</v>
      </c>
      <c r="H855">
        <v>4.76</v>
      </c>
      <c r="I855">
        <v>5.46</v>
      </c>
      <c r="K855">
        <f t="shared" si="107"/>
        <v>-1.9999999999999796</v>
      </c>
      <c r="L855">
        <f t="shared" si="108"/>
        <v>-6.0000000000000053</v>
      </c>
      <c r="M855">
        <f t="shared" si="109"/>
        <v>-6.999999999999984</v>
      </c>
      <c r="N855">
        <f t="shared" si="110"/>
        <v>-8.0000000000000071</v>
      </c>
      <c r="O855">
        <f t="shared" si="111"/>
        <v>-8.0000000000000071</v>
      </c>
      <c r="P855">
        <f t="shared" si="112"/>
        <v>-5.9999999999999609</v>
      </c>
      <c r="Q855">
        <f t="shared" si="113"/>
        <v>-4.9999999999999822</v>
      </c>
      <c r="R855">
        <f t="shared" si="114"/>
        <v>-3.0000000000000249</v>
      </c>
    </row>
    <row r="856" spans="1:18">
      <c r="A856" s="9">
        <v>37959</v>
      </c>
      <c r="B856">
        <v>1.63</v>
      </c>
      <c r="C856">
        <v>2.41</v>
      </c>
      <c r="D856">
        <v>3.02</v>
      </c>
      <c r="E856">
        <v>3.48</v>
      </c>
      <c r="F856">
        <v>3.84</v>
      </c>
      <c r="G856">
        <v>4.32</v>
      </c>
      <c r="H856">
        <v>4.79</v>
      </c>
      <c r="I856">
        <v>5.48</v>
      </c>
      <c r="K856">
        <f t="shared" si="107"/>
        <v>0.99999999999997868</v>
      </c>
      <c r="L856">
        <f t="shared" si="108"/>
        <v>3.0000000000000249</v>
      </c>
      <c r="M856">
        <f t="shared" si="109"/>
        <v>4.0000000000000036</v>
      </c>
      <c r="N856">
        <f t="shared" si="110"/>
        <v>4.0000000000000036</v>
      </c>
      <c r="O856">
        <f t="shared" si="111"/>
        <v>4.9999999999999822</v>
      </c>
      <c r="P856">
        <f t="shared" si="112"/>
        <v>3.0000000000000249</v>
      </c>
      <c r="Q856">
        <f t="shared" si="113"/>
        <v>3.0000000000000249</v>
      </c>
      <c r="R856">
        <f t="shared" si="114"/>
        <v>2.0000000000000462</v>
      </c>
    </row>
    <row r="857" spans="1:18">
      <c r="A857" s="9">
        <v>37960</v>
      </c>
      <c r="B857">
        <v>1.5</v>
      </c>
      <c r="C857">
        <v>2.23</v>
      </c>
      <c r="D857">
        <v>2.83</v>
      </c>
      <c r="E857">
        <v>3.29</v>
      </c>
      <c r="F857">
        <v>3.65</v>
      </c>
      <c r="G857">
        <v>4.1500000000000004</v>
      </c>
      <c r="H857">
        <v>4.6399999999999997</v>
      </c>
      <c r="I857">
        <v>5.38</v>
      </c>
      <c r="K857">
        <f t="shared" si="107"/>
        <v>-12.999999999999989</v>
      </c>
      <c r="L857">
        <f t="shared" si="108"/>
        <v>-18.000000000000014</v>
      </c>
      <c r="M857">
        <f t="shared" si="109"/>
        <v>-18.999999999999993</v>
      </c>
      <c r="N857">
        <f t="shared" si="110"/>
        <v>-18.999999999999993</v>
      </c>
      <c r="O857">
        <f t="shared" si="111"/>
        <v>-18.999999999999993</v>
      </c>
      <c r="P857">
        <f t="shared" si="112"/>
        <v>-16.999999999999993</v>
      </c>
      <c r="Q857">
        <f t="shared" si="113"/>
        <v>-15.000000000000036</v>
      </c>
      <c r="R857">
        <f t="shared" si="114"/>
        <v>-10.000000000000053</v>
      </c>
    </row>
    <row r="858" spans="1:18">
      <c r="A858" s="9">
        <v>37963</v>
      </c>
      <c r="B858">
        <v>1.51</v>
      </c>
      <c r="C858">
        <v>2.2400000000000002</v>
      </c>
      <c r="D858">
        <v>2.84</v>
      </c>
      <c r="E858">
        <v>3.3</v>
      </c>
      <c r="F858">
        <v>3.64</v>
      </c>
      <c r="G858">
        <v>4.16</v>
      </c>
      <c r="H858">
        <v>4.6500000000000004</v>
      </c>
      <c r="I858">
        <v>5.4</v>
      </c>
      <c r="K858">
        <f t="shared" si="107"/>
        <v>1.0000000000000009</v>
      </c>
      <c r="L858">
        <f t="shared" si="108"/>
        <v>1.0000000000000231</v>
      </c>
      <c r="M858">
        <f t="shared" si="109"/>
        <v>0.99999999999997868</v>
      </c>
      <c r="N858">
        <f t="shared" si="110"/>
        <v>0.99999999999997868</v>
      </c>
      <c r="O858">
        <f t="shared" si="111"/>
        <v>-0.99999999999997868</v>
      </c>
      <c r="P858">
        <f t="shared" si="112"/>
        <v>0.99999999999997868</v>
      </c>
      <c r="Q858">
        <f t="shared" si="113"/>
        <v>1.0000000000000675</v>
      </c>
      <c r="R858">
        <f t="shared" si="114"/>
        <v>2.0000000000000462</v>
      </c>
    </row>
    <row r="859" spans="1:18">
      <c r="A859" s="9">
        <v>37964</v>
      </c>
      <c r="B859">
        <v>1.52</v>
      </c>
      <c r="C859">
        <v>2.2400000000000002</v>
      </c>
      <c r="D859">
        <v>2.83</v>
      </c>
      <c r="E859">
        <v>3.28</v>
      </c>
      <c r="F859">
        <v>3.63</v>
      </c>
      <c r="G859">
        <v>4.1399999999999997</v>
      </c>
      <c r="H859">
        <v>4.6399999999999997</v>
      </c>
      <c r="I859">
        <v>5.4</v>
      </c>
      <c r="K859">
        <f t="shared" si="107"/>
        <v>1.0000000000000009</v>
      </c>
      <c r="L859">
        <f t="shared" si="108"/>
        <v>0</v>
      </c>
      <c r="M859">
        <f t="shared" si="109"/>
        <v>-0.99999999999997868</v>
      </c>
      <c r="N859">
        <f t="shared" si="110"/>
        <v>-2.0000000000000018</v>
      </c>
      <c r="O859">
        <f t="shared" si="111"/>
        <v>-1.0000000000000231</v>
      </c>
      <c r="P859">
        <f t="shared" si="112"/>
        <v>-2.0000000000000462</v>
      </c>
      <c r="Q859">
        <f t="shared" si="113"/>
        <v>-1.0000000000000675</v>
      </c>
      <c r="R859">
        <f t="shared" si="114"/>
        <v>0</v>
      </c>
    </row>
    <row r="860" spans="1:18">
      <c r="A860" s="9">
        <v>37965</v>
      </c>
      <c r="B860">
        <v>1.52</v>
      </c>
      <c r="C860">
        <v>2.2599999999999998</v>
      </c>
      <c r="D860">
        <v>2.88</v>
      </c>
      <c r="E860">
        <v>3.34</v>
      </c>
      <c r="F860">
        <v>3.71</v>
      </c>
      <c r="G860">
        <v>4.21</v>
      </c>
      <c r="H860">
        <v>4.7</v>
      </c>
      <c r="I860">
        <v>5.45</v>
      </c>
      <c r="K860">
        <f t="shared" si="107"/>
        <v>0</v>
      </c>
      <c r="L860">
        <f t="shared" si="108"/>
        <v>1.9999999999999574</v>
      </c>
      <c r="M860">
        <f t="shared" si="109"/>
        <v>4.9999999999999822</v>
      </c>
      <c r="N860">
        <f t="shared" si="110"/>
        <v>6.0000000000000053</v>
      </c>
      <c r="O860">
        <f t="shared" si="111"/>
        <v>8.0000000000000071</v>
      </c>
      <c r="P860">
        <f t="shared" si="112"/>
        <v>7.0000000000000284</v>
      </c>
      <c r="Q860">
        <f t="shared" si="113"/>
        <v>6.0000000000000497</v>
      </c>
      <c r="R860">
        <f t="shared" si="114"/>
        <v>4.9999999999999822</v>
      </c>
    </row>
    <row r="861" spans="1:18">
      <c r="A861" s="9">
        <v>37966</v>
      </c>
      <c r="B861">
        <v>1.52</v>
      </c>
      <c r="C861">
        <v>2.2599999999999998</v>
      </c>
      <c r="D861">
        <v>2.87</v>
      </c>
      <c r="E861">
        <v>3.34</v>
      </c>
      <c r="F861">
        <v>3.7</v>
      </c>
      <c r="G861">
        <v>4.22</v>
      </c>
      <c r="H861">
        <v>4.72</v>
      </c>
      <c r="I861">
        <v>5.47</v>
      </c>
      <c r="K861">
        <f t="shared" si="107"/>
        <v>0</v>
      </c>
      <c r="L861">
        <f t="shared" si="108"/>
        <v>0</v>
      </c>
      <c r="M861">
        <f t="shared" si="109"/>
        <v>-0.99999999999997868</v>
      </c>
      <c r="N861">
        <f t="shared" si="110"/>
        <v>0</v>
      </c>
      <c r="O861">
        <f t="shared" si="111"/>
        <v>-0.99999999999997868</v>
      </c>
      <c r="P861">
        <f t="shared" si="112"/>
        <v>0.99999999999997868</v>
      </c>
      <c r="Q861">
        <f t="shared" si="113"/>
        <v>1.9999999999999574</v>
      </c>
      <c r="R861">
        <f t="shared" si="114"/>
        <v>1.9999999999999574</v>
      </c>
    </row>
    <row r="862" spans="1:18">
      <c r="A862" s="9">
        <v>37967</v>
      </c>
      <c r="B862">
        <v>1.42</v>
      </c>
      <c r="C862">
        <v>2.09</v>
      </c>
      <c r="D862">
        <v>2.68</v>
      </c>
      <c r="E862">
        <v>3.14</v>
      </c>
      <c r="F862">
        <v>3.51</v>
      </c>
      <c r="G862">
        <v>4.04</v>
      </c>
      <c r="H862">
        <v>4.57</v>
      </c>
      <c r="I862">
        <v>5.36</v>
      </c>
      <c r="K862">
        <f t="shared" si="107"/>
        <v>-10.000000000000009</v>
      </c>
      <c r="L862">
        <f t="shared" si="108"/>
        <v>-16.999999999999993</v>
      </c>
      <c r="M862">
        <f t="shared" si="109"/>
        <v>-18.999999999999993</v>
      </c>
      <c r="N862">
        <f t="shared" si="110"/>
        <v>-19.999999999999972</v>
      </c>
      <c r="O862">
        <f t="shared" si="111"/>
        <v>-19.000000000000039</v>
      </c>
      <c r="P862">
        <f t="shared" si="112"/>
        <v>-17.999999999999972</v>
      </c>
      <c r="Q862">
        <f t="shared" si="113"/>
        <v>-14.999999999999947</v>
      </c>
      <c r="R862">
        <f t="shared" si="114"/>
        <v>-10.999999999999943</v>
      </c>
    </row>
    <row r="863" spans="1:18">
      <c r="A863" s="9">
        <v>37970</v>
      </c>
      <c r="B863">
        <v>1.46</v>
      </c>
      <c r="C863">
        <v>2.15</v>
      </c>
      <c r="D863">
        <v>2.75</v>
      </c>
      <c r="E863">
        <v>3.22</v>
      </c>
      <c r="F863">
        <v>3.58</v>
      </c>
      <c r="G863">
        <v>4.1100000000000003</v>
      </c>
      <c r="H863">
        <v>4.63</v>
      </c>
      <c r="I863">
        <v>5.39</v>
      </c>
      <c r="K863">
        <f t="shared" si="107"/>
        <v>4.0000000000000036</v>
      </c>
      <c r="L863">
        <f t="shared" si="108"/>
        <v>6.0000000000000053</v>
      </c>
      <c r="M863">
        <f t="shared" si="109"/>
        <v>6.999999999999984</v>
      </c>
      <c r="N863">
        <f t="shared" si="110"/>
        <v>8.0000000000000071</v>
      </c>
      <c r="O863">
        <f t="shared" si="111"/>
        <v>7.0000000000000284</v>
      </c>
      <c r="P863">
        <f t="shared" si="112"/>
        <v>7.0000000000000284</v>
      </c>
      <c r="Q863">
        <f t="shared" si="113"/>
        <v>5.9999999999999609</v>
      </c>
      <c r="R863">
        <f t="shared" si="114"/>
        <v>2.9999999999999361</v>
      </c>
    </row>
    <row r="864" spans="1:18">
      <c r="A864" s="9">
        <v>37971</v>
      </c>
      <c r="B864">
        <v>1.46</v>
      </c>
      <c r="C864">
        <v>2.16</v>
      </c>
      <c r="D864">
        <v>2.76</v>
      </c>
      <c r="E864">
        <v>3.23</v>
      </c>
      <c r="F864">
        <v>3.6</v>
      </c>
      <c r="G864">
        <v>4.13</v>
      </c>
      <c r="H864">
        <v>4.63</v>
      </c>
      <c r="I864">
        <v>5.4</v>
      </c>
      <c r="K864">
        <f t="shared" si="107"/>
        <v>0</v>
      </c>
      <c r="L864">
        <f t="shared" si="108"/>
        <v>1.0000000000000231</v>
      </c>
      <c r="M864">
        <f t="shared" si="109"/>
        <v>0.99999999999997868</v>
      </c>
      <c r="N864">
        <f t="shared" si="110"/>
        <v>0.99999999999997868</v>
      </c>
      <c r="O864">
        <f t="shared" si="111"/>
        <v>2.0000000000000018</v>
      </c>
      <c r="P864">
        <f t="shared" si="112"/>
        <v>1.9999999999999574</v>
      </c>
      <c r="Q864">
        <f t="shared" si="113"/>
        <v>0</v>
      </c>
      <c r="R864">
        <f t="shared" si="114"/>
        <v>1.0000000000000675</v>
      </c>
    </row>
    <row r="865" spans="1:18">
      <c r="A865" s="9">
        <v>37972</v>
      </c>
      <c r="B865">
        <v>1.44</v>
      </c>
      <c r="C865">
        <v>2.11</v>
      </c>
      <c r="D865">
        <v>2.7</v>
      </c>
      <c r="E865">
        <v>3.16</v>
      </c>
      <c r="F865">
        <v>3.52</v>
      </c>
      <c r="G865">
        <v>4.05</v>
      </c>
      <c r="H865">
        <v>4.54</v>
      </c>
      <c r="I865">
        <v>5.33</v>
      </c>
      <c r="K865">
        <f t="shared" si="107"/>
        <v>-2.0000000000000018</v>
      </c>
      <c r="L865">
        <f t="shared" si="108"/>
        <v>-5.0000000000000266</v>
      </c>
      <c r="M865">
        <f t="shared" si="109"/>
        <v>-5.9999999999999609</v>
      </c>
      <c r="N865">
        <f t="shared" si="110"/>
        <v>-6.999999999999984</v>
      </c>
      <c r="O865">
        <f t="shared" si="111"/>
        <v>-8.0000000000000071</v>
      </c>
      <c r="P865">
        <f t="shared" si="112"/>
        <v>-8.0000000000000071</v>
      </c>
      <c r="Q865">
        <f t="shared" si="113"/>
        <v>-8.9999999999999858</v>
      </c>
      <c r="R865">
        <f t="shared" si="114"/>
        <v>-7.0000000000000284</v>
      </c>
    </row>
    <row r="866" spans="1:18">
      <c r="A866" s="9">
        <v>37973</v>
      </c>
      <c r="B866">
        <v>1.47</v>
      </c>
      <c r="C866">
        <v>2.17</v>
      </c>
      <c r="D866">
        <v>2.77</v>
      </c>
      <c r="E866">
        <v>3.21</v>
      </c>
      <c r="F866">
        <v>3.56</v>
      </c>
      <c r="G866">
        <v>4.0599999999999996</v>
      </c>
      <c r="H866">
        <v>4.54</v>
      </c>
      <c r="I866">
        <v>5.31</v>
      </c>
      <c r="K866">
        <f t="shared" si="107"/>
        <v>3.0000000000000027</v>
      </c>
      <c r="L866">
        <f t="shared" si="108"/>
        <v>6.0000000000000053</v>
      </c>
      <c r="M866">
        <f t="shared" si="109"/>
        <v>6.999999999999984</v>
      </c>
      <c r="N866">
        <f t="shared" si="110"/>
        <v>4.9999999999999822</v>
      </c>
      <c r="O866">
        <f t="shared" si="111"/>
        <v>4.0000000000000036</v>
      </c>
      <c r="P866">
        <f t="shared" si="112"/>
        <v>0.99999999999997868</v>
      </c>
      <c r="Q866">
        <f t="shared" si="113"/>
        <v>0</v>
      </c>
      <c r="R866">
        <f t="shared" si="114"/>
        <v>-2.0000000000000462</v>
      </c>
    </row>
    <row r="867" spans="1:18">
      <c r="A867" s="9">
        <v>37974</v>
      </c>
      <c r="B867">
        <v>1.48</v>
      </c>
      <c r="C867">
        <v>2.1800000000000002</v>
      </c>
      <c r="D867">
        <v>2.79</v>
      </c>
      <c r="E867">
        <v>3.23</v>
      </c>
      <c r="F867">
        <v>3.58</v>
      </c>
      <c r="G867">
        <v>4.07</v>
      </c>
      <c r="H867">
        <v>4.54</v>
      </c>
      <c r="I867">
        <v>5.28</v>
      </c>
      <c r="K867">
        <f t="shared" si="107"/>
        <v>1.0000000000000009</v>
      </c>
      <c r="L867">
        <f t="shared" si="108"/>
        <v>1.0000000000000231</v>
      </c>
      <c r="M867">
        <f t="shared" si="109"/>
        <v>2.0000000000000018</v>
      </c>
      <c r="N867">
        <f t="shared" si="110"/>
        <v>2.0000000000000018</v>
      </c>
      <c r="O867">
        <f t="shared" si="111"/>
        <v>2.0000000000000018</v>
      </c>
      <c r="P867">
        <f t="shared" si="112"/>
        <v>1.0000000000000675</v>
      </c>
      <c r="Q867">
        <f t="shared" si="113"/>
        <v>0</v>
      </c>
      <c r="R867">
        <f t="shared" si="114"/>
        <v>-2.9999999999999361</v>
      </c>
    </row>
    <row r="868" spans="1:18">
      <c r="A868" s="9">
        <v>37977</v>
      </c>
      <c r="B868">
        <v>1.46</v>
      </c>
      <c r="C868">
        <v>2.16</v>
      </c>
      <c r="D868">
        <v>2.75</v>
      </c>
      <c r="E868">
        <v>3.21</v>
      </c>
      <c r="F868">
        <v>3.58</v>
      </c>
      <c r="G868">
        <v>4.07</v>
      </c>
      <c r="H868">
        <v>4.54</v>
      </c>
      <c r="I868">
        <v>5.27</v>
      </c>
      <c r="K868">
        <f t="shared" si="107"/>
        <v>-2.0000000000000018</v>
      </c>
      <c r="L868">
        <f t="shared" si="108"/>
        <v>-2.0000000000000018</v>
      </c>
      <c r="M868">
        <f t="shared" si="109"/>
        <v>-4.0000000000000036</v>
      </c>
      <c r="N868">
        <f t="shared" si="110"/>
        <v>-2.0000000000000018</v>
      </c>
      <c r="O868">
        <f t="shared" si="111"/>
        <v>0</v>
      </c>
      <c r="P868">
        <f t="shared" si="112"/>
        <v>0</v>
      </c>
      <c r="Q868">
        <f t="shared" si="113"/>
        <v>0</v>
      </c>
      <c r="R868">
        <f t="shared" si="114"/>
        <v>-1.0000000000000675</v>
      </c>
    </row>
    <row r="869" spans="1:18">
      <c r="A869" s="9">
        <v>37978</v>
      </c>
      <c r="B869">
        <v>1.48</v>
      </c>
      <c r="C869">
        <v>2.21</v>
      </c>
      <c r="D869">
        <v>2.82</v>
      </c>
      <c r="E869">
        <v>3.28</v>
      </c>
      <c r="F869">
        <v>3.65</v>
      </c>
      <c r="G869">
        <v>4.1399999999999997</v>
      </c>
      <c r="H869">
        <v>4.6100000000000003</v>
      </c>
      <c r="I869">
        <v>5.32</v>
      </c>
      <c r="K869">
        <f t="shared" si="107"/>
        <v>2.0000000000000018</v>
      </c>
      <c r="L869">
        <f t="shared" si="108"/>
        <v>4.9999999999999822</v>
      </c>
      <c r="M869">
        <f t="shared" si="109"/>
        <v>6.999999999999984</v>
      </c>
      <c r="N869">
        <f t="shared" si="110"/>
        <v>6.999999999999984</v>
      </c>
      <c r="O869">
        <f t="shared" si="111"/>
        <v>6.999999999999984</v>
      </c>
      <c r="P869">
        <f t="shared" si="112"/>
        <v>6.9999999999999396</v>
      </c>
      <c r="Q869">
        <f t="shared" si="113"/>
        <v>7.0000000000000284</v>
      </c>
      <c r="R869">
        <f t="shared" si="114"/>
        <v>5.0000000000000711</v>
      </c>
    </row>
    <row r="870" spans="1:18">
      <c r="A870" s="9">
        <v>37979</v>
      </c>
      <c r="B870">
        <v>1.47</v>
      </c>
      <c r="C870">
        <v>2.2000000000000002</v>
      </c>
      <c r="D870">
        <v>2.8</v>
      </c>
      <c r="E870">
        <v>3.28</v>
      </c>
      <c r="F870">
        <v>3.65</v>
      </c>
      <c r="G870">
        <v>4.1399999999999997</v>
      </c>
      <c r="H870">
        <v>4.62</v>
      </c>
      <c r="I870">
        <v>5.35</v>
      </c>
      <c r="K870">
        <f t="shared" si="107"/>
        <v>-1.0000000000000009</v>
      </c>
      <c r="L870">
        <f t="shared" si="108"/>
        <v>-0.99999999999997868</v>
      </c>
      <c r="M870">
        <f t="shared" si="109"/>
        <v>-2.0000000000000018</v>
      </c>
      <c r="N870">
        <f t="shared" si="110"/>
        <v>0</v>
      </c>
      <c r="O870">
        <f t="shared" si="111"/>
        <v>0</v>
      </c>
      <c r="P870">
        <f t="shared" si="112"/>
        <v>0</v>
      </c>
      <c r="Q870">
        <f t="shared" si="113"/>
        <v>0.99999999999997868</v>
      </c>
      <c r="R870">
        <f t="shared" si="114"/>
        <v>2.9999999999999361</v>
      </c>
    </row>
    <row r="871" spans="1:18">
      <c r="A871" s="9">
        <v>37981</v>
      </c>
      <c r="B871">
        <v>1.45</v>
      </c>
      <c r="C871">
        <v>2.13</v>
      </c>
      <c r="D871">
        <v>2.73</v>
      </c>
      <c r="E871">
        <v>3.2</v>
      </c>
      <c r="F871">
        <v>3.57</v>
      </c>
      <c r="G871">
        <v>4.07</v>
      </c>
      <c r="H871">
        <v>4.55</v>
      </c>
      <c r="I871">
        <v>5.3</v>
      </c>
      <c r="K871">
        <f t="shared" si="107"/>
        <v>-2.0000000000000018</v>
      </c>
      <c r="L871">
        <f t="shared" si="108"/>
        <v>-7.0000000000000284</v>
      </c>
      <c r="M871">
        <f t="shared" si="109"/>
        <v>-6.999999999999984</v>
      </c>
      <c r="N871">
        <f t="shared" si="110"/>
        <v>-7.9999999999999627</v>
      </c>
      <c r="O871">
        <f t="shared" si="111"/>
        <v>-8.0000000000000071</v>
      </c>
      <c r="P871">
        <f t="shared" si="112"/>
        <v>-6.9999999999999396</v>
      </c>
      <c r="Q871">
        <f t="shared" si="113"/>
        <v>-7.0000000000000284</v>
      </c>
      <c r="R871">
        <f t="shared" si="114"/>
        <v>-4.9999999999999822</v>
      </c>
    </row>
    <row r="872" spans="1:18">
      <c r="A872" s="9">
        <v>37984</v>
      </c>
      <c r="B872">
        <v>1.46</v>
      </c>
      <c r="C872">
        <v>2.15</v>
      </c>
      <c r="D872">
        <v>2.76</v>
      </c>
      <c r="E872">
        <v>3.24</v>
      </c>
      <c r="F872">
        <v>3.62</v>
      </c>
      <c r="G872">
        <v>4.12</v>
      </c>
      <c r="H872">
        <v>4.5999999999999996</v>
      </c>
      <c r="I872">
        <v>5.33</v>
      </c>
      <c r="K872">
        <f t="shared" si="107"/>
        <v>1.0000000000000009</v>
      </c>
      <c r="L872">
        <f t="shared" si="108"/>
        <v>2.0000000000000018</v>
      </c>
      <c r="M872">
        <f t="shared" si="109"/>
        <v>2.9999999999999805</v>
      </c>
      <c r="N872">
        <f t="shared" si="110"/>
        <v>4.0000000000000036</v>
      </c>
      <c r="O872">
        <f t="shared" si="111"/>
        <v>5.0000000000000266</v>
      </c>
      <c r="P872">
        <f t="shared" si="112"/>
        <v>4.9999999999999822</v>
      </c>
      <c r="Q872">
        <f t="shared" si="113"/>
        <v>4.9999999999999822</v>
      </c>
      <c r="R872">
        <f t="shared" si="114"/>
        <v>3.0000000000000249</v>
      </c>
    </row>
    <row r="873" spans="1:18">
      <c r="A873" s="9">
        <v>37985</v>
      </c>
      <c r="B873">
        <v>1.46</v>
      </c>
      <c r="C873">
        <v>2.16</v>
      </c>
      <c r="D873">
        <v>2.77</v>
      </c>
      <c r="E873">
        <v>3.26</v>
      </c>
      <c r="F873">
        <v>3.65</v>
      </c>
      <c r="G873">
        <v>4.16</v>
      </c>
      <c r="H873">
        <v>4.6500000000000004</v>
      </c>
      <c r="I873">
        <v>5.37</v>
      </c>
      <c r="K873">
        <f t="shared" si="107"/>
        <v>0</v>
      </c>
      <c r="L873">
        <f t="shared" si="108"/>
        <v>1.0000000000000231</v>
      </c>
      <c r="M873">
        <f t="shared" si="109"/>
        <v>1.0000000000000231</v>
      </c>
      <c r="N873">
        <f t="shared" si="110"/>
        <v>1.9999999999999574</v>
      </c>
      <c r="O873">
        <f t="shared" si="111"/>
        <v>2.9999999999999805</v>
      </c>
      <c r="P873">
        <f t="shared" si="112"/>
        <v>4.0000000000000036</v>
      </c>
      <c r="Q873">
        <f t="shared" si="113"/>
        <v>5.0000000000000711</v>
      </c>
      <c r="R873">
        <f t="shared" si="114"/>
        <v>4.0000000000000036</v>
      </c>
    </row>
    <row r="874" spans="1:18">
      <c r="A874" s="9">
        <v>37986</v>
      </c>
      <c r="B874">
        <v>1.47</v>
      </c>
      <c r="C874">
        <v>2.16</v>
      </c>
      <c r="D874">
        <v>2.77</v>
      </c>
      <c r="E874">
        <v>3.26</v>
      </c>
      <c r="F874">
        <v>3.65</v>
      </c>
      <c r="G874">
        <v>4.16</v>
      </c>
      <c r="H874">
        <v>4.66</v>
      </c>
      <c r="I874">
        <v>5.4</v>
      </c>
      <c r="K874">
        <f t="shared" si="107"/>
        <v>1.0000000000000009</v>
      </c>
      <c r="L874">
        <f t="shared" si="108"/>
        <v>0</v>
      </c>
      <c r="M874">
        <f t="shared" si="109"/>
        <v>0</v>
      </c>
      <c r="N874">
        <f t="shared" si="110"/>
        <v>0</v>
      </c>
      <c r="O874">
        <f t="shared" si="111"/>
        <v>0</v>
      </c>
      <c r="P874">
        <f t="shared" si="112"/>
        <v>0</v>
      </c>
      <c r="Q874">
        <f t="shared" si="113"/>
        <v>0.99999999999997868</v>
      </c>
      <c r="R874">
        <f t="shared" si="114"/>
        <v>3.0000000000000249</v>
      </c>
    </row>
    <row r="875" spans="1:18">
      <c r="A875" s="9">
        <v>37988</v>
      </c>
      <c r="B875">
        <v>1.53</v>
      </c>
      <c r="C875">
        <v>2.27</v>
      </c>
      <c r="D875">
        <v>2.89</v>
      </c>
      <c r="E875">
        <v>3.39</v>
      </c>
      <c r="F875">
        <v>3.79</v>
      </c>
      <c r="G875">
        <v>4.29</v>
      </c>
      <c r="H875">
        <v>4.78</v>
      </c>
      <c r="I875">
        <v>5.49</v>
      </c>
      <c r="K875">
        <f t="shared" si="107"/>
        <v>6.0000000000000053</v>
      </c>
      <c r="L875">
        <f t="shared" si="108"/>
        <v>10.999999999999988</v>
      </c>
      <c r="M875">
        <f t="shared" si="109"/>
        <v>12.000000000000011</v>
      </c>
      <c r="N875">
        <f t="shared" si="110"/>
        <v>13.000000000000034</v>
      </c>
      <c r="O875">
        <f t="shared" si="111"/>
        <v>14.000000000000012</v>
      </c>
      <c r="P875">
        <f t="shared" si="112"/>
        <v>12.999999999999989</v>
      </c>
      <c r="Q875">
        <f t="shared" si="113"/>
        <v>12.000000000000011</v>
      </c>
      <c r="R875">
        <f t="shared" si="114"/>
        <v>8.9999999999999858</v>
      </c>
    </row>
    <row r="876" spans="1:18">
      <c r="A876" s="9">
        <v>37991</v>
      </c>
      <c r="B876">
        <v>1.53</v>
      </c>
      <c r="C876">
        <v>2.2799999999999998</v>
      </c>
      <c r="D876">
        <v>2.91</v>
      </c>
      <c r="E876">
        <v>3.4</v>
      </c>
      <c r="F876">
        <v>3.79</v>
      </c>
      <c r="G876">
        <v>4.3</v>
      </c>
      <c r="H876">
        <v>4.79</v>
      </c>
      <c r="I876">
        <v>5.51</v>
      </c>
      <c r="K876">
        <f t="shared" si="107"/>
        <v>0</v>
      </c>
      <c r="L876">
        <f t="shared" si="108"/>
        <v>0.99999999999997868</v>
      </c>
      <c r="M876">
        <f t="shared" si="109"/>
        <v>2.0000000000000018</v>
      </c>
      <c r="N876">
        <f t="shared" si="110"/>
        <v>0.99999999999997868</v>
      </c>
      <c r="O876">
        <f t="shared" si="111"/>
        <v>0</v>
      </c>
      <c r="P876">
        <f t="shared" si="112"/>
        <v>0.99999999999997868</v>
      </c>
      <c r="Q876">
        <f t="shared" si="113"/>
        <v>0.99999999999997868</v>
      </c>
      <c r="R876">
        <f t="shared" si="114"/>
        <v>1.9999999999999574</v>
      </c>
    </row>
    <row r="877" spans="1:18">
      <c r="A877" s="9">
        <v>37992</v>
      </c>
      <c r="B877">
        <v>1.49</v>
      </c>
      <c r="C877">
        <v>2.19</v>
      </c>
      <c r="D877">
        <v>2.8</v>
      </c>
      <c r="E877">
        <v>3.28</v>
      </c>
      <c r="F877">
        <v>3.67</v>
      </c>
      <c r="G877">
        <v>4.1900000000000004</v>
      </c>
      <c r="H877">
        <v>4.68</v>
      </c>
      <c r="I877">
        <v>5.41</v>
      </c>
      <c r="K877">
        <f t="shared" si="107"/>
        <v>-4.0000000000000036</v>
      </c>
      <c r="L877">
        <f t="shared" si="108"/>
        <v>-8.9999999999999858</v>
      </c>
      <c r="M877">
        <f t="shared" si="109"/>
        <v>-11.000000000000032</v>
      </c>
      <c r="N877">
        <f t="shared" si="110"/>
        <v>-12.000000000000011</v>
      </c>
      <c r="O877">
        <f t="shared" si="111"/>
        <v>-12.000000000000011</v>
      </c>
      <c r="P877">
        <f t="shared" si="112"/>
        <v>-10.999999999999943</v>
      </c>
      <c r="Q877">
        <f t="shared" si="113"/>
        <v>-11.000000000000032</v>
      </c>
      <c r="R877">
        <f t="shared" si="114"/>
        <v>-9.9999999999999645</v>
      </c>
    </row>
    <row r="878" spans="1:18">
      <c r="A878" s="9">
        <v>37993</v>
      </c>
      <c r="B878">
        <v>1.47</v>
      </c>
      <c r="C878">
        <v>2.15</v>
      </c>
      <c r="D878">
        <v>2.76</v>
      </c>
      <c r="E878">
        <v>3.24</v>
      </c>
      <c r="F878">
        <v>3.62</v>
      </c>
      <c r="G878">
        <v>4.1399999999999997</v>
      </c>
      <c r="H878">
        <v>4.6399999999999997</v>
      </c>
      <c r="I878">
        <v>5.4</v>
      </c>
      <c r="K878">
        <f t="shared" si="107"/>
        <v>-2.0000000000000018</v>
      </c>
      <c r="L878">
        <f t="shared" si="108"/>
        <v>-4.0000000000000036</v>
      </c>
      <c r="M878">
        <f t="shared" si="109"/>
        <v>-4.0000000000000036</v>
      </c>
      <c r="N878">
        <f t="shared" si="110"/>
        <v>-3.9999999999999591</v>
      </c>
      <c r="O878">
        <f t="shared" si="111"/>
        <v>-4.9999999999999822</v>
      </c>
      <c r="P878">
        <f t="shared" si="112"/>
        <v>-5.0000000000000711</v>
      </c>
      <c r="Q878">
        <f t="shared" si="113"/>
        <v>-4.0000000000000036</v>
      </c>
      <c r="R878">
        <f t="shared" si="114"/>
        <v>-0.99999999999997868</v>
      </c>
    </row>
    <row r="879" spans="1:18">
      <c r="A879" s="9">
        <v>37994</v>
      </c>
      <c r="B879">
        <v>1.48</v>
      </c>
      <c r="C879">
        <v>2.17</v>
      </c>
      <c r="D879">
        <v>2.77</v>
      </c>
      <c r="E879">
        <v>3.24</v>
      </c>
      <c r="F879">
        <v>3.62</v>
      </c>
      <c r="G879">
        <v>4.1399999999999997</v>
      </c>
      <c r="H879">
        <v>4.63</v>
      </c>
      <c r="I879">
        <v>5.39</v>
      </c>
      <c r="K879">
        <f t="shared" si="107"/>
        <v>1.0000000000000009</v>
      </c>
      <c r="L879">
        <f t="shared" si="108"/>
        <v>2.0000000000000018</v>
      </c>
      <c r="M879">
        <f t="shared" si="109"/>
        <v>1.0000000000000231</v>
      </c>
      <c r="N879">
        <f t="shared" si="110"/>
        <v>0</v>
      </c>
      <c r="O879">
        <f t="shared" si="111"/>
        <v>0</v>
      </c>
      <c r="P879">
        <f t="shared" si="112"/>
        <v>0</v>
      </c>
      <c r="Q879">
        <f t="shared" si="113"/>
        <v>-0.99999999999997868</v>
      </c>
      <c r="R879">
        <f t="shared" si="114"/>
        <v>-1.0000000000000675</v>
      </c>
    </row>
    <row r="880" spans="1:18">
      <c r="A880" s="9">
        <v>37995</v>
      </c>
      <c r="B880">
        <v>1.37</v>
      </c>
      <c r="C880">
        <v>2</v>
      </c>
      <c r="D880">
        <v>2.59</v>
      </c>
      <c r="E880">
        <v>3.07</v>
      </c>
      <c r="F880">
        <v>3.44</v>
      </c>
      <c r="G880">
        <v>3.98</v>
      </c>
      <c r="H880">
        <v>4.4800000000000004</v>
      </c>
      <c r="I880">
        <v>5.28</v>
      </c>
      <c r="K880">
        <f t="shared" si="107"/>
        <v>-10.999999999999988</v>
      </c>
      <c r="L880">
        <f t="shared" si="108"/>
        <v>-16.999999999999993</v>
      </c>
      <c r="M880">
        <f t="shared" si="109"/>
        <v>-18.000000000000014</v>
      </c>
      <c r="N880">
        <f t="shared" si="110"/>
        <v>-17.000000000000036</v>
      </c>
      <c r="O880">
        <f t="shared" si="111"/>
        <v>-18.000000000000014</v>
      </c>
      <c r="P880">
        <f t="shared" si="112"/>
        <v>-15.99999999999997</v>
      </c>
      <c r="Q880">
        <f t="shared" si="113"/>
        <v>-14.999999999999947</v>
      </c>
      <c r="R880">
        <f t="shared" si="114"/>
        <v>-10.999999999999943</v>
      </c>
    </row>
    <row r="881" spans="1:18">
      <c r="A881" s="9">
        <v>37998</v>
      </c>
      <c r="B881">
        <v>1.34</v>
      </c>
      <c r="C881">
        <v>1.95</v>
      </c>
      <c r="D881">
        <v>2.5299999999999998</v>
      </c>
      <c r="E881">
        <v>2.99</v>
      </c>
      <c r="F881">
        <v>3.37</v>
      </c>
      <c r="G881">
        <v>3.91</v>
      </c>
      <c r="H881">
        <v>4.43</v>
      </c>
      <c r="I881">
        <v>5.24</v>
      </c>
      <c r="K881">
        <f t="shared" si="107"/>
        <v>-3.0000000000000027</v>
      </c>
      <c r="L881">
        <f t="shared" si="108"/>
        <v>-5.0000000000000044</v>
      </c>
      <c r="M881">
        <f t="shared" si="109"/>
        <v>-6.0000000000000053</v>
      </c>
      <c r="N881">
        <f t="shared" si="110"/>
        <v>-7.9999999999999627</v>
      </c>
      <c r="O881">
        <f t="shared" si="111"/>
        <v>-6.999999999999984</v>
      </c>
      <c r="P881">
        <f t="shared" si="112"/>
        <v>-6.999999999999984</v>
      </c>
      <c r="Q881">
        <f t="shared" si="113"/>
        <v>-5.0000000000000711</v>
      </c>
      <c r="R881">
        <f t="shared" si="114"/>
        <v>-4.0000000000000036</v>
      </c>
    </row>
    <row r="882" spans="1:18">
      <c r="A882" s="9">
        <v>37999</v>
      </c>
      <c r="B882">
        <v>1.35</v>
      </c>
      <c r="C882">
        <v>1.95</v>
      </c>
      <c r="D882">
        <v>2.5299999999999998</v>
      </c>
      <c r="E882">
        <v>3.01</v>
      </c>
      <c r="F882">
        <v>3.39</v>
      </c>
      <c r="G882">
        <v>3.93</v>
      </c>
      <c r="H882">
        <v>4.45</v>
      </c>
      <c r="I882">
        <v>5.29</v>
      </c>
      <c r="K882">
        <f t="shared" si="107"/>
        <v>1.0000000000000009</v>
      </c>
      <c r="L882">
        <f t="shared" si="108"/>
        <v>0</v>
      </c>
      <c r="M882">
        <f t="shared" si="109"/>
        <v>0</v>
      </c>
      <c r="N882">
        <f t="shared" si="110"/>
        <v>1.9999999999999574</v>
      </c>
      <c r="O882">
        <f t="shared" si="111"/>
        <v>2.0000000000000018</v>
      </c>
      <c r="P882">
        <f t="shared" si="112"/>
        <v>2.0000000000000018</v>
      </c>
      <c r="Q882">
        <f t="shared" si="113"/>
        <v>2.0000000000000462</v>
      </c>
      <c r="R882">
        <f t="shared" si="114"/>
        <v>4.9999999999999822</v>
      </c>
    </row>
    <row r="883" spans="1:18">
      <c r="A883" s="9">
        <v>38000</v>
      </c>
      <c r="B883">
        <v>1.36</v>
      </c>
      <c r="C883">
        <v>1.97</v>
      </c>
      <c r="D883">
        <v>2.5299999999999998</v>
      </c>
      <c r="E883">
        <v>2.99</v>
      </c>
      <c r="F883">
        <v>3.36</v>
      </c>
      <c r="G883">
        <v>3.89</v>
      </c>
      <c r="H883">
        <v>4.41</v>
      </c>
      <c r="I883">
        <v>5.24</v>
      </c>
      <c r="K883">
        <f t="shared" si="107"/>
        <v>1.0000000000000009</v>
      </c>
      <c r="L883">
        <f t="shared" si="108"/>
        <v>2.0000000000000018</v>
      </c>
      <c r="M883">
        <f t="shared" si="109"/>
        <v>0</v>
      </c>
      <c r="N883">
        <f t="shared" si="110"/>
        <v>-1.9999999999999574</v>
      </c>
      <c r="O883">
        <f t="shared" si="111"/>
        <v>-3.0000000000000249</v>
      </c>
      <c r="P883">
        <f t="shared" si="112"/>
        <v>-4.0000000000000036</v>
      </c>
      <c r="Q883">
        <f t="shared" si="113"/>
        <v>-4.0000000000000036</v>
      </c>
      <c r="R883">
        <f t="shared" si="114"/>
        <v>-4.9999999999999822</v>
      </c>
    </row>
    <row r="884" spans="1:18">
      <c r="A884" s="9">
        <v>38001</v>
      </c>
      <c r="B884">
        <v>1.37</v>
      </c>
      <c r="C884">
        <v>1.99</v>
      </c>
      <c r="D884">
        <v>2.56</v>
      </c>
      <c r="E884">
        <v>2.99</v>
      </c>
      <c r="F884">
        <v>3.34</v>
      </c>
      <c r="G884">
        <v>3.86</v>
      </c>
      <c r="H884">
        <v>4.3499999999999996</v>
      </c>
      <c r="I884">
        <v>5.18</v>
      </c>
      <c r="K884">
        <f t="shared" si="107"/>
        <v>1.0000000000000009</v>
      </c>
      <c r="L884">
        <f t="shared" si="108"/>
        <v>2.0000000000000018</v>
      </c>
      <c r="M884">
        <f t="shared" si="109"/>
        <v>3.0000000000000249</v>
      </c>
      <c r="N884">
        <f t="shared" si="110"/>
        <v>0</v>
      </c>
      <c r="O884">
        <f t="shared" si="111"/>
        <v>-2.0000000000000018</v>
      </c>
      <c r="P884">
        <f t="shared" si="112"/>
        <v>-3.0000000000000249</v>
      </c>
      <c r="Q884">
        <f t="shared" si="113"/>
        <v>-6.0000000000000497</v>
      </c>
      <c r="R884">
        <f t="shared" si="114"/>
        <v>-6.0000000000000497</v>
      </c>
    </row>
    <row r="885" spans="1:18">
      <c r="A885" s="9">
        <v>38002</v>
      </c>
      <c r="B885">
        <v>1.36</v>
      </c>
      <c r="C885">
        <v>1.98</v>
      </c>
      <c r="D885">
        <v>2.54</v>
      </c>
      <c r="E885">
        <v>2.99</v>
      </c>
      <c r="F885">
        <v>3.34</v>
      </c>
      <c r="G885">
        <v>3.85</v>
      </c>
      <c r="H885">
        <v>4.34</v>
      </c>
      <c r="I885">
        <v>5.16</v>
      </c>
      <c r="K885">
        <f t="shared" si="107"/>
        <v>-1.0000000000000009</v>
      </c>
      <c r="L885">
        <f t="shared" si="108"/>
        <v>-1.0000000000000009</v>
      </c>
      <c r="M885">
        <f t="shared" si="109"/>
        <v>-2.0000000000000018</v>
      </c>
      <c r="N885">
        <f t="shared" si="110"/>
        <v>0</v>
      </c>
      <c r="O885">
        <f t="shared" si="111"/>
        <v>0</v>
      </c>
      <c r="P885">
        <f t="shared" si="112"/>
        <v>-0.99999999999997868</v>
      </c>
      <c r="Q885">
        <f t="shared" si="113"/>
        <v>-0.99999999999997868</v>
      </c>
      <c r="R885">
        <f t="shared" si="114"/>
        <v>-1.9999999999999574</v>
      </c>
    </row>
    <row r="886" spans="1:18">
      <c r="A886" s="9">
        <v>38006</v>
      </c>
      <c r="B886">
        <v>1.39</v>
      </c>
      <c r="C886">
        <v>2.0299999999999998</v>
      </c>
      <c r="D886">
        <v>2.6</v>
      </c>
      <c r="E886">
        <v>3.04</v>
      </c>
      <c r="F886">
        <v>3.4</v>
      </c>
      <c r="G886">
        <v>3.92</v>
      </c>
      <c r="H886">
        <v>4.4000000000000004</v>
      </c>
      <c r="I886">
        <v>5.21</v>
      </c>
      <c r="K886">
        <f t="shared" si="107"/>
        <v>2.9999999999999805</v>
      </c>
      <c r="L886">
        <f t="shared" si="108"/>
        <v>4.9999999999999822</v>
      </c>
      <c r="M886">
        <f t="shared" si="109"/>
        <v>6.0000000000000053</v>
      </c>
      <c r="N886">
        <f t="shared" si="110"/>
        <v>4.9999999999999822</v>
      </c>
      <c r="O886">
        <f t="shared" si="111"/>
        <v>6.0000000000000053</v>
      </c>
      <c r="P886">
        <f t="shared" si="112"/>
        <v>6.999999999999984</v>
      </c>
      <c r="Q886">
        <f t="shared" si="113"/>
        <v>6.0000000000000497</v>
      </c>
      <c r="R886">
        <f t="shared" si="114"/>
        <v>4.9999999999999822</v>
      </c>
    </row>
    <row r="887" spans="1:18">
      <c r="A887" s="9">
        <v>38007</v>
      </c>
      <c r="B887">
        <v>1.39</v>
      </c>
      <c r="C887">
        <v>2.0099999999999998</v>
      </c>
      <c r="D887">
        <v>2.59</v>
      </c>
      <c r="E887">
        <v>3.04</v>
      </c>
      <c r="F887">
        <v>3.4</v>
      </c>
      <c r="G887">
        <v>3.92</v>
      </c>
      <c r="H887">
        <v>4.42</v>
      </c>
      <c r="I887">
        <v>5.24</v>
      </c>
      <c r="K887">
        <f t="shared" si="107"/>
        <v>0</v>
      </c>
      <c r="L887">
        <f t="shared" si="108"/>
        <v>-2.0000000000000018</v>
      </c>
      <c r="M887">
        <f t="shared" si="109"/>
        <v>-1.0000000000000231</v>
      </c>
      <c r="N887">
        <f t="shared" si="110"/>
        <v>0</v>
      </c>
      <c r="O887">
        <f t="shared" si="111"/>
        <v>0</v>
      </c>
      <c r="P887">
        <f t="shared" si="112"/>
        <v>0</v>
      </c>
      <c r="Q887">
        <f t="shared" si="113"/>
        <v>1.9999999999999574</v>
      </c>
      <c r="R887">
        <f t="shared" si="114"/>
        <v>3.0000000000000249</v>
      </c>
    </row>
    <row r="888" spans="1:18">
      <c r="A888" s="9">
        <v>38008</v>
      </c>
      <c r="B888">
        <v>1.38</v>
      </c>
      <c r="C888">
        <v>2</v>
      </c>
      <c r="D888">
        <v>2.57</v>
      </c>
      <c r="E888">
        <v>3.01</v>
      </c>
      <c r="F888">
        <v>3.37</v>
      </c>
      <c r="G888">
        <v>3.88</v>
      </c>
      <c r="H888">
        <v>4.38</v>
      </c>
      <c r="I888">
        <v>5.19</v>
      </c>
      <c r="K888">
        <f t="shared" si="107"/>
        <v>-1.0000000000000009</v>
      </c>
      <c r="L888">
        <f t="shared" si="108"/>
        <v>-0.99999999999997868</v>
      </c>
      <c r="M888">
        <f t="shared" si="109"/>
        <v>-2.0000000000000018</v>
      </c>
      <c r="N888">
        <f t="shared" si="110"/>
        <v>-3.0000000000000249</v>
      </c>
      <c r="O888">
        <f t="shared" si="111"/>
        <v>-2.9999999999999805</v>
      </c>
      <c r="P888">
        <f t="shared" si="112"/>
        <v>-4.0000000000000036</v>
      </c>
      <c r="Q888">
        <f t="shared" si="113"/>
        <v>-4.0000000000000036</v>
      </c>
      <c r="R888">
        <f t="shared" si="114"/>
        <v>-4.9999999999999822</v>
      </c>
    </row>
    <row r="889" spans="1:18">
      <c r="A889" s="9">
        <v>38009</v>
      </c>
      <c r="B889">
        <v>1.35</v>
      </c>
      <c r="C889">
        <v>1.93</v>
      </c>
      <c r="D889">
        <v>2.4900000000000002</v>
      </c>
      <c r="E889">
        <v>2.92</v>
      </c>
      <c r="F889">
        <v>3.27</v>
      </c>
      <c r="G889">
        <v>3.79</v>
      </c>
      <c r="H889">
        <v>4.29</v>
      </c>
      <c r="I889">
        <v>5.14</v>
      </c>
      <c r="K889">
        <f t="shared" si="107"/>
        <v>-2.9999999999999805</v>
      </c>
      <c r="L889">
        <f t="shared" si="108"/>
        <v>-7.0000000000000062</v>
      </c>
      <c r="M889">
        <f t="shared" si="109"/>
        <v>-7.9999999999999627</v>
      </c>
      <c r="N889">
        <f t="shared" si="110"/>
        <v>-8.9999999999999858</v>
      </c>
      <c r="O889">
        <f t="shared" si="111"/>
        <v>-10.000000000000009</v>
      </c>
      <c r="P889">
        <f t="shared" si="112"/>
        <v>-8.9999999999999858</v>
      </c>
      <c r="Q889">
        <f t="shared" si="113"/>
        <v>-8.9999999999999858</v>
      </c>
      <c r="R889">
        <f t="shared" si="114"/>
        <v>-5.0000000000000711</v>
      </c>
    </row>
    <row r="890" spans="1:18">
      <c r="A890" s="9">
        <v>38012</v>
      </c>
      <c r="B890">
        <v>1.39</v>
      </c>
      <c r="C890">
        <v>2.04</v>
      </c>
      <c r="D890">
        <v>2.63</v>
      </c>
      <c r="E890">
        <v>3.09</v>
      </c>
      <c r="F890">
        <v>3.47</v>
      </c>
      <c r="G890">
        <v>3.99</v>
      </c>
      <c r="H890">
        <v>4.49</v>
      </c>
      <c r="I890">
        <v>5.28</v>
      </c>
      <c r="K890">
        <f t="shared" si="107"/>
        <v>3.9999999999999813</v>
      </c>
      <c r="L890">
        <f t="shared" si="108"/>
        <v>11.000000000000011</v>
      </c>
      <c r="M890">
        <f t="shared" si="109"/>
        <v>13.999999999999968</v>
      </c>
      <c r="N890">
        <f t="shared" si="110"/>
        <v>16.999999999999993</v>
      </c>
      <c r="O890">
        <f t="shared" si="111"/>
        <v>20.000000000000018</v>
      </c>
      <c r="P890">
        <f t="shared" si="112"/>
        <v>20.000000000000018</v>
      </c>
      <c r="Q890">
        <f t="shared" si="113"/>
        <v>20.000000000000018</v>
      </c>
      <c r="R890">
        <f t="shared" si="114"/>
        <v>14.000000000000057</v>
      </c>
    </row>
    <row r="891" spans="1:18">
      <c r="A891" s="9">
        <v>38013</v>
      </c>
      <c r="B891">
        <v>1.39</v>
      </c>
      <c r="C891">
        <v>2.02</v>
      </c>
      <c r="D891">
        <v>2.6</v>
      </c>
      <c r="E891">
        <v>3.06</v>
      </c>
      <c r="F891">
        <v>3.44</v>
      </c>
      <c r="G891">
        <v>3.97</v>
      </c>
      <c r="H891">
        <v>4.47</v>
      </c>
      <c r="I891">
        <v>5.26</v>
      </c>
      <c r="K891">
        <f t="shared" si="107"/>
        <v>0</v>
      </c>
      <c r="L891">
        <f t="shared" si="108"/>
        <v>-2.0000000000000018</v>
      </c>
      <c r="M891">
        <f t="shared" si="109"/>
        <v>-2.9999999999999805</v>
      </c>
      <c r="N891">
        <f t="shared" si="110"/>
        <v>-2.9999999999999805</v>
      </c>
      <c r="O891">
        <f t="shared" si="111"/>
        <v>-3.0000000000000249</v>
      </c>
      <c r="P891">
        <f t="shared" si="112"/>
        <v>-2.0000000000000018</v>
      </c>
      <c r="Q891">
        <f t="shared" si="113"/>
        <v>-2.0000000000000462</v>
      </c>
      <c r="R891">
        <f t="shared" si="114"/>
        <v>-2.0000000000000462</v>
      </c>
    </row>
    <row r="892" spans="1:18">
      <c r="A892" s="9">
        <v>38014</v>
      </c>
      <c r="B892">
        <v>1.37</v>
      </c>
      <c r="C892">
        <v>1.97</v>
      </c>
      <c r="D892">
        <v>2.56</v>
      </c>
      <c r="E892">
        <v>3.02</v>
      </c>
      <c r="F892">
        <v>3.39</v>
      </c>
      <c r="G892">
        <v>3.92</v>
      </c>
      <c r="H892">
        <v>4.43</v>
      </c>
      <c r="I892">
        <v>5.23</v>
      </c>
      <c r="K892">
        <f t="shared" si="107"/>
        <v>-1.9999999999999796</v>
      </c>
      <c r="L892">
        <f t="shared" si="108"/>
        <v>-5.0000000000000044</v>
      </c>
      <c r="M892">
        <f t="shared" si="109"/>
        <v>-4.0000000000000036</v>
      </c>
      <c r="N892">
        <f t="shared" si="110"/>
        <v>-4.0000000000000036</v>
      </c>
      <c r="O892">
        <f t="shared" si="111"/>
        <v>-4.9999999999999822</v>
      </c>
      <c r="P892">
        <f t="shared" si="112"/>
        <v>-5.0000000000000266</v>
      </c>
      <c r="Q892">
        <f t="shared" si="113"/>
        <v>-4.0000000000000036</v>
      </c>
      <c r="R892">
        <f t="shared" si="114"/>
        <v>-2.9999999999999361</v>
      </c>
    </row>
    <row r="893" spans="1:18">
      <c r="A893" s="9">
        <v>38015</v>
      </c>
      <c r="B893">
        <v>1.52</v>
      </c>
      <c r="C893">
        <v>2.2400000000000002</v>
      </c>
      <c r="D893">
        <v>2.85</v>
      </c>
      <c r="E893">
        <v>3.31</v>
      </c>
      <c r="F893">
        <v>3.66</v>
      </c>
      <c r="G893">
        <v>4.16</v>
      </c>
      <c r="H893">
        <v>4.63</v>
      </c>
      <c r="I893">
        <v>5.37</v>
      </c>
      <c r="K893">
        <f t="shared" si="107"/>
        <v>14.999999999999991</v>
      </c>
      <c r="L893">
        <f t="shared" si="108"/>
        <v>27.000000000000025</v>
      </c>
      <c r="M893">
        <f t="shared" si="109"/>
        <v>29.000000000000004</v>
      </c>
      <c r="N893">
        <f t="shared" si="110"/>
        <v>29.000000000000004</v>
      </c>
      <c r="O893">
        <f t="shared" si="111"/>
        <v>27</v>
      </c>
      <c r="P893">
        <f t="shared" si="112"/>
        <v>24.000000000000021</v>
      </c>
      <c r="Q893">
        <f t="shared" si="113"/>
        <v>20.000000000000018</v>
      </c>
      <c r="R893">
        <f t="shared" si="114"/>
        <v>13.999999999999968</v>
      </c>
    </row>
    <row r="894" spans="1:18">
      <c r="A894" s="9">
        <v>38016</v>
      </c>
      <c r="B894">
        <v>1.49</v>
      </c>
      <c r="C894">
        <v>2.1800000000000002</v>
      </c>
      <c r="D894">
        <v>2.78</v>
      </c>
      <c r="E894">
        <v>3.23</v>
      </c>
      <c r="F894">
        <v>3.58</v>
      </c>
      <c r="G894">
        <v>4.09</v>
      </c>
      <c r="H894">
        <v>4.57</v>
      </c>
      <c r="I894">
        <v>5.32</v>
      </c>
      <c r="K894">
        <f t="shared" si="107"/>
        <v>-3.0000000000000027</v>
      </c>
      <c r="L894">
        <f t="shared" si="108"/>
        <v>-6.0000000000000053</v>
      </c>
      <c r="M894">
        <f t="shared" si="109"/>
        <v>-7.0000000000000284</v>
      </c>
      <c r="N894">
        <f t="shared" si="110"/>
        <v>-8.0000000000000071</v>
      </c>
      <c r="O894">
        <f t="shared" si="111"/>
        <v>-8.0000000000000071</v>
      </c>
      <c r="P894">
        <f t="shared" si="112"/>
        <v>-7.0000000000000284</v>
      </c>
      <c r="Q894">
        <f t="shared" si="113"/>
        <v>-5.9999999999999609</v>
      </c>
      <c r="R894">
        <f t="shared" si="114"/>
        <v>-4.9999999999999822</v>
      </c>
    </row>
    <row r="895" spans="1:18">
      <c r="A895" s="9">
        <v>38019</v>
      </c>
      <c r="B895">
        <v>1.47</v>
      </c>
      <c r="C895">
        <v>2.14</v>
      </c>
      <c r="D895">
        <v>2.73</v>
      </c>
      <c r="E895">
        <v>3.18</v>
      </c>
      <c r="F895">
        <v>3.53</v>
      </c>
      <c r="G895">
        <v>4.04</v>
      </c>
      <c r="H895">
        <v>4.5199999999999996</v>
      </c>
      <c r="I895">
        <v>5.29</v>
      </c>
      <c r="K895">
        <f t="shared" si="107"/>
        <v>-2.0000000000000018</v>
      </c>
      <c r="L895">
        <f t="shared" si="108"/>
        <v>-4.0000000000000036</v>
      </c>
      <c r="M895">
        <f t="shared" si="109"/>
        <v>-4.9999999999999822</v>
      </c>
      <c r="N895">
        <f t="shared" si="110"/>
        <v>-4.9999999999999822</v>
      </c>
      <c r="O895">
        <f t="shared" si="111"/>
        <v>-5.0000000000000266</v>
      </c>
      <c r="P895">
        <f t="shared" si="112"/>
        <v>-4.9999999999999822</v>
      </c>
      <c r="Q895">
        <f t="shared" si="113"/>
        <v>-5.0000000000000711</v>
      </c>
      <c r="R895">
        <f t="shared" si="114"/>
        <v>-3.0000000000000249</v>
      </c>
    </row>
    <row r="896" spans="1:18">
      <c r="A896" s="9">
        <v>38020</v>
      </c>
      <c r="B896">
        <v>1.46</v>
      </c>
      <c r="C896">
        <v>2.13</v>
      </c>
      <c r="D896">
        <v>2.72</v>
      </c>
      <c r="E896">
        <v>3.17</v>
      </c>
      <c r="F896">
        <v>3.53</v>
      </c>
      <c r="G896">
        <v>4.04</v>
      </c>
      <c r="H896">
        <v>4.5199999999999996</v>
      </c>
      <c r="I896">
        <v>5.28</v>
      </c>
      <c r="K896">
        <f t="shared" si="107"/>
        <v>-1.0000000000000009</v>
      </c>
      <c r="L896">
        <f t="shared" si="108"/>
        <v>-1.0000000000000231</v>
      </c>
      <c r="M896">
        <f t="shared" si="109"/>
        <v>-0.99999999999997868</v>
      </c>
      <c r="N896">
        <f t="shared" si="110"/>
        <v>-1.0000000000000231</v>
      </c>
      <c r="O896">
        <f t="shared" si="111"/>
        <v>0</v>
      </c>
      <c r="P896">
        <f t="shared" si="112"/>
        <v>0</v>
      </c>
      <c r="Q896">
        <f t="shared" si="113"/>
        <v>0</v>
      </c>
      <c r="R896">
        <f t="shared" si="114"/>
        <v>-0.99999999999997868</v>
      </c>
    </row>
    <row r="897" spans="1:18">
      <c r="A897" s="9">
        <v>38021</v>
      </c>
      <c r="B897">
        <v>1.45</v>
      </c>
      <c r="C897">
        <v>2.12</v>
      </c>
      <c r="D897">
        <v>2.71</v>
      </c>
      <c r="E897">
        <v>3.17</v>
      </c>
      <c r="F897">
        <v>3.53</v>
      </c>
      <c r="G897">
        <v>4.05</v>
      </c>
      <c r="H897">
        <v>4.54</v>
      </c>
      <c r="I897">
        <v>5.3</v>
      </c>
      <c r="K897">
        <f t="shared" si="107"/>
        <v>-1.0000000000000009</v>
      </c>
      <c r="L897">
        <f t="shared" si="108"/>
        <v>-0.99999999999997868</v>
      </c>
      <c r="M897">
        <f t="shared" si="109"/>
        <v>-1.0000000000000231</v>
      </c>
      <c r="N897">
        <f t="shared" si="110"/>
        <v>0</v>
      </c>
      <c r="O897">
        <f t="shared" si="111"/>
        <v>0</v>
      </c>
      <c r="P897">
        <f t="shared" si="112"/>
        <v>0.99999999999997868</v>
      </c>
      <c r="Q897">
        <f t="shared" si="113"/>
        <v>2.0000000000000462</v>
      </c>
      <c r="R897">
        <f t="shared" si="114"/>
        <v>1.9999999999999574</v>
      </c>
    </row>
    <row r="898" spans="1:18">
      <c r="A898" s="9">
        <v>38022</v>
      </c>
      <c r="B898">
        <v>1.45</v>
      </c>
      <c r="C898">
        <v>2.12</v>
      </c>
      <c r="D898">
        <v>2.72</v>
      </c>
      <c r="E898">
        <v>3.18</v>
      </c>
      <c r="F898">
        <v>3.54</v>
      </c>
      <c r="G898">
        <v>4.04</v>
      </c>
      <c r="H898">
        <v>4.5199999999999996</v>
      </c>
      <c r="I898">
        <v>5.28</v>
      </c>
      <c r="K898">
        <f t="shared" si="107"/>
        <v>0</v>
      </c>
      <c r="L898">
        <f t="shared" si="108"/>
        <v>0</v>
      </c>
      <c r="M898">
        <f t="shared" si="109"/>
        <v>1.0000000000000231</v>
      </c>
      <c r="N898">
        <f t="shared" si="110"/>
        <v>1.0000000000000231</v>
      </c>
      <c r="O898">
        <f t="shared" si="111"/>
        <v>1.0000000000000231</v>
      </c>
      <c r="P898">
        <f t="shared" si="112"/>
        <v>-0.99999999999997868</v>
      </c>
      <c r="Q898">
        <f t="shared" si="113"/>
        <v>-2.0000000000000462</v>
      </c>
      <c r="R898">
        <f t="shared" si="114"/>
        <v>-1.9999999999999574</v>
      </c>
    </row>
    <row r="899" spans="1:18">
      <c r="A899" s="9">
        <v>38023</v>
      </c>
      <c r="B899">
        <v>1.43</v>
      </c>
      <c r="C899">
        <v>2.08</v>
      </c>
      <c r="D899">
        <v>2.68</v>
      </c>
      <c r="E899">
        <v>3.14</v>
      </c>
      <c r="F899">
        <v>3.5</v>
      </c>
      <c r="G899">
        <v>4.01</v>
      </c>
      <c r="H899">
        <v>4.49</v>
      </c>
      <c r="I899">
        <v>5.24</v>
      </c>
      <c r="K899">
        <f t="shared" si="107"/>
        <v>-2.0000000000000018</v>
      </c>
      <c r="L899">
        <f t="shared" si="108"/>
        <v>-4.0000000000000036</v>
      </c>
      <c r="M899">
        <f t="shared" si="109"/>
        <v>-4.0000000000000036</v>
      </c>
      <c r="N899">
        <f t="shared" si="110"/>
        <v>-4.0000000000000036</v>
      </c>
      <c r="O899">
        <f t="shared" si="111"/>
        <v>-4.0000000000000036</v>
      </c>
      <c r="P899">
        <f t="shared" si="112"/>
        <v>-3.0000000000000249</v>
      </c>
      <c r="Q899">
        <f t="shared" si="113"/>
        <v>-2.9999999999999361</v>
      </c>
      <c r="R899">
        <f t="shared" si="114"/>
        <v>-4.0000000000000036</v>
      </c>
    </row>
    <row r="900" spans="1:18">
      <c r="A900" s="9">
        <v>38026</v>
      </c>
      <c r="B900">
        <v>1.43</v>
      </c>
      <c r="C900">
        <v>2.09</v>
      </c>
      <c r="D900">
        <v>2.67</v>
      </c>
      <c r="E900">
        <v>3.12</v>
      </c>
      <c r="F900">
        <v>3.48</v>
      </c>
      <c r="G900">
        <v>4</v>
      </c>
      <c r="H900">
        <v>4.4800000000000004</v>
      </c>
      <c r="I900">
        <v>5.24</v>
      </c>
      <c r="K900">
        <f t="shared" si="107"/>
        <v>0</v>
      </c>
      <c r="L900">
        <f t="shared" si="108"/>
        <v>0.99999999999997868</v>
      </c>
      <c r="M900">
        <f t="shared" si="109"/>
        <v>-1.0000000000000231</v>
      </c>
      <c r="N900">
        <f t="shared" si="110"/>
        <v>-2.0000000000000018</v>
      </c>
      <c r="O900">
        <f t="shared" si="111"/>
        <v>-2.0000000000000018</v>
      </c>
      <c r="P900">
        <f t="shared" si="112"/>
        <v>-0.99999999999997868</v>
      </c>
      <c r="Q900">
        <f t="shared" si="113"/>
        <v>-0.99999999999997868</v>
      </c>
      <c r="R900">
        <f t="shared" si="114"/>
        <v>0</v>
      </c>
    </row>
    <row r="901" spans="1:18">
      <c r="A901" s="9">
        <v>38027</v>
      </c>
      <c r="B901">
        <v>1.46</v>
      </c>
      <c r="C901">
        <v>2.12</v>
      </c>
      <c r="D901">
        <v>2.69</v>
      </c>
      <c r="E901">
        <v>3.14</v>
      </c>
      <c r="F901">
        <v>3.5</v>
      </c>
      <c r="G901">
        <v>4.01</v>
      </c>
      <c r="H901">
        <v>4.5</v>
      </c>
      <c r="I901">
        <v>5.26</v>
      </c>
      <c r="K901">
        <f t="shared" ref="K901:K964" si="115">(B901-B900)*100</f>
        <v>3.0000000000000027</v>
      </c>
      <c r="L901">
        <f t="shared" ref="L901:L964" si="116">(C901-C900)*100</f>
        <v>3.0000000000000249</v>
      </c>
      <c r="M901">
        <f t="shared" ref="M901:M964" si="117">(D901-D900)*100</f>
        <v>2.0000000000000018</v>
      </c>
      <c r="N901">
        <f t="shared" ref="N901:N964" si="118">(E901-E900)*100</f>
        <v>2.0000000000000018</v>
      </c>
      <c r="O901">
        <f t="shared" ref="O901:O964" si="119">(F901-F900)*100</f>
        <v>2.0000000000000018</v>
      </c>
      <c r="P901">
        <f t="shared" ref="P901:P964" si="120">(G901-G900)*100</f>
        <v>0.99999999999997868</v>
      </c>
      <c r="Q901">
        <f t="shared" ref="Q901:Q964" si="121">(H901-H900)*100</f>
        <v>1.9999999999999574</v>
      </c>
      <c r="R901">
        <f t="shared" ref="R901:R964" si="122">(I901-I900)*100</f>
        <v>1.9999999999999574</v>
      </c>
    </row>
    <row r="902" spans="1:18">
      <c r="A902" s="9">
        <v>38028</v>
      </c>
      <c r="B902">
        <v>1.47</v>
      </c>
      <c r="C902">
        <v>2.16</v>
      </c>
      <c r="D902">
        <v>2.77</v>
      </c>
      <c r="E902">
        <v>3.21</v>
      </c>
      <c r="F902">
        <v>3.55</v>
      </c>
      <c r="G902">
        <v>4.0599999999999996</v>
      </c>
      <c r="H902">
        <v>4.54</v>
      </c>
      <c r="I902">
        <v>5.35</v>
      </c>
      <c r="K902">
        <f t="shared" si="115"/>
        <v>1.0000000000000009</v>
      </c>
      <c r="L902">
        <f t="shared" si="116"/>
        <v>4.0000000000000036</v>
      </c>
      <c r="M902">
        <f t="shared" si="117"/>
        <v>8.0000000000000071</v>
      </c>
      <c r="N902">
        <f t="shared" si="118"/>
        <v>6.999999999999984</v>
      </c>
      <c r="O902">
        <f t="shared" si="119"/>
        <v>4.9999999999999822</v>
      </c>
      <c r="P902">
        <f t="shared" si="120"/>
        <v>4.9999999999999822</v>
      </c>
      <c r="Q902">
        <f t="shared" si="121"/>
        <v>4.0000000000000036</v>
      </c>
      <c r="R902">
        <f t="shared" si="122"/>
        <v>8.9999999999999858</v>
      </c>
    </row>
    <row r="903" spans="1:18">
      <c r="A903" s="9">
        <v>38029</v>
      </c>
      <c r="B903">
        <v>1.39</v>
      </c>
      <c r="C903">
        <v>2.04</v>
      </c>
      <c r="D903">
        <v>2.61</v>
      </c>
      <c r="E903">
        <v>3.06</v>
      </c>
      <c r="F903">
        <v>3.42</v>
      </c>
      <c r="G903">
        <v>3.93</v>
      </c>
      <c r="H903">
        <v>4.43</v>
      </c>
      <c r="I903">
        <v>5.21</v>
      </c>
      <c r="K903">
        <f t="shared" si="115"/>
        <v>-8.0000000000000071</v>
      </c>
      <c r="L903">
        <f t="shared" si="116"/>
        <v>-12.000000000000011</v>
      </c>
      <c r="M903">
        <f t="shared" si="117"/>
        <v>-16.000000000000014</v>
      </c>
      <c r="N903">
        <f t="shared" si="118"/>
        <v>-14.999999999999991</v>
      </c>
      <c r="O903">
        <f t="shared" si="119"/>
        <v>-12.999999999999989</v>
      </c>
      <c r="P903">
        <f t="shared" si="120"/>
        <v>-12.999999999999945</v>
      </c>
      <c r="Q903">
        <f t="shared" si="121"/>
        <v>-11.000000000000032</v>
      </c>
      <c r="R903">
        <f t="shared" si="122"/>
        <v>-13.999999999999968</v>
      </c>
    </row>
    <row r="904" spans="1:18">
      <c r="A904" s="9">
        <v>38030</v>
      </c>
      <c r="B904">
        <v>1.37</v>
      </c>
      <c r="C904">
        <v>2</v>
      </c>
      <c r="D904">
        <v>2.57</v>
      </c>
      <c r="E904">
        <v>3.03</v>
      </c>
      <c r="F904">
        <v>3.4</v>
      </c>
      <c r="G904">
        <v>3.93</v>
      </c>
      <c r="H904">
        <v>4.4400000000000004</v>
      </c>
      <c r="I904">
        <v>5.24</v>
      </c>
      <c r="K904">
        <f t="shared" si="115"/>
        <v>-1.9999999999999796</v>
      </c>
      <c r="L904">
        <f t="shared" si="116"/>
        <v>-4.0000000000000036</v>
      </c>
      <c r="M904">
        <f t="shared" si="117"/>
        <v>-4.0000000000000036</v>
      </c>
      <c r="N904">
        <f t="shared" si="118"/>
        <v>-3.0000000000000249</v>
      </c>
      <c r="O904">
        <f t="shared" si="119"/>
        <v>-2.0000000000000018</v>
      </c>
      <c r="P904">
        <f t="shared" si="120"/>
        <v>0</v>
      </c>
      <c r="Q904">
        <f t="shared" si="121"/>
        <v>1.0000000000000675</v>
      </c>
      <c r="R904">
        <f t="shared" si="122"/>
        <v>3.0000000000000249</v>
      </c>
    </row>
    <row r="905" spans="1:18">
      <c r="A905" s="9">
        <v>38034</v>
      </c>
      <c r="B905">
        <v>1.38</v>
      </c>
      <c r="C905">
        <v>2.0099999999999998</v>
      </c>
      <c r="D905">
        <v>2.59</v>
      </c>
      <c r="E905">
        <v>3.04</v>
      </c>
      <c r="F905">
        <v>3.42</v>
      </c>
      <c r="G905">
        <v>3.95</v>
      </c>
      <c r="H905">
        <v>4.4400000000000004</v>
      </c>
      <c r="I905">
        <v>5.25</v>
      </c>
      <c r="K905">
        <f t="shared" si="115"/>
        <v>0.99999999999997868</v>
      </c>
      <c r="L905">
        <f t="shared" si="116"/>
        <v>0.99999999999997868</v>
      </c>
      <c r="M905">
        <f t="shared" si="117"/>
        <v>2.0000000000000018</v>
      </c>
      <c r="N905">
        <f t="shared" si="118"/>
        <v>1.0000000000000231</v>
      </c>
      <c r="O905">
        <f t="shared" si="119"/>
        <v>2.0000000000000018</v>
      </c>
      <c r="P905">
        <f t="shared" si="120"/>
        <v>2.0000000000000018</v>
      </c>
      <c r="Q905">
        <f t="shared" si="121"/>
        <v>0</v>
      </c>
      <c r="R905">
        <f t="shared" si="122"/>
        <v>0.99999999999997868</v>
      </c>
    </row>
    <row r="906" spans="1:18">
      <c r="A906" s="9">
        <v>38035</v>
      </c>
      <c r="B906">
        <v>1.36</v>
      </c>
      <c r="C906">
        <v>1.97</v>
      </c>
      <c r="D906">
        <v>2.54</v>
      </c>
      <c r="E906">
        <v>2.99</v>
      </c>
      <c r="F906">
        <v>3.36</v>
      </c>
      <c r="G906">
        <v>3.88</v>
      </c>
      <c r="H906">
        <v>4.38</v>
      </c>
      <c r="I906">
        <v>5.19</v>
      </c>
      <c r="K906">
        <f t="shared" si="115"/>
        <v>-1.9999999999999796</v>
      </c>
      <c r="L906">
        <f t="shared" si="116"/>
        <v>-3.9999999999999813</v>
      </c>
      <c r="M906">
        <f t="shared" si="117"/>
        <v>-4.9999999999999822</v>
      </c>
      <c r="N906">
        <f t="shared" si="118"/>
        <v>-4.9999999999999822</v>
      </c>
      <c r="O906">
        <f t="shared" si="119"/>
        <v>-6.0000000000000053</v>
      </c>
      <c r="P906">
        <f t="shared" si="120"/>
        <v>-7.0000000000000284</v>
      </c>
      <c r="Q906">
        <f t="shared" si="121"/>
        <v>-6.0000000000000497</v>
      </c>
      <c r="R906">
        <f t="shared" si="122"/>
        <v>-5.9999999999999609</v>
      </c>
    </row>
    <row r="907" spans="1:18">
      <c r="A907" s="9">
        <v>38036</v>
      </c>
      <c r="B907">
        <v>1.39</v>
      </c>
      <c r="C907">
        <v>2.02</v>
      </c>
      <c r="D907">
        <v>2.6</v>
      </c>
      <c r="E907">
        <v>3.06</v>
      </c>
      <c r="F907">
        <v>3.43</v>
      </c>
      <c r="G907">
        <v>3.95</v>
      </c>
      <c r="H907">
        <v>4.46</v>
      </c>
      <c r="I907">
        <v>5.24</v>
      </c>
      <c r="K907">
        <f t="shared" si="115"/>
        <v>2.9999999999999805</v>
      </c>
      <c r="L907">
        <f t="shared" si="116"/>
        <v>5.0000000000000044</v>
      </c>
      <c r="M907">
        <f t="shared" si="117"/>
        <v>6.0000000000000053</v>
      </c>
      <c r="N907">
        <f t="shared" si="118"/>
        <v>6.999999999999984</v>
      </c>
      <c r="O907">
        <f t="shared" si="119"/>
        <v>7.0000000000000284</v>
      </c>
      <c r="P907">
        <f t="shared" si="120"/>
        <v>7.0000000000000284</v>
      </c>
      <c r="Q907">
        <f t="shared" si="121"/>
        <v>8.0000000000000071</v>
      </c>
      <c r="R907">
        <f t="shared" si="122"/>
        <v>4.9999999999999822</v>
      </c>
    </row>
    <row r="908" spans="1:18">
      <c r="A908" s="9">
        <v>38037</v>
      </c>
      <c r="B908">
        <v>1.4</v>
      </c>
      <c r="C908">
        <v>2.0299999999999998</v>
      </c>
      <c r="D908">
        <v>2.61</v>
      </c>
      <c r="E908">
        <v>3.07</v>
      </c>
      <c r="F908">
        <v>3.44</v>
      </c>
      <c r="G908">
        <v>3.97</v>
      </c>
      <c r="H908">
        <v>4.47</v>
      </c>
      <c r="I908">
        <v>5.26</v>
      </c>
      <c r="K908">
        <f t="shared" si="115"/>
        <v>1.0000000000000009</v>
      </c>
      <c r="L908">
        <f t="shared" si="116"/>
        <v>0.99999999999997868</v>
      </c>
      <c r="M908">
        <f t="shared" si="117"/>
        <v>0.99999999999997868</v>
      </c>
      <c r="N908">
        <f t="shared" si="118"/>
        <v>0.99999999999997868</v>
      </c>
      <c r="O908">
        <f t="shared" si="119"/>
        <v>0.99999999999997868</v>
      </c>
      <c r="P908">
        <f t="shared" si="120"/>
        <v>2.0000000000000018</v>
      </c>
      <c r="Q908">
        <f t="shared" si="121"/>
        <v>0.99999999999997868</v>
      </c>
      <c r="R908">
        <f t="shared" si="122"/>
        <v>1.9999999999999574</v>
      </c>
    </row>
    <row r="909" spans="1:18">
      <c r="A909" s="9">
        <v>38040</v>
      </c>
      <c r="B909">
        <v>1.4</v>
      </c>
      <c r="C909">
        <v>2.0499999999999998</v>
      </c>
      <c r="D909">
        <v>2.63</v>
      </c>
      <c r="E909">
        <v>3.09</v>
      </c>
      <c r="F909">
        <v>3.46</v>
      </c>
      <c r="G909">
        <v>3.98</v>
      </c>
      <c r="H909">
        <v>4.4800000000000004</v>
      </c>
      <c r="I909">
        <v>5.26</v>
      </c>
      <c r="K909">
        <f t="shared" si="115"/>
        <v>0</v>
      </c>
      <c r="L909">
        <f t="shared" si="116"/>
        <v>2.0000000000000018</v>
      </c>
      <c r="M909">
        <f t="shared" si="117"/>
        <v>2.0000000000000018</v>
      </c>
      <c r="N909">
        <f t="shared" si="118"/>
        <v>2.0000000000000018</v>
      </c>
      <c r="O909">
        <f t="shared" si="119"/>
        <v>2.0000000000000018</v>
      </c>
      <c r="P909">
        <f t="shared" si="120"/>
        <v>0.99999999999997868</v>
      </c>
      <c r="Q909">
        <f t="shared" si="121"/>
        <v>1.0000000000000675</v>
      </c>
      <c r="R909">
        <f t="shared" si="122"/>
        <v>0</v>
      </c>
    </row>
    <row r="910" spans="1:18">
      <c r="A910" s="9">
        <v>38041</v>
      </c>
      <c r="B910">
        <v>1.36</v>
      </c>
      <c r="C910">
        <v>1.98</v>
      </c>
      <c r="D910">
        <v>2.5499999999999998</v>
      </c>
      <c r="E910">
        <v>3</v>
      </c>
      <c r="F910">
        <v>3.36</v>
      </c>
      <c r="G910">
        <v>3.89</v>
      </c>
      <c r="H910">
        <v>4.3899999999999997</v>
      </c>
      <c r="I910">
        <v>5.2</v>
      </c>
      <c r="K910">
        <f t="shared" si="115"/>
        <v>-3.9999999999999813</v>
      </c>
      <c r="L910">
        <f t="shared" si="116"/>
        <v>-6.999999999999984</v>
      </c>
      <c r="M910">
        <f t="shared" si="117"/>
        <v>-8.0000000000000071</v>
      </c>
      <c r="N910">
        <f t="shared" si="118"/>
        <v>-8.9999999999999858</v>
      </c>
      <c r="O910">
        <f t="shared" si="119"/>
        <v>-10.000000000000009</v>
      </c>
      <c r="P910">
        <f t="shared" si="120"/>
        <v>-8.9999999999999858</v>
      </c>
      <c r="Q910">
        <f t="shared" si="121"/>
        <v>-9.0000000000000746</v>
      </c>
      <c r="R910">
        <f t="shared" si="122"/>
        <v>-5.9999999999999609</v>
      </c>
    </row>
    <row r="911" spans="1:18">
      <c r="A911" s="9">
        <v>38042</v>
      </c>
      <c r="B911">
        <v>1.37</v>
      </c>
      <c r="C911">
        <v>1.98</v>
      </c>
      <c r="D911">
        <v>2.5499999999999998</v>
      </c>
      <c r="E911">
        <v>3</v>
      </c>
      <c r="F911">
        <v>3.37</v>
      </c>
      <c r="G911">
        <v>3.9</v>
      </c>
      <c r="H911">
        <v>4.41</v>
      </c>
      <c r="I911">
        <v>5.21</v>
      </c>
      <c r="K911">
        <f t="shared" si="115"/>
        <v>1.0000000000000009</v>
      </c>
      <c r="L911">
        <f t="shared" si="116"/>
        <v>0</v>
      </c>
      <c r="M911">
        <f t="shared" si="117"/>
        <v>0</v>
      </c>
      <c r="N911">
        <f t="shared" si="118"/>
        <v>0</v>
      </c>
      <c r="O911">
        <f t="shared" si="119"/>
        <v>1.0000000000000231</v>
      </c>
      <c r="P911">
        <f t="shared" si="120"/>
        <v>0.99999999999997868</v>
      </c>
      <c r="Q911">
        <f t="shared" si="121"/>
        <v>2.0000000000000462</v>
      </c>
      <c r="R911">
        <f t="shared" si="122"/>
        <v>0.99999999999997868</v>
      </c>
    </row>
    <row r="912" spans="1:18">
      <c r="A912" s="9">
        <v>38043</v>
      </c>
      <c r="B912">
        <v>1.37</v>
      </c>
      <c r="C912">
        <v>1.99</v>
      </c>
      <c r="D912">
        <v>2.56</v>
      </c>
      <c r="E912">
        <v>3.03</v>
      </c>
      <c r="F912">
        <v>3.39</v>
      </c>
      <c r="G912">
        <v>3.92</v>
      </c>
      <c r="H912">
        <v>4.43</v>
      </c>
      <c r="I912">
        <v>5.24</v>
      </c>
      <c r="K912">
        <f t="shared" si="115"/>
        <v>0</v>
      </c>
      <c r="L912">
        <f t="shared" si="116"/>
        <v>1.0000000000000009</v>
      </c>
      <c r="M912">
        <f t="shared" si="117"/>
        <v>1.0000000000000231</v>
      </c>
      <c r="N912">
        <f t="shared" si="118"/>
        <v>2.9999999999999805</v>
      </c>
      <c r="O912">
        <f t="shared" si="119"/>
        <v>2.0000000000000018</v>
      </c>
      <c r="P912">
        <f t="shared" si="120"/>
        <v>2.0000000000000018</v>
      </c>
      <c r="Q912">
        <f t="shared" si="121"/>
        <v>1.9999999999999574</v>
      </c>
      <c r="R912">
        <f t="shared" si="122"/>
        <v>3.0000000000000249</v>
      </c>
    </row>
    <row r="913" spans="1:18">
      <c r="A913" s="9">
        <v>38044</v>
      </c>
      <c r="B913">
        <v>1.37</v>
      </c>
      <c r="C913">
        <v>1.98</v>
      </c>
      <c r="D913">
        <v>2.5499999999999998</v>
      </c>
      <c r="E913">
        <v>3.01</v>
      </c>
      <c r="F913">
        <v>3.37</v>
      </c>
      <c r="G913">
        <v>3.9</v>
      </c>
      <c r="H913">
        <v>4.4000000000000004</v>
      </c>
      <c r="I913">
        <v>5.21</v>
      </c>
      <c r="K913">
        <f t="shared" si="115"/>
        <v>0</v>
      </c>
      <c r="L913">
        <f t="shared" si="116"/>
        <v>-1.0000000000000009</v>
      </c>
      <c r="M913">
        <f t="shared" si="117"/>
        <v>-1.0000000000000231</v>
      </c>
      <c r="N913">
        <f t="shared" si="118"/>
        <v>-2.0000000000000018</v>
      </c>
      <c r="O913">
        <f t="shared" si="119"/>
        <v>-2.0000000000000018</v>
      </c>
      <c r="P913">
        <f t="shared" si="120"/>
        <v>-2.0000000000000018</v>
      </c>
      <c r="Q913">
        <f t="shared" si="121"/>
        <v>-2.9999999999999361</v>
      </c>
      <c r="R913">
        <f t="shared" si="122"/>
        <v>-3.0000000000000249</v>
      </c>
    </row>
    <row r="914" spans="1:18">
      <c r="A914" s="9">
        <v>38047</v>
      </c>
      <c r="B914">
        <v>1.39</v>
      </c>
      <c r="C914">
        <v>2</v>
      </c>
      <c r="D914">
        <v>2.57</v>
      </c>
      <c r="E914">
        <v>3.03</v>
      </c>
      <c r="F914">
        <v>3.39</v>
      </c>
      <c r="G914">
        <v>3.91</v>
      </c>
      <c r="H914">
        <v>4.41</v>
      </c>
      <c r="I914">
        <v>5.19</v>
      </c>
      <c r="K914">
        <f t="shared" si="115"/>
        <v>1.9999999999999796</v>
      </c>
      <c r="L914">
        <f t="shared" si="116"/>
        <v>2.0000000000000018</v>
      </c>
      <c r="M914">
        <f t="shared" si="117"/>
        <v>2.0000000000000018</v>
      </c>
      <c r="N914">
        <f t="shared" si="118"/>
        <v>2.0000000000000018</v>
      </c>
      <c r="O914">
        <f t="shared" si="119"/>
        <v>2.0000000000000018</v>
      </c>
      <c r="P914">
        <f t="shared" si="120"/>
        <v>1.0000000000000231</v>
      </c>
      <c r="Q914">
        <f t="shared" si="121"/>
        <v>0.99999999999997868</v>
      </c>
      <c r="R914">
        <f t="shared" si="122"/>
        <v>-1.9999999999999574</v>
      </c>
    </row>
    <row r="915" spans="1:18">
      <c r="A915" s="9">
        <v>38048</v>
      </c>
      <c r="B915">
        <v>1.4</v>
      </c>
      <c r="C915">
        <v>2.0299999999999998</v>
      </c>
      <c r="D915">
        <v>2.59</v>
      </c>
      <c r="E915">
        <v>3.05</v>
      </c>
      <c r="F915">
        <v>3.41</v>
      </c>
      <c r="G915">
        <v>3.94</v>
      </c>
      <c r="H915">
        <v>4.43</v>
      </c>
      <c r="I915">
        <v>5.22</v>
      </c>
      <c r="K915">
        <f t="shared" si="115"/>
        <v>1.0000000000000009</v>
      </c>
      <c r="L915">
        <f t="shared" si="116"/>
        <v>2.9999999999999805</v>
      </c>
      <c r="M915">
        <f t="shared" si="117"/>
        <v>2.0000000000000018</v>
      </c>
      <c r="N915">
        <f t="shared" si="118"/>
        <v>2.0000000000000018</v>
      </c>
      <c r="O915">
        <f t="shared" si="119"/>
        <v>2.0000000000000018</v>
      </c>
      <c r="P915">
        <f t="shared" si="120"/>
        <v>2.9999999999999805</v>
      </c>
      <c r="Q915">
        <f t="shared" si="121"/>
        <v>1.9999999999999574</v>
      </c>
      <c r="R915">
        <f t="shared" si="122"/>
        <v>2.9999999999999361</v>
      </c>
    </row>
    <row r="916" spans="1:18">
      <c r="A916" s="9">
        <v>38049</v>
      </c>
      <c r="B916">
        <v>1.44</v>
      </c>
      <c r="C916">
        <v>2.08</v>
      </c>
      <c r="D916">
        <v>2.66</v>
      </c>
      <c r="E916">
        <v>3.12</v>
      </c>
      <c r="F916">
        <v>3.49</v>
      </c>
      <c r="G916">
        <v>4.01</v>
      </c>
      <c r="H916">
        <v>4.5</v>
      </c>
      <c r="I916">
        <v>5.28</v>
      </c>
      <c r="K916">
        <f t="shared" si="115"/>
        <v>4.0000000000000036</v>
      </c>
      <c r="L916">
        <f t="shared" si="116"/>
        <v>5.0000000000000266</v>
      </c>
      <c r="M916">
        <f t="shared" si="117"/>
        <v>7.0000000000000284</v>
      </c>
      <c r="N916">
        <f t="shared" si="118"/>
        <v>7.0000000000000284</v>
      </c>
      <c r="O916">
        <f t="shared" si="119"/>
        <v>8.0000000000000071</v>
      </c>
      <c r="P916">
        <f t="shared" si="120"/>
        <v>6.999999999999984</v>
      </c>
      <c r="Q916">
        <f t="shared" si="121"/>
        <v>7.0000000000000284</v>
      </c>
      <c r="R916">
        <f t="shared" si="122"/>
        <v>6.0000000000000497</v>
      </c>
    </row>
    <row r="917" spans="1:18">
      <c r="A917" s="9">
        <v>38050</v>
      </c>
      <c r="B917">
        <v>1.42</v>
      </c>
      <c r="C917">
        <v>2.0499999999999998</v>
      </c>
      <c r="D917">
        <v>2.62</v>
      </c>
      <c r="E917">
        <v>3.08</v>
      </c>
      <c r="F917">
        <v>3.44</v>
      </c>
      <c r="G917">
        <v>3.96</v>
      </c>
      <c r="H917">
        <v>4.46</v>
      </c>
      <c r="I917">
        <v>5.24</v>
      </c>
      <c r="K917">
        <f t="shared" si="115"/>
        <v>-2.0000000000000018</v>
      </c>
      <c r="L917">
        <f t="shared" si="116"/>
        <v>-3.0000000000000249</v>
      </c>
      <c r="M917">
        <f t="shared" si="117"/>
        <v>-4.0000000000000036</v>
      </c>
      <c r="N917">
        <f t="shared" si="118"/>
        <v>-4.0000000000000036</v>
      </c>
      <c r="O917">
        <f t="shared" si="119"/>
        <v>-5.0000000000000266</v>
      </c>
      <c r="P917">
        <f t="shared" si="120"/>
        <v>-4.9999999999999822</v>
      </c>
      <c r="Q917">
        <f t="shared" si="121"/>
        <v>-4.0000000000000036</v>
      </c>
      <c r="R917">
        <f t="shared" si="122"/>
        <v>-4.0000000000000036</v>
      </c>
    </row>
    <row r="918" spans="1:18">
      <c r="A918" s="9">
        <v>38051</v>
      </c>
      <c r="B918">
        <v>1.31</v>
      </c>
      <c r="C918">
        <v>1.86</v>
      </c>
      <c r="D918">
        <v>2.41</v>
      </c>
      <c r="E918">
        <v>2.85</v>
      </c>
      <c r="F918">
        <v>3.19</v>
      </c>
      <c r="G918">
        <v>3.72</v>
      </c>
      <c r="H918">
        <v>4.2300000000000004</v>
      </c>
      <c r="I918">
        <v>5.05</v>
      </c>
      <c r="K918">
        <f t="shared" si="115"/>
        <v>-10.999999999999988</v>
      </c>
      <c r="L918">
        <f t="shared" si="116"/>
        <v>-18.999999999999972</v>
      </c>
      <c r="M918">
        <f t="shared" si="117"/>
        <v>-20.999999999999996</v>
      </c>
      <c r="N918">
        <f t="shared" si="118"/>
        <v>-23</v>
      </c>
      <c r="O918">
        <f t="shared" si="119"/>
        <v>-25</v>
      </c>
      <c r="P918">
        <f t="shared" si="120"/>
        <v>-23.999999999999979</v>
      </c>
      <c r="Q918">
        <f t="shared" si="121"/>
        <v>-22.999999999999954</v>
      </c>
      <c r="R918">
        <f t="shared" si="122"/>
        <v>-19.000000000000039</v>
      </c>
    </row>
    <row r="919" spans="1:18">
      <c r="A919" s="9">
        <v>38054</v>
      </c>
      <c r="B919">
        <v>1.29</v>
      </c>
      <c r="C919">
        <v>1.81</v>
      </c>
      <c r="D919">
        <v>2.35</v>
      </c>
      <c r="E919">
        <v>2.78</v>
      </c>
      <c r="F919">
        <v>3.13</v>
      </c>
      <c r="G919">
        <v>3.66</v>
      </c>
      <c r="H919">
        <v>4.17</v>
      </c>
      <c r="I919">
        <v>5.03</v>
      </c>
      <c r="K919">
        <f t="shared" si="115"/>
        <v>-2.0000000000000018</v>
      </c>
      <c r="L919">
        <f t="shared" si="116"/>
        <v>-5.0000000000000044</v>
      </c>
      <c r="M919">
        <f t="shared" si="117"/>
        <v>-6.0000000000000053</v>
      </c>
      <c r="N919">
        <f t="shared" si="118"/>
        <v>-7.0000000000000284</v>
      </c>
      <c r="O919">
        <f t="shared" si="119"/>
        <v>-6.0000000000000053</v>
      </c>
      <c r="P919">
        <f t="shared" si="120"/>
        <v>-6.0000000000000053</v>
      </c>
      <c r="Q919">
        <f t="shared" si="121"/>
        <v>-6.0000000000000497</v>
      </c>
      <c r="R919">
        <f t="shared" si="122"/>
        <v>-1.9999999999999574</v>
      </c>
    </row>
    <row r="920" spans="1:18">
      <c r="A920" s="9">
        <v>38055</v>
      </c>
      <c r="B920">
        <v>1.29</v>
      </c>
      <c r="C920">
        <v>1.8</v>
      </c>
      <c r="D920">
        <v>2.2999999999999998</v>
      </c>
      <c r="E920">
        <v>2.73</v>
      </c>
      <c r="F920">
        <v>3.08</v>
      </c>
      <c r="G920">
        <v>3.61</v>
      </c>
      <c r="H920">
        <v>4.13</v>
      </c>
      <c r="I920">
        <v>5</v>
      </c>
      <c r="K920">
        <f t="shared" si="115"/>
        <v>0</v>
      </c>
      <c r="L920">
        <f t="shared" si="116"/>
        <v>-1.0000000000000009</v>
      </c>
      <c r="M920">
        <f t="shared" si="117"/>
        <v>-5.0000000000000266</v>
      </c>
      <c r="N920">
        <f t="shared" si="118"/>
        <v>-4.9999999999999822</v>
      </c>
      <c r="O920">
        <f t="shared" si="119"/>
        <v>-4.9999999999999822</v>
      </c>
      <c r="P920">
        <f t="shared" si="120"/>
        <v>-5.0000000000000266</v>
      </c>
      <c r="Q920">
        <f t="shared" si="121"/>
        <v>-4.0000000000000036</v>
      </c>
      <c r="R920">
        <f t="shared" si="122"/>
        <v>-3.0000000000000249</v>
      </c>
    </row>
    <row r="921" spans="1:18">
      <c r="A921" s="9">
        <v>38056</v>
      </c>
      <c r="B921">
        <v>1.31</v>
      </c>
      <c r="C921">
        <v>1.82</v>
      </c>
      <c r="D921">
        <v>2.31</v>
      </c>
      <c r="E921">
        <v>2.73</v>
      </c>
      <c r="F921">
        <v>3.07</v>
      </c>
      <c r="G921">
        <v>3.6</v>
      </c>
      <c r="H921">
        <v>4.1100000000000003</v>
      </c>
      <c r="I921">
        <v>4.99</v>
      </c>
      <c r="K921">
        <f t="shared" si="115"/>
        <v>2.0000000000000018</v>
      </c>
      <c r="L921">
        <f t="shared" si="116"/>
        <v>2.0000000000000018</v>
      </c>
      <c r="M921">
        <f t="shared" si="117"/>
        <v>1.0000000000000231</v>
      </c>
      <c r="N921">
        <f t="shared" si="118"/>
        <v>0</v>
      </c>
      <c r="O921">
        <f t="shared" si="119"/>
        <v>-1.0000000000000231</v>
      </c>
      <c r="P921">
        <f t="shared" si="120"/>
        <v>-0.99999999999997868</v>
      </c>
      <c r="Q921">
        <f t="shared" si="121"/>
        <v>-1.9999999999999574</v>
      </c>
      <c r="R921">
        <f t="shared" si="122"/>
        <v>-0.99999999999997868</v>
      </c>
    </row>
    <row r="922" spans="1:18">
      <c r="A922" s="9">
        <v>38057</v>
      </c>
      <c r="B922">
        <v>1.31</v>
      </c>
      <c r="C922">
        <v>1.8</v>
      </c>
      <c r="D922">
        <v>2.29</v>
      </c>
      <c r="E922">
        <v>2.7</v>
      </c>
      <c r="F922">
        <v>3.04</v>
      </c>
      <c r="G922">
        <v>3.57</v>
      </c>
      <c r="H922">
        <v>4.08</v>
      </c>
      <c r="I922">
        <v>4.97</v>
      </c>
      <c r="K922">
        <f t="shared" si="115"/>
        <v>0</v>
      </c>
      <c r="L922">
        <f t="shared" si="116"/>
        <v>-2.0000000000000018</v>
      </c>
      <c r="M922">
        <f t="shared" si="117"/>
        <v>-2.0000000000000018</v>
      </c>
      <c r="N922">
        <f t="shared" si="118"/>
        <v>-2.9999999999999805</v>
      </c>
      <c r="O922">
        <f t="shared" si="119"/>
        <v>-2.9999999999999805</v>
      </c>
      <c r="P922">
        <f t="shared" si="120"/>
        <v>-3.0000000000000249</v>
      </c>
      <c r="Q922">
        <f t="shared" si="121"/>
        <v>-3.0000000000000249</v>
      </c>
      <c r="R922">
        <f t="shared" si="122"/>
        <v>-2.0000000000000462</v>
      </c>
    </row>
    <row r="923" spans="1:18">
      <c r="A923" s="9">
        <v>38058</v>
      </c>
      <c r="B923">
        <v>1.3</v>
      </c>
      <c r="C923">
        <v>1.8</v>
      </c>
      <c r="D923">
        <v>2.29</v>
      </c>
      <c r="E923">
        <v>2.7</v>
      </c>
      <c r="F923">
        <v>3.05</v>
      </c>
      <c r="G923">
        <v>3.58</v>
      </c>
      <c r="H923">
        <v>4.0999999999999996</v>
      </c>
      <c r="I923">
        <v>4.97</v>
      </c>
      <c r="K923">
        <f t="shared" si="115"/>
        <v>-1.0000000000000009</v>
      </c>
      <c r="L923">
        <f t="shared" si="116"/>
        <v>0</v>
      </c>
      <c r="M923">
        <f t="shared" si="117"/>
        <v>0</v>
      </c>
      <c r="N923">
        <f t="shared" si="118"/>
        <v>0</v>
      </c>
      <c r="O923">
        <f t="shared" si="119"/>
        <v>0.99999999999997868</v>
      </c>
      <c r="P923">
        <f t="shared" si="120"/>
        <v>1.0000000000000231</v>
      </c>
      <c r="Q923">
        <f t="shared" si="121"/>
        <v>1.9999999999999574</v>
      </c>
      <c r="R923">
        <f t="shared" si="122"/>
        <v>0</v>
      </c>
    </row>
    <row r="924" spans="1:18">
      <c r="A924" s="9">
        <v>38061</v>
      </c>
      <c r="B924">
        <v>1.31</v>
      </c>
      <c r="C924">
        <v>1.82</v>
      </c>
      <c r="D924">
        <v>2.3199999999999998</v>
      </c>
      <c r="E924">
        <v>2.73</v>
      </c>
      <c r="F924">
        <v>3.08</v>
      </c>
      <c r="G924">
        <v>3.6</v>
      </c>
      <c r="H924">
        <v>4.1100000000000003</v>
      </c>
      <c r="I924">
        <v>4.9800000000000004</v>
      </c>
      <c r="K924">
        <f t="shared" si="115"/>
        <v>1.0000000000000009</v>
      </c>
      <c r="L924">
        <f t="shared" si="116"/>
        <v>2.0000000000000018</v>
      </c>
      <c r="M924">
        <f t="shared" si="117"/>
        <v>2.9999999999999805</v>
      </c>
      <c r="N924">
        <f t="shared" si="118"/>
        <v>2.9999999999999805</v>
      </c>
      <c r="O924">
        <f t="shared" si="119"/>
        <v>3.0000000000000249</v>
      </c>
      <c r="P924">
        <f t="shared" si="120"/>
        <v>2.0000000000000018</v>
      </c>
      <c r="Q924">
        <f t="shared" si="121"/>
        <v>1.0000000000000675</v>
      </c>
      <c r="R924">
        <f t="shared" si="122"/>
        <v>1.0000000000000675</v>
      </c>
    </row>
    <row r="925" spans="1:18">
      <c r="A925" s="9">
        <v>38062</v>
      </c>
      <c r="B925">
        <v>1.33</v>
      </c>
      <c r="C925">
        <v>1.87</v>
      </c>
      <c r="D925">
        <v>2.38</v>
      </c>
      <c r="E925">
        <v>2.78</v>
      </c>
      <c r="F925">
        <v>3.12</v>
      </c>
      <c r="G925">
        <v>3.65</v>
      </c>
      <c r="H925">
        <v>4.1500000000000004</v>
      </c>
      <c r="I925">
        <v>5.01</v>
      </c>
      <c r="K925">
        <f t="shared" si="115"/>
        <v>2.0000000000000018</v>
      </c>
      <c r="L925">
        <f t="shared" si="116"/>
        <v>5.0000000000000044</v>
      </c>
      <c r="M925">
        <f t="shared" si="117"/>
        <v>6.0000000000000053</v>
      </c>
      <c r="N925">
        <f t="shared" si="118"/>
        <v>4.9999999999999822</v>
      </c>
      <c r="O925">
        <f t="shared" si="119"/>
        <v>4.0000000000000036</v>
      </c>
      <c r="P925">
        <f t="shared" si="120"/>
        <v>4.9999999999999822</v>
      </c>
      <c r="Q925">
        <f t="shared" si="121"/>
        <v>4.0000000000000036</v>
      </c>
      <c r="R925">
        <f t="shared" si="122"/>
        <v>2.9999999999999361</v>
      </c>
    </row>
    <row r="926" spans="1:18">
      <c r="A926" s="9">
        <v>38063</v>
      </c>
      <c r="B926">
        <v>1.29</v>
      </c>
      <c r="C926">
        <v>1.79</v>
      </c>
      <c r="D926">
        <v>2.2599999999999998</v>
      </c>
      <c r="E926">
        <v>2.66</v>
      </c>
      <c r="F926">
        <v>2.99</v>
      </c>
      <c r="G926">
        <v>3.52</v>
      </c>
      <c r="H926">
        <v>4.03</v>
      </c>
      <c r="I926">
        <v>4.92</v>
      </c>
      <c r="K926">
        <f t="shared" si="115"/>
        <v>-4.0000000000000036</v>
      </c>
      <c r="L926">
        <f t="shared" si="116"/>
        <v>-8.0000000000000071</v>
      </c>
      <c r="M926">
        <f t="shared" si="117"/>
        <v>-12.000000000000011</v>
      </c>
      <c r="N926">
        <f t="shared" si="118"/>
        <v>-11.999999999999966</v>
      </c>
      <c r="O926">
        <f t="shared" si="119"/>
        <v>-12.999999999999989</v>
      </c>
      <c r="P926">
        <f t="shared" si="120"/>
        <v>-12.999999999999989</v>
      </c>
      <c r="Q926">
        <f t="shared" si="121"/>
        <v>-12.000000000000011</v>
      </c>
      <c r="R926">
        <f t="shared" si="122"/>
        <v>-8.9999999999999858</v>
      </c>
    </row>
    <row r="927" spans="1:18">
      <c r="A927" s="9">
        <v>38064</v>
      </c>
      <c r="B927">
        <v>1.31</v>
      </c>
      <c r="C927">
        <v>1.82</v>
      </c>
      <c r="D927">
        <v>2.3199999999999998</v>
      </c>
      <c r="E927">
        <v>2.72</v>
      </c>
      <c r="F927">
        <v>3.05</v>
      </c>
      <c r="G927">
        <v>3.58</v>
      </c>
      <c r="H927">
        <v>4.09</v>
      </c>
      <c r="I927">
        <v>4.97</v>
      </c>
      <c r="K927">
        <f t="shared" si="115"/>
        <v>2.0000000000000018</v>
      </c>
      <c r="L927">
        <f t="shared" si="116"/>
        <v>3.0000000000000027</v>
      </c>
      <c r="M927">
        <f t="shared" si="117"/>
        <v>6.0000000000000053</v>
      </c>
      <c r="N927">
        <f t="shared" si="118"/>
        <v>6.0000000000000053</v>
      </c>
      <c r="O927">
        <f t="shared" si="119"/>
        <v>5.9999999999999609</v>
      </c>
      <c r="P927">
        <f t="shared" si="120"/>
        <v>6.0000000000000053</v>
      </c>
      <c r="Q927">
        <f t="shared" si="121"/>
        <v>5.9999999999999609</v>
      </c>
      <c r="R927">
        <f t="shared" si="122"/>
        <v>4.9999999999999822</v>
      </c>
    </row>
    <row r="928" spans="1:18">
      <c r="A928" s="9">
        <v>38065</v>
      </c>
      <c r="B928">
        <v>1.31</v>
      </c>
      <c r="C928">
        <v>1.83</v>
      </c>
      <c r="D928">
        <v>2.33</v>
      </c>
      <c r="E928">
        <v>2.76</v>
      </c>
      <c r="F928">
        <v>3.09</v>
      </c>
      <c r="G928">
        <v>3.62</v>
      </c>
      <c r="H928">
        <v>4.13</v>
      </c>
      <c r="I928">
        <v>4.99</v>
      </c>
      <c r="K928">
        <f t="shared" si="115"/>
        <v>0</v>
      </c>
      <c r="L928">
        <f t="shared" si="116"/>
        <v>1.0000000000000009</v>
      </c>
      <c r="M928">
        <f t="shared" si="117"/>
        <v>1.0000000000000231</v>
      </c>
      <c r="N928">
        <f t="shared" si="118"/>
        <v>3.9999999999999591</v>
      </c>
      <c r="O928">
        <f t="shared" si="119"/>
        <v>4.0000000000000036</v>
      </c>
      <c r="P928">
        <f t="shared" si="120"/>
        <v>4.0000000000000036</v>
      </c>
      <c r="Q928">
        <f t="shared" si="121"/>
        <v>4.0000000000000036</v>
      </c>
      <c r="R928">
        <f t="shared" si="122"/>
        <v>2.0000000000000462</v>
      </c>
    </row>
    <row r="929" spans="1:18">
      <c r="A929" s="9">
        <v>38068</v>
      </c>
      <c r="B929">
        <v>1.3</v>
      </c>
      <c r="C929">
        <v>1.81</v>
      </c>
      <c r="D929">
        <v>2.31</v>
      </c>
      <c r="E929">
        <v>2.74</v>
      </c>
      <c r="F929">
        <v>3.08</v>
      </c>
      <c r="G929">
        <v>3.6</v>
      </c>
      <c r="H929">
        <v>4.12</v>
      </c>
      <c r="I929">
        <v>4.9800000000000004</v>
      </c>
      <c r="K929">
        <f t="shared" si="115"/>
        <v>-1.0000000000000009</v>
      </c>
      <c r="L929">
        <f t="shared" si="116"/>
        <v>-2.0000000000000018</v>
      </c>
      <c r="M929">
        <f t="shared" si="117"/>
        <v>-2.0000000000000018</v>
      </c>
      <c r="N929">
        <f t="shared" si="118"/>
        <v>-1.9999999999999574</v>
      </c>
      <c r="O929">
        <f t="shared" si="119"/>
        <v>-0.99999999999997868</v>
      </c>
      <c r="P929">
        <f t="shared" si="120"/>
        <v>-2.0000000000000018</v>
      </c>
      <c r="Q929">
        <f t="shared" si="121"/>
        <v>-0.99999999999997868</v>
      </c>
      <c r="R929">
        <f t="shared" si="122"/>
        <v>-0.99999999999997868</v>
      </c>
    </row>
    <row r="930" spans="1:18">
      <c r="A930" s="9">
        <v>38069</v>
      </c>
      <c r="B930">
        <v>1.3</v>
      </c>
      <c r="C930">
        <v>1.81</v>
      </c>
      <c r="D930">
        <v>2.2999999999999998</v>
      </c>
      <c r="E930">
        <v>2.71</v>
      </c>
      <c r="F930">
        <v>3.05</v>
      </c>
      <c r="G930">
        <v>3.57</v>
      </c>
      <c r="H930">
        <v>4.09</v>
      </c>
      <c r="I930">
        <v>4.96</v>
      </c>
      <c r="K930">
        <f t="shared" si="115"/>
        <v>0</v>
      </c>
      <c r="L930">
        <f t="shared" si="116"/>
        <v>0</v>
      </c>
      <c r="M930">
        <f t="shared" si="117"/>
        <v>-1.0000000000000231</v>
      </c>
      <c r="N930">
        <f t="shared" si="118"/>
        <v>-3.0000000000000249</v>
      </c>
      <c r="O930">
        <f t="shared" si="119"/>
        <v>-3.0000000000000249</v>
      </c>
      <c r="P930">
        <f t="shared" si="120"/>
        <v>-3.0000000000000249</v>
      </c>
      <c r="Q930">
        <f t="shared" si="121"/>
        <v>-3.0000000000000249</v>
      </c>
      <c r="R930">
        <f t="shared" si="122"/>
        <v>-2.0000000000000462</v>
      </c>
    </row>
    <row r="931" spans="1:18">
      <c r="A931" s="9">
        <v>38070</v>
      </c>
      <c r="B931">
        <v>1.29</v>
      </c>
      <c r="C931">
        <v>1.79</v>
      </c>
      <c r="D931">
        <v>2.2799999999999998</v>
      </c>
      <c r="E931">
        <v>2.69</v>
      </c>
      <c r="F931">
        <v>3.04</v>
      </c>
      <c r="G931">
        <v>3.56</v>
      </c>
      <c r="H931">
        <v>4.07</v>
      </c>
      <c r="I931">
        <v>4.95</v>
      </c>
      <c r="K931">
        <f t="shared" si="115"/>
        <v>-1.0000000000000009</v>
      </c>
      <c r="L931">
        <f t="shared" si="116"/>
        <v>-2.0000000000000018</v>
      </c>
      <c r="M931">
        <f t="shared" si="117"/>
        <v>-2.0000000000000018</v>
      </c>
      <c r="N931">
        <f t="shared" si="118"/>
        <v>-2.0000000000000018</v>
      </c>
      <c r="O931">
        <f t="shared" si="119"/>
        <v>-0.99999999999997868</v>
      </c>
      <c r="P931">
        <f t="shared" si="120"/>
        <v>-0.99999999999997868</v>
      </c>
      <c r="Q931">
        <f t="shared" si="121"/>
        <v>-1.9999999999999574</v>
      </c>
      <c r="R931">
        <f t="shared" si="122"/>
        <v>-0.99999999999997868</v>
      </c>
    </row>
    <row r="932" spans="1:18">
      <c r="A932" s="9">
        <v>38071</v>
      </c>
      <c r="B932">
        <v>1.31</v>
      </c>
      <c r="C932">
        <v>1.81</v>
      </c>
      <c r="D932">
        <v>2.31</v>
      </c>
      <c r="E932">
        <v>2.74</v>
      </c>
      <c r="F932">
        <v>3.08</v>
      </c>
      <c r="G932">
        <v>3.6</v>
      </c>
      <c r="H932">
        <v>4.12</v>
      </c>
      <c r="I932">
        <v>4.99</v>
      </c>
      <c r="K932">
        <f t="shared" si="115"/>
        <v>2.0000000000000018</v>
      </c>
      <c r="L932">
        <f t="shared" si="116"/>
        <v>2.0000000000000018</v>
      </c>
      <c r="M932">
        <f t="shared" si="117"/>
        <v>3.0000000000000249</v>
      </c>
      <c r="N932">
        <f t="shared" si="118"/>
        <v>5.0000000000000266</v>
      </c>
      <c r="O932">
        <f t="shared" si="119"/>
        <v>4.0000000000000036</v>
      </c>
      <c r="P932">
        <f t="shared" si="120"/>
        <v>4.0000000000000036</v>
      </c>
      <c r="Q932">
        <f t="shared" si="121"/>
        <v>4.9999999999999822</v>
      </c>
      <c r="R932">
        <f t="shared" si="122"/>
        <v>4.0000000000000036</v>
      </c>
    </row>
    <row r="933" spans="1:18">
      <c r="A933" s="9">
        <v>38072</v>
      </c>
      <c r="B933">
        <v>1.32</v>
      </c>
      <c r="C933">
        <v>1.82</v>
      </c>
      <c r="D933">
        <v>2.33</v>
      </c>
      <c r="E933">
        <v>2.77</v>
      </c>
      <c r="F933">
        <v>3.11</v>
      </c>
      <c r="G933">
        <v>3.64</v>
      </c>
      <c r="H933">
        <v>4.16</v>
      </c>
      <c r="I933">
        <v>5.03</v>
      </c>
      <c r="K933">
        <f t="shared" si="115"/>
        <v>1.0000000000000009</v>
      </c>
      <c r="L933">
        <f t="shared" si="116"/>
        <v>1.0000000000000009</v>
      </c>
      <c r="M933">
        <f t="shared" si="117"/>
        <v>2.0000000000000018</v>
      </c>
      <c r="N933">
        <f t="shared" si="118"/>
        <v>2.9999999999999805</v>
      </c>
      <c r="O933">
        <f t="shared" si="119"/>
        <v>2.9999999999999805</v>
      </c>
      <c r="P933">
        <f t="shared" si="120"/>
        <v>4.0000000000000036</v>
      </c>
      <c r="Q933">
        <f t="shared" si="121"/>
        <v>4.0000000000000036</v>
      </c>
      <c r="R933">
        <f t="shared" si="122"/>
        <v>4.0000000000000036</v>
      </c>
    </row>
    <row r="934" spans="1:18">
      <c r="A934" s="9">
        <v>38075</v>
      </c>
      <c r="B934">
        <v>1.36</v>
      </c>
      <c r="C934">
        <v>1.93</v>
      </c>
      <c r="D934">
        <v>2.4500000000000002</v>
      </c>
      <c r="E934">
        <v>2.89</v>
      </c>
      <c r="F934">
        <v>3.25</v>
      </c>
      <c r="G934">
        <v>3.78</v>
      </c>
      <c r="H934">
        <v>4.29</v>
      </c>
      <c r="I934">
        <v>5.14</v>
      </c>
      <c r="K934">
        <f t="shared" si="115"/>
        <v>4.0000000000000036</v>
      </c>
      <c r="L934">
        <f t="shared" si="116"/>
        <v>10.999999999999988</v>
      </c>
      <c r="M934">
        <f t="shared" si="117"/>
        <v>12.000000000000011</v>
      </c>
      <c r="N934">
        <f t="shared" si="118"/>
        <v>12.000000000000011</v>
      </c>
      <c r="O934">
        <f t="shared" si="119"/>
        <v>14.000000000000012</v>
      </c>
      <c r="P934">
        <f t="shared" si="120"/>
        <v>13.999999999999968</v>
      </c>
      <c r="Q934">
        <f t="shared" si="121"/>
        <v>12.999999999999989</v>
      </c>
      <c r="R934">
        <f t="shared" si="122"/>
        <v>10.999999999999943</v>
      </c>
    </row>
    <row r="935" spans="1:18">
      <c r="A935" s="9">
        <v>38076</v>
      </c>
      <c r="B935">
        <v>1.35</v>
      </c>
      <c r="C935">
        <v>1.9</v>
      </c>
      <c r="D935">
        <v>2.42</v>
      </c>
      <c r="E935">
        <v>2.85</v>
      </c>
      <c r="F935">
        <v>3.2</v>
      </c>
      <c r="G935">
        <v>3.73</v>
      </c>
      <c r="H935">
        <v>4.25</v>
      </c>
      <c r="I935">
        <v>5.0999999999999996</v>
      </c>
      <c r="K935">
        <f t="shared" si="115"/>
        <v>-1.0000000000000009</v>
      </c>
      <c r="L935">
        <f t="shared" si="116"/>
        <v>-3.0000000000000027</v>
      </c>
      <c r="M935">
        <f t="shared" si="117"/>
        <v>-3.0000000000000249</v>
      </c>
      <c r="N935">
        <f t="shared" si="118"/>
        <v>-4.0000000000000036</v>
      </c>
      <c r="O935">
        <f t="shared" si="119"/>
        <v>-4.9999999999999822</v>
      </c>
      <c r="P935">
        <f t="shared" si="120"/>
        <v>-4.9999999999999822</v>
      </c>
      <c r="Q935">
        <f t="shared" si="121"/>
        <v>-4.0000000000000036</v>
      </c>
      <c r="R935">
        <f t="shared" si="122"/>
        <v>-4.0000000000000036</v>
      </c>
    </row>
    <row r="936" spans="1:18">
      <c r="A936" s="9">
        <v>38077</v>
      </c>
      <c r="B936">
        <v>1.35</v>
      </c>
      <c r="C936">
        <v>1.9</v>
      </c>
      <c r="D936">
        <v>2.41</v>
      </c>
      <c r="E936">
        <v>2.85</v>
      </c>
      <c r="F936">
        <v>3.2</v>
      </c>
      <c r="G936">
        <v>3.73</v>
      </c>
      <c r="H936">
        <v>4.25</v>
      </c>
      <c r="I936">
        <v>5.09</v>
      </c>
      <c r="K936">
        <f t="shared" si="115"/>
        <v>0</v>
      </c>
      <c r="L936">
        <f t="shared" si="116"/>
        <v>0</v>
      </c>
      <c r="M936">
        <f t="shared" si="117"/>
        <v>-0.99999999999997868</v>
      </c>
      <c r="N936">
        <f t="shared" si="118"/>
        <v>0</v>
      </c>
      <c r="O936">
        <f t="shared" si="119"/>
        <v>0</v>
      </c>
      <c r="P936">
        <f t="shared" si="120"/>
        <v>0</v>
      </c>
      <c r="Q936">
        <f t="shared" si="121"/>
        <v>0</v>
      </c>
      <c r="R936">
        <f t="shared" si="122"/>
        <v>-0.99999999999997868</v>
      </c>
    </row>
    <row r="937" spans="1:18">
      <c r="A937" s="9">
        <v>38078</v>
      </c>
      <c r="B937">
        <v>1.38</v>
      </c>
      <c r="C937">
        <v>1.95</v>
      </c>
      <c r="D937">
        <v>2.4700000000000002</v>
      </c>
      <c r="E937">
        <v>2.91</v>
      </c>
      <c r="F937">
        <v>3.26</v>
      </c>
      <c r="G937">
        <v>3.79</v>
      </c>
      <c r="H937">
        <v>4.3</v>
      </c>
      <c r="I937">
        <v>5.15</v>
      </c>
      <c r="K937">
        <f t="shared" si="115"/>
        <v>2.9999999999999805</v>
      </c>
      <c r="L937">
        <f t="shared" si="116"/>
        <v>5.0000000000000044</v>
      </c>
      <c r="M937">
        <f t="shared" si="117"/>
        <v>6.0000000000000053</v>
      </c>
      <c r="N937">
        <f t="shared" si="118"/>
        <v>6.0000000000000053</v>
      </c>
      <c r="O937">
        <f t="shared" si="119"/>
        <v>5.9999999999999609</v>
      </c>
      <c r="P937">
        <f t="shared" si="120"/>
        <v>6.0000000000000053</v>
      </c>
      <c r="Q937">
        <f t="shared" si="121"/>
        <v>4.9999999999999822</v>
      </c>
      <c r="R937">
        <f t="shared" si="122"/>
        <v>6.0000000000000497</v>
      </c>
    </row>
    <row r="938" spans="1:18">
      <c r="A938" s="9">
        <v>38079</v>
      </c>
      <c r="B938">
        <v>1.52</v>
      </c>
      <c r="C938">
        <v>2.16</v>
      </c>
      <c r="D938">
        <v>2.72</v>
      </c>
      <c r="E938">
        <v>3.15</v>
      </c>
      <c r="F938">
        <v>3.51</v>
      </c>
      <c r="G938">
        <v>4.0199999999999996</v>
      </c>
      <c r="H938">
        <v>4.51</v>
      </c>
      <c r="I938">
        <v>5.29</v>
      </c>
      <c r="K938">
        <f t="shared" si="115"/>
        <v>14.000000000000012</v>
      </c>
      <c r="L938">
        <f t="shared" si="116"/>
        <v>21.000000000000018</v>
      </c>
      <c r="M938">
        <f t="shared" si="117"/>
        <v>25</v>
      </c>
      <c r="N938">
        <f t="shared" si="118"/>
        <v>23.999999999999979</v>
      </c>
      <c r="O938">
        <f t="shared" si="119"/>
        <v>25</v>
      </c>
      <c r="P938">
        <f t="shared" si="120"/>
        <v>22.999999999999954</v>
      </c>
      <c r="Q938">
        <f t="shared" si="121"/>
        <v>20.999999999999996</v>
      </c>
      <c r="R938">
        <f t="shared" si="122"/>
        <v>13.999999999999968</v>
      </c>
    </row>
    <row r="939" spans="1:18">
      <c r="A939" s="9">
        <v>38082</v>
      </c>
      <c r="B939">
        <v>1.53</v>
      </c>
      <c r="C939">
        <v>2.2200000000000002</v>
      </c>
      <c r="D939">
        <v>2.79</v>
      </c>
      <c r="E939">
        <v>3.25</v>
      </c>
      <c r="F939">
        <v>3.62</v>
      </c>
      <c r="G939">
        <v>4.1399999999999997</v>
      </c>
      <c r="H939">
        <v>4.62</v>
      </c>
      <c r="I939">
        <v>5.37</v>
      </c>
      <c r="K939">
        <f t="shared" si="115"/>
        <v>1.0000000000000009</v>
      </c>
      <c r="L939">
        <f t="shared" si="116"/>
        <v>6.0000000000000053</v>
      </c>
      <c r="M939">
        <f t="shared" si="117"/>
        <v>6.999999999999984</v>
      </c>
      <c r="N939">
        <f t="shared" si="118"/>
        <v>10.000000000000009</v>
      </c>
      <c r="O939">
        <f t="shared" si="119"/>
        <v>11.000000000000032</v>
      </c>
      <c r="P939">
        <f t="shared" si="120"/>
        <v>12.000000000000011</v>
      </c>
      <c r="Q939">
        <f t="shared" si="121"/>
        <v>11.000000000000032</v>
      </c>
      <c r="R939">
        <f t="shared" si="122"/>
        <v>8.0000000000000071</v>
      </c>
    </row>
    <row r="940" spans="1:18">
      <c r="A940" s="9">
        <v>38083</v>
      </c>
      <c r="B940">
        <v>1.51</v>
      </c>
      <c r="C940">
        <v>2.19</v>
      </c>
      <c r="D940">
        <v>2.76</v>
      </c>
      <c r="E940">
        <v>3.22</v>
      </c>
      <c r="F940">
        <v>3.58</v>
      </c>
      <c r="G940">
        <v>4.0999999999999996</v>
      </c>
      <c r="H940">
        <v>4.59</v>
      </c>
      <c r="I940">
        <v>5.35</v>
      </c>
      <c r="K940">
        <f t="shared" si="115"/>
        <v>-2.0000000000000018</v>
      </c>
      <c r="L940">
        <f t="shared" si="116"/>
        <v>-3.0000000000000249</v>
      </c>
      <c r="M940">
        <f t="shared" si="117"/>
        <v>-3.0000000000000249</v>
      </c>
      <c r="N940">
        <f t="shared" si="118"/>
        <v>-2.9999999999999805</v>
      </c>
      <c r="O940">
        <f t="shared" si="119"/>
        <v>-4.0000000000000036</v>
      </c>
      <c r="P940">
        <f t="shared" si="120"/>
        <v>-4.0000000000000036</v>
      </c>
      <c r="Q940">
        <f t="shared" si="121"/>
        <v>-3.0000000000000249</v>
      </c>
      <c r="R940">
        <f t="shared" si="122"/>
        <v>-2.0000000000000462</v>
      </c>
    </row>
    <row r="941" spans="1:18">
      <c r="A941" s="9">
        <v>38084</v>
      </c>
      <c r="B941">
        <v>1.48</v>
      </c>
      <c r="C941">
        <v>2.15</v>
      </c>
      <c r="D941">
        <v>2.72</v>
      </c>
      <c r="E941">
        <v>3.18</v>
      </c>
      <c r="F941">
        <v>3.54</v>
      </c>
      <c r="G941">
        <v>4.0599999999999996</v>
      </c>
      <c r="H941">
        <v>4.55</v>
      </c>
      <c r="I941">
        <v>5.31</v>
      </c>
      <c r="K941">
        <f t="shared" si="115"/>
        <v>-3.0000000000000027</v>
      </c>
      <c r="L941">
        <f t="shared" si="116"/>
        <v>-4.0000000000000036</v>
      </c>
      <c r="M941">
        <f t="shared" si="117"/>
        <v>-3.9999999999999591</v>
      </c>
      <c r="N941">
        <f t="shared" si="118"/>
        <v>-4.0000000000000036</v>
      </c>
      <c r="O941">
        <f t="shared" si="119"/>
        <v>-4.0000000000000036</v>
      </c>
      <c r="P941">
        <f t="shared" si="120"/>
        <v>-4.0000000000000036</v>
      </c>
      <c r="Q941">
        <f t="shared" si="121"/>
        <v>-4.0000000000000036</v>
      </c>
      <c r="R941">
        <f t="shared" si="122"/>
        <v>-4.0000000000000036</v>
      </c>
    </row>
    <row r="942" spans="1:18">
      <c r="A942" s="9">
        <v>38085</v>
      </c>
      <c r="B942">
        <v>1.51</v>
      </c>
      <c r="C942">
        <v>2.2000000000000002</v>
      </c>
      <c r="D942">
        <v>2.78</v>
      </c>
      <c r="E942">
        <v>3.23</v>
      </c>
      <c r="F942">
        <v>3.6</v>
      </c>
      <c r="G942">
        <v>4.1100000000000003</v>
      </c>
      <c r="H942">
        <v>4.5999999999999996</v>
      </c>
      <c r="I942">
        <v>5.35</v>
      </c>
      <c r="K942">
        <f t="shared" si="115"/>
        <v>3.0000000000000027</v>
      </c>
      <c r="L942">
        <f t="shared" si="116"/>
        <v>5.0000000000000266</v>
      </c>
      <c r="M942">
        <f t="shared" si="117"/>
        <v>5.9999999999999609</v>
      </c>
      <c r="N942">
        <f t="shared" si="118"/>
        <v>4.9999999999999822</v>
      </c>
      <c r="O942">
        <f t="shared" si="119"/>
        <v>6.0000000000000053</v>
      </c>
      <c r="P942">
        <f t="shared" si="120"/>
        <v>5.0000000000000711</v>
      </c>
      <c r="Q942">
        <f t="shared" si="121"/>
        <v>4.9999999999999822</v>
      </c>
      <c r="R942">
        <f t="shared" si="122"/>
        <v>4.0000000000000036</v>
      </c>
    </row>
    <row r="943" spans="1:18">
      <c r="A943" s="9">
        <v>38089</v>
      </c>
      <c r="B943">
        <v>1.52</v>
      </c>
      <c r="C943">
        <v>2.2200000000000002</v>
      </c>
      <c r="D943">
        <v>2.81</v>
      </c>
      <c r="E943">
        <v>3.27</v>
      </c>
      <c r="F943">
        <v>3.65</v>
      </c>
      <c r="G943">
        <v>4.16</v>
      </c>
      <c r="H943">
        <v>4.6500000000000004</v>
      </c>
      <c r="I943">
        <v>5.39</v>
      </c>
      <c r="K943">
        <f t="shared" si="115"/>
        <v>1.0000000000000009</v>
      </c>
      <c r="L943">
        <f t="shared" si="116"/>
        <v>2.0000000000000018</v>
      </c>
      <c r="M943">
        <f t="shared" si="117"/>
        <v>3.0000000000000249</v>
      </c>
      <c r="N943">
        <f t="shared" si="118"/>
        <v>4.0000000000000036</v>
      </c>
      <c r="O943">
        <f t="shared" si="119"/>
        <v>4.9999999999999822</v>
      </c>
      <c r="P943">
        <f t="shared" si="120"/>
        <v>4.9999999999999822</v>
      </c>
      <c r="Q943">
        <f t="shared" si="121"/>
        <v>5.0000000000000711</v>
      </c>
      <c r="R943">
        <f t="shared" si="122"/>
        <v>4.0000000000000036</v>
      </c>
    </row>
    <row r="944" spans="1:18">
      <c r="A944" s="9">
        <v>38090</v>
      </c>
      <c r="B944">
        <v>1.56</v>
      </c>
      <c r="C944">
        <v>2.29</v>
      </c>
      <c r="D944">
        <v>2.89</v>
      </c>
      <c r="E944">
        <v>3.36</v>
      </c>
      <c r="F944">
        <v>3.74</v>
      </c>
      <c r="G944">
        <v>4.25</v>
      </c>
      <c r="H944">
        <v>4.74</v>
      </c>
      <c r="I944">
        <v>5.46</v>
      </c>
      <c r="K944">
        <f t="shared" si="115"/>
        <v>4.0000000000000036</v>
      </c>
      <c r="L944">
        <f t="shared" si="116"/>
        <v>6.999999999999984</v>
      </c>
      <c r="M944">
        <f t="shared" si="117"/>
        <v>8.0000000000000071</v>
      </c>
      <c r="N944">
        <f t="shared" si="118"/>
        <v>8.9999999999999858</v>
      </c>
      <c r="O944">
        <f t="shared" si="119"/>
        <v>9.0000000000000302</v>
      </c>
      <c r="P944">
        <f t="shared" si="120"/>
        <v>8.9999999999999858</v>
      </c>
      <c r="Q944">
        <f t="shared" si="121"/>
        <v>8.9999999999999858</v>
      </c>
      <c r="R944">
        <f t="shared" si="122"/>
        <v>7.0000000000000284</v>
      </c>
    </row>
    <row r="945" spans="1:18">
      <c r="A945" s="9">
        <v>38091</v>
      </c>
      <c r="B945">
        <v>1.64</v>
      </c>
      <c r="C945">
        <v>2.4</v>
      </c>
      <c r="D945">
        <v>2.99</v>
      </c>
      <c r="E945">
        <v>3.47</v>
      </c>
      <c r="F945">
        <v>3.85</v>
      </c>
      <c r="G945">
        <v>4.3600000000000003</v>
      </c>
      <c r="H945">
        <v>4.84</v>
      </c>
      <c r="I945">
        <v>5.53</v>
      </c>
      <c r="K945">
        <f t="shared" si="115"/>
        <v>7.9999999999999849</v>
      </c>
      <c r="L945">
        <f t="shared" si="116"/>
        <v>10.999999999999988</v>
      </c>
      <c r="M945">
        <f t="shared" si="117"/>
        <v>10.000000000000009</v>
      </c>
      <c r="N945">
        <f t="shared" si="118"/>
        <v>11.000000000000032</v>
      </c>
      <c r="O945">
        <f t="shared" si="119"/>
        <v>10.999999999999988</v>
      </c>
      <c r="P945">
        <f t="shared" si="120"/>
        <v>11.000000000000032</v>
      </c>
      <c r="Q945">
        <f t="shared" si="121"/>
        <v>9.9999999999999645</v>
      </c>
      <c r="R945">
        <f t="shared" si="122"/>
        <v>7.0000000000000284</v>
      </c>
    </row>
    <row r="946" spans="1:18">
      <c r="A946" s="9">
        <v>38092</v>
      </c>
      <c r="B946">
        <v>1.65</v>
      </c>
      <c r="C946">
        <v>2.4</v>
      </c>
      <c r="D946">
        <v>3.01</v>
      </c>
      <c r="E946">
        <v>3.48</v>
      </c>
      <c r="F946">
        <v>3.83</v>
      </c>
      <c r="G946">
        <v>4.34</v>
      </c>
      <c r="H946">
        <v>4.8099999999999996</v>
      </c>
      <c r="I946">
        <v>5.51</v>
      </c>
      <c r="K946">
        <f t="shared" si="115"/>
        <v>1.0000000000000009</v>
      </c>
      <c r="L946">
        <f t="shared" si="116"/>
        <v>0</v>
      </c>
      <c r="M946">
        <f t="shared" si="117"/>
        <v>1.9999999999999574</v>
      </c>
      <c r="N946">
        <f t="shared" si="118"/>
        <v>0.99999999999997868</v>
      </c>
      <c r="O946">
        <f t="shared" si="119"/>
        <v>-2.0000000000000018</v>
      </c>
      <c r="P946">
        <f t="shared" si="120"/>
        <v>-2.0000000000000462</v>
      </c>
      <c r="Q946">
        <f t="shared" si="121"/>
        <v>-3.0000000000000249</v>
      </c>
      <c r="R946">
        <f t="shared" si="122"/>
        <v>-2.0000000000000462</v>
      </c>
    </row>
    <row r="947" spans="1:18">
      <c r="A947" s="9">
        <v>38093</v>
      </c>
      <c r="B947">
        <v>1.6</v>
      </c>
      <c r="C947">
        <v>2.35</v>
      </c>
      <c r="D947">
        <v>2.95</v>
      </c>
      <c r="E947">
        <v>3.43</v>
      </c>
      <c r="F947">
        <v>3.8</v>
      </c>
      <c r="G947">
        <v>4.3099999999999996</v>
      </c>
      <c r="H947">
        <v>4.79</v>
      </c>
      <c r="I947">
        <v>5.5</v>
      </c>
      <c r="K947">
        <f t="shared" si="115"/>
        <v>-4.9999999999999822</v>
      </c>
      <c r="L947">
        <f t="shared" si="116"/>
        <v>-4.9999999999999822</v>
      </c>
      <c r="M947">
        <f t="shared" si="117"/>
        <v>-5.9999999999999609</v>
      </c>
      <c r="N947">
        <f t="shared" si="118"/>
        <v>-4.9999999999999822</v>
      </c>
      <c r="O947">
        <f t="shared" si="119"/>
        <v>-3.0000000000000249</v>
      </c>
      <c r="P947">
        <f t="shared" si="120"/>
        <v>-3.0000000000000249</v>
      </c>
      <c r="Q947">
        <f t="shared" si="121"/>
        <v>-1.9999999999999574</v>
      </c>
      <c r="R947">
        <f t="shared" si="122"/>
        <v>-0.99999999999997868</v>
      </c>
    </row>
    <row r="948" spans="1:18">
      <c r="A948" s="9">
        <v>38096</v>
      </c>
      <c r="B948">
        <v>1.61</v>
      </c>
      <c r="C948">
        <v>2.35</v>
      </c>
      <c r="D948">
        <v>2.95</v>
      </c>
      <c r="E948">
        <v>3.41</v>
      </c>
      <c r="F948">
        <v>3.77</v>
      </c>
      <c r="G948">
        <v>4.28</v>
      </c>
      <c r="H948">
        <v>4.76</v>
      </c>
      <c r="I948">
        <v>5.49</v>
      </c>
      <c r="K948">
        <f t="shared" si="115"/>
        <v>1.0000000000000009</v>
      </c>
      <c r="L948">
        <f t="shared" si="116"/>
        <v>0</v>
      </c>
      <c r="M948">
        <f t="shared" si="117"/>
        <v>0</v>
      </c>
      <c r="N948">
        <f t="shared" si="118"/>
        <v>-2.0000000000000018</v>
      </c>
      <c r="O948">
        <f t="shared" si="119"/>
        <v>-2.9999999999999805</v>
      </c>
      <c r="P948">
        <f t="shared" si="120"/>
        <v>-2.9999999999999361</v>
      </c>
      <c r="Q948">
        <f t="shared" si="121"/>
        <v>-3.0000000000000249</v>
      </c>
      <c r="R948">
        <f t="shared" si="122"/>
        <v>-0.99999999999997868</v>
      </c>
    </row>
    <row r="949" spans="1:18">
      <c r="A949" s="9">
        <v>38097</v>
      </c>
      <c r="B949">
        <v>1.64</v>
      </c>
      <c r="C949">
        <v>2.41</v>
      </c>
      <c r="D949">
        <v>3.03</v>
      </c>
      <c r="E949">
        <v>3.5</v>
      </c>
      <c r="F949">
        <v>3.87</v>
      </c>
      <c r="G949">
        <v>4.38</v>
      </c>
      <c r="H949">
        <v>4.84</v>
      </c>
      <c r="I949">
        <v>5.55</v>
      </c>
      <c r="K949">
        <f t="shared" si="115"/>
        <v>2.9999999999999805</v>
      </c>
      <c r="L949">
        <f t="shared" si="116"/>
        <v>6.0000000000000053</v>
      </c>
      <c r="M949">
        <f t="shared" si="117"/>
        <v>7.9999999999999627</v>
      </c>
      <c r="N949">
        <f t="shared" si="118"/>
        <v>8.9999999999999858</v>
      </c>
      <c r="O949">
        <f t="shared" si="119"/>
        <v>10.000000000000009</v>
      </c>
      <c r="P949">
        <f t="shared" si="120"/>
        <v>9.9999999999999645</v>
      </c>
      <c r="Q949">
        <f t="shared" si="121"/>
        <v>8.0000000000000071</v>
      </c>
      <c r="R949">
        <f t="shared" si="122"/>
        <v>5.9999999999999609</v>
      </c>
    </row>
    <row r="950" spans="1:18">
      <c r="A950" s="9">
        <v>38098</v>
      </c>
      <c r="B950">
        <v>1.7</v>
      </c>
      <c r="C950">
        <v>2.5099999999999998</v>
      </c>
      <c r="D950">
        <v>3.12</v>
      </c>
      <c r="E950">
        <v>3.58</v>
      </c>
      <c r="F950">
        <v>3.94</v>
      </c>
      <c r="G950">
        <v>4.43</v>
      </c>
      <c r="H950">
        <v>4.8899999999999997</v>
      </c>
      <c r="I950">
        <v>5.57</v>
      </c>
      <c r="K950">
        <f t="shared" si="115"/>
        <v>6.0000000000000053</v>
      </c>
      <c r="L950">
        <f t="shared" si="116"/>
        <v>9.9999999999999645</v>
      </c>
      <c r="M950">
        <f t="shared" si="117"/>
        <v>9.0000000000000302</v>
      </c>
      <c r="N950">
        <f t="shared" si="118"/>
        <v>8.0000000000000071</v>
      </c>
      <c r="O950">
        <f t="shared" si="119"/>
        <v>6.999999999999984</v>
      </c>
      <c r="P950">
        <f t="shared" si="120"/>
        <v>4.9999999999999822</v>
      </c>
      <c r="Q950">
        <f t="shared" si="121"/>
        <v>4.9999999999999822</v>
      </c>
      <c r="R950">
        <f t="shared" si="122"/>
        <v>2.0000000000000462</v>
      </c>
    </row>
    <row r="951" spans="1:18">
      <c r="A951" s="9">
        <v>38099</v>
      </c>
      <c r="B951">
        <v>1.7</v>
      </c>
      <c r="C951">
        <v>2.4900000000000002</v>
      </c>
      <c r="D951">
        <v>3.09</v>
      </c>
      <c r="E951">
        <v>3.55</v>
      </c>
      <c r="F951">
        <v>3.9</v>
      </c>
      <c r="G951">
        <v>4.3899999999999997</v>
      </c>
      <c r="H951">
        <v>4.84</v>
      </c>
      <c r="I951">
        <v>5.54</v>
      </c>
      <c r="K951">
        <f t="shared" si="115"/>
        <v>0</v>
      </c>
      <c r="L951">
        <f t="shared" si="116"/>
        <v>-1.9999999999999574</v>
      </c>
      <c r="M951">
        <f t="shared" si="117"/>
        <v>-3.0000000000000249</v>
      </c>
      <c r="N951">
        <f t="shared" si="118"/>
        <v>-3.0000000000000249</v>
      </c>
      <c r="O951">
        <f t="shared" si="119"/>
        <v>-4.0000000000000036</v>
      </c>
      <c r="P951">
        <f t="shared" si="120"/>
        <v>-4.0000000000000036</v>
      </c>
      <c r="Q951">
        <f t="shared" si="121"/>
        <v>-4.9999999999999822</v>
      </c>
      <c r="R951">
        <f t="shared" si="122"/>
        <v>-3.0000000000000249</v>
      </c>
    </row>
    <row r="952" spans="1:18">
      <c r="A952" s="9">
        <v>38100</v>
      </c>
      <c r="B952">
        <v>1.75</v>
      </c>
      <c r="C952">
        <v>2.56</v>
      </c>
      <c r="D952">
        <v>3.16</v>
      </c>
      <c r="E952">
        <v>3.62</v>
      </c>
      <c r="F952">
        <v>3.96</v>
      </c>
      <c r="G952">
        <v>4.4400000000000004</v>
      </c>
      <c r="H952">
        <v>4.88</v>
      </c>
      <c r="I952">
        <v>5.57</v>
      </c>
      <c r="K952">
        <f t="shared" si="115"/>
        <v>5.0000000000000044</v>
      </c>
      <c r="L952">
        <f t="shared" si="116"/>
        <v>6.999999999999984</v>
      </c>
      <c r="M952">
        <f t="shared" si="117"/>
        <v>7.0000000000000284</v>
      </c>
      <c r="N952">
        <f t="shared" si="118"/>
        <v>7.0000000000000284</v>
      </c>
      <c r="O952">
        <f t="shared" si="119"/>
        <v>6.0000000000000053</v>
      </c>
      <c r="P952">
        <f t="shared" si="120"/>
        <v>5.0000000000000711</v>
      </c>
      <c r="Q952">
        <f t="shared" si="121"/>
        <v>4.0000000000000036</v>
      </c>
      <c r="R952">
        <f t="shared" si="122"/>
        <v>3.0000000000000249</v>
      </c>
    </row>
    <row r="953" spans="1:18">
      <c r="A953" s="9">
        <v>38103</v>
      </c>
      <c r="B953">
        <v>1.78</v>
      </c>
      <c r="C953">
        <v>2.6</v>
      </c>
      <c r="D953">
        <v>3.2</v>
      </c>
      <c r="E953">
        <v>3.64</v>
      </c>
      <c r="F953">
        <v>3.98</v>
      </c>
      <c r="G953">
        <v>4.45</v>
      </c>
      <c r="H953">
        <v>4.8899999999999997</v>
      </c>
      <c r="I953">
        <v>5.55</v>
      </c>
      <c r="K953">
        <f t="shared" si="115"/>
        <v>3.0000000000000027</v>
      </c>
      <c r="L953">
        <f t="shared" si="116"/>
        <v>4.0000000000000036</v>
      </c>
      <c r="M953">
        <f t="shared" si="117"/>
        <v>4.0000000000000036</v>
      </c>
      <c r="N953">
        <f t="shared" si="118"/>
        <v>2.0000000000000018</v>
      </c>
      <c r="O953">
        <f t="shared" si="119"/>
        <v>2.0000000000000018</v>
      </c>
      <c r="P953">
        <f t="shared" si="120"/>
        <v>0.99999999999997868</v>
      </c>
      <c r="Q953">
        <f t="shared" si="121"/>
        <v>0.99999999999997868</v>
      </c>
      <c r="R953">
        <f t="shared" si="122"/>
        <v>-2.0000000000000462</v>
      </c>
    </row>
    <row r="954" spans="1:18">
      <c r="A954" s="9">
        <v>38104</v>
      </c>
      <c r="B954">
        <v>1.77</v>
      </c>
      <c r="C954">
        <v>2.58</v>
      </c>
      <c r="D954">
        <v>3.19</v>
      </c>
      <c r="E954">
        <v>3.64</v>
      </c>
      <c r="F954">
        <v>3.98</v>
      </c>
      <c r="G954">
        <v>4.45</v>
      </c>
      <c r="H954">
        <v>4.8899999999999997</v>
      </c>
      <c r="I954">
        <v>5.55</v>
      </c>
      <c r="K954">
        <f t="shared" si="115"/>
        <v>-1.0000000000000009</v>
      </c>
      <c r="L954">
        <f t="shared" si="116"/>
        <v>-2.0000000000000018</v>
      </c>
      <c r="M954">
        <f t="shared" si="117"/>
        <v>-1.0000000000000231</v>
      </c>
      <c r="N954">
        <f t="shared" si="118"/>
        <v>0</v>
      </c>
      <c r="O954">
        <f t="shared" si="119"/>
        <v>0</v>
      </c>
      <c r="P954">
        <f t="shared" si="120"/>
        <v>0</v>
      </c>
      <c r="Q954">
        <f t="shared" si="121"/>
        <v>0</v>
      </c>
      <c r="R954">
        <f t="shared" si="122"/>
        <v>0</v>
      </c>
    </row>
    <row r="955" spans="1:18">
      <c r="A955" s="9">
        <v>38105</v>
      </c>
      <c r="B955">
        <v>1.77</v>
      </c>
      <c r="C955">
        <v>2.58</v>
      </c>
      <c r="D955">
        <v>3.19</v>
      </c>
      <c r="E955">
        <v>3.64</v>
      </c>
      <c r="F955">
        <v>3.97</v>
      </c>
      <c r="G955">
        <v>4.4400000000000004</v>
      </c>
      <c r="H955">
        <v>4.88</v>
      </c>
      <c r="I955">
        <v>5.56</v>
      </c>
      <c r="K955">
        <f t="shared" si="115"/>
        <v>0</v>
      </c>
      <c r="L955">
        <f t="shared" si="116"/>
        <v>0</v>
      </c>
      <c r="M955">
        <f t="shared" si="117"/>
        <v>0</v>
      </c>
      <c r="N955">
        <f t="shared" si="118"/>
        <v>0</v>
      </c>
      <c r="O955">
        <f t="shared" si="119"/>
        <v>-0.99999999999997868</v>
      </c>
      <c r="P955">
        <f t="shared" si="120"/>
        <v>-0.99999999999997868</v>
      </c>
      <c r="Q955">
        <f t="shared" si="121"/>
        <v>-0.99999999999997868</v>
      </c>
      <c r="R955">
        <f t="shared" si="122"/>
        <v>0.99999999999997868</v>
      </c>
    </row>
    <row r="956" spans="1:18">
      <c r="A956" s="9">
        <v>38106</v>
      </c>
      <c r="B956">
        <v>1.81</v>
      </c>
      <c r="C956">
        <v>2.64</v>
      </c>
      <c r="D956">
        <v>3.25</v>
      </c>
      <c r="E956">
        <v>3.7</v>
      </c>
      <c r="F956">
        <v>4.04</v>
      </c>
      <c r="G956">
        <v>4.51</v>
      </c>
      <c r="H956">
        <v>4.95</v>
      </c>
      <c r="I956">
        <v>5.59</v>
      </c>
      <c r="K956">
        <f t="shared" si="115"/>
        <v>4.0000000000000036</v>
      </c>
      <c r="L956">
        <f t="shared" si="116"/>
        <v>6.0000000000000053</v>
      </c>
      <c r="M956">
        <f t="shared" si="117"/>
        <v>6.0000000000000053</v>
      </c>
      <c r="N956">
        <f t="shared" si="118"/>
        <v>6.0000000000000053</v>
      </c>
      <c r="O956">
        <f t="shared" si="119"/>
        <v>6.999999999999984</v>
      </c>
      <c r="P956">
        <f t="shared" si="120"/>
        <v>6.9999999999999396</v>
      </c>
      <c r="Q956">
        <f t="shared" si="121"/>
        <v>7.0000000000000284</v>
      </c>
      <c r="R956">
        <f t="shared" si="122"/>
        <v>3.0000000000000249</v>
      </c>
    </row>
    <row r="957" spans="1:18">
      <c r="A957" s="9">
        <v>38107</v>
      </c>
      <c r="B957">
        <v>1.82</v>
      </c>
      <c r="C957">
        <v>2.67</v>
      </c>
      <c r="D957">
        <v>3.29</v>
      </c>
      <c r="E957">
        <v>3.75</v>
      </c>
      <c r="F957">
        <v>4.09</v>
      </c>
      <c r="G957">
        <v>4.5599999999999996</v>
      </c>
      <c r="H957">
        <v>5</v>
      </c>
      <c r="I957">
        <v>5.63</v>
      </c>
      <c r="K957">
        <f t="shared" si="115"/>
        <v>1.0000000000000009</v>
      </c>
      <c r="L957">
        <f t="shared" si="116"/>
        <v>2.9999999999999805</v>
      </c>
      <c r="M957">
        <f t="shared" si="117"/>
        <v>4.0000000000000036</v>
      </c>
      <c r="N957">
        <f t="shared" si="118"/>
        <v>4.9999999999999822</v>
      </c>
      <c r="O957">
        <f t="shared" si="119"/>
        <v>4.9999999999999822</v>
      </c>
      <c r="P957">
        <f t="shared" si="120"/>
        <v>4.9999999999999822</v>
      </c>
      <c r="Q957">
        <f t="shared" si="121"/>
        <v>4.9999999999999822</v>
      </c>
      <c r="R957">
        <f t="shared" si="122"/>
        <v>4.0000000000000036</v>
      </c>
    </row>
    <row r="958" spans="1:18">
      <c r="A958" s="9">
        <v>38110</v>
      </c>
      <c r="B958">
        <v>1.82</v>
      </c>
      <c r="C958">
        <v>2.67</v>
      </c>
      <c r="D958">
        <v>3.29</v>
      </c>
      <c r="E958">
        <v>3.75</v>
      </c>
      <c r="F958">
        <v>4.08</v>
      </c>
      <c r="G958">
        <v>4.55</v>
      </c>
      <c r="H958">
        <v>4.97</v>
      </c>
      <c r="I958">
        <v>5.6</v>
      </c>
      <c r="K958">
        <f t="shared" si="115"/>
        <v>0</v>
      </c>
      <c r="L958">
        <f t="shared" si="116"/>
        <v>0</v>
      </c>
      <c r="M958">
        <f t="shared" si="117"/>
        <v>0</v>
      </c>
      <c r="N958">
        <f t="shared" si="118"/>
        <v>0</v>
      </c>
      <c r="O958">
        <f t="shared" si="119"/>
        <v>-0.99999999999997868</v>
      </c>
      <c r="P958">
        <f t="shared" si="120"/>
        <v>-0.99999999999997868</v>
      </c>
      <c r="Q958">
        <f t="shared" si="121"/>
        <v>-3.0000000000000249</v>
      </c>
      <c r="R958">
        <f t="shared" si="122"/>
        <v>-3.0000000000000249</v>
      </c>
    </row>
    <row r="959" spans="1:18">
      <c r="A959" s="9">
        <v>38111</v>
      </c>
      <c r="B959">
        <v>1.82</v>
      </c>
      <c r="C959">
        <v>2.66</v>
      </c>
      <c r="D959">
        <v>3.28</v>
      </c>
      <c r="E959">
        <v>3.73</v>
      </c>
      <c r="F959">
        <v>4.08</v>
      </c>
      <c r="G959">
        <v>4.55</v>
      </c>
      <c r="H959">
        <v>4.99</v>
      </c>
      <c r="I959">
        <v>5.62</v>
      </c>
      <c r="K959">
        <f t="shared" si="115"/>
        <v>0</v>
      </c>
      <c r="L959">
        <f t="shared" si="116"/>
        <v>-0.99999999999997868</v>
      </c>
      <c r="M959">
        <f t="shared" si="117"/>
        <v>-1.0000000000000231</v>
      </c>
      <c r="N959">
        <f t="shared" si="118"/>
        <v>-2.0000000000000018</v>
      </c>
      <c r="O959">
        <f t="shared" si="119"/>
        <v>0</v>
      </c>
      <c r="P959">
        <f t="shared" si="120"/>
        <v>0</v>
      </c>
      <c r="Q959">
        <f t="shared" si="121"/>
        <v>2.0000000000000462</v>
      </c>
      <c r="R959">
        <f t="shared" si="122"/>
        <v>2.0000000000000462</v>
      </c>
    </row>
    <row r="960" spans="1:18">
      <c r="A960" s="9">
        <v>38112</v>
      </c>
      <c r="B960">
        <v>1.81</v>
      </c>
      <c r="C960">
        <v>2.65</v>
      </c>
      <c r="D960">
        <v>3.29</v>
      </c>
      <c r="E960">
        <v>3.76</v>
      </c>
      <c r="F960">
        <v>4.12</v>
      </c>
      <c r="G960">
        <v>4.5999999999999996</v>
      </c>
      <c r="H960">
        <v>5.04</v>
      </c>
      <c r="I960">
        <v>5.67</v>
      </c>
      <c r="K960">
        <f t="shared" si="115"/>
        <v>-1.0000000000000009</v>
      </c>
      <c r="L960">
        <f t="shared" si="116"/>
        <v>-1.0000000000000231</v>
      </c>
      <c r="M960">
        <f t="shared" si="117"/>
        <v>1.0000000000000231</v>
      </c>
      <c r="N960">
        <f t="shared" si="118"/>
        <v>2.9999999999999805</v>
      </c>
      <c r="O960">
        <f t="shared" si="119"/>
        <v>4.0000000000000036</v>
      </c>
      <c r="P960">
        <f t="shared" si="120"/>
        <v>4.9999999999999822</v>
      </c>
      <c r="Q960">
        <f t="shared" si="121"/>
        <v>4.9999999999999822</v>
      </c>
      <c r="R960">
        <f t="shared" si="122"/>
        <v>4.9999999999999822</v>
      </c>
    </row>
    <row r="961" spans="1:18">
      <c r="A961" s="9">
        <v>38113</v>
      </c>
      <c r="B961">
        <v>1.87</v>
      </c>
      <c r="C961">
        <v>2.72</v>
      </c>
      <c r="D961">
        <v>3.36</v>
      </c>
      <c r="E961">
        <v>3.84</v>
      </c>
      <c r="F961">
        <v>4.2</v>
      </c>
      <c r="G961">
        <v>4.68</v>
      </c>
      <c r="H961">
        <v>5.12</v>
      </c>
      <c r="I961">
        <v>5.73</v>
      </c>
      <c r="K961">
        <f t="shared" si="115"/>
        <v>6.0000000000000053</v>
      </c>
      <c r="L961">
        <f t="shared" si="116"/>
        <v>7.0000000000000284</v>
      </c>
      <c r="M961">
        <f t="shared" si="117"/>
        <v>6.999999999999984</v>
      </c>
      <c r="N961">
        <f t="shared" si="118"/>
        <v>8.0000000000000071</v>
      </c>
      <c r="O961">
        <f t="shared" si="119"/>
        <v>8.0000000000000071</v>
      </c>
      <c r="P961">
        <f t="shared" si="120"/>
        <v>8.0000000000000071</v>
      </c>
      <c r="Q961">
        <f t="shared" si="121"/>
        <v>8.0000000000000071</v>
      </c>
      <c r="R961">
        <f t="shared" si="122"/>
        <v>6.0000000000000497</v>
      </c>
    </row>
    <row r="962" spans="1:18">
      <c r="A962" s="9">
        <v>38114</v>
      </c>
      <c r="B962">
        <v>2.0499999999999998</v>
      </c>
      <c r="C962">
        <v>2.97</v>
      </c>
      <c r="D962">
        <v>3.62</v>
      </c>
      <c r="E962">
        <v>4.09</v>
      </c>
      <c r="F962">
        <v>4.43</v>
      </c>
      <c r="G962">
        <v>4.8899999999999997</v>
      </c>
      <c r="H962">
        <v>5.29</v>
      </c>
      <c r="I962">
        <v>5.86</v>
      </c>
      <c r="K962">
        <f t="shared" si="115"/>
        <v>17.999999999999972</v>
      </c>
      <c r="L962">
        <f t="shared" si="116"/>
        <v>25</v>
      </c>
      <c r="M962">
        <f t="shared" si="117"/>
        <v>26.000000000000021</v>
      </c>
      <c r="N962">
        <f t="shared" si="118"/>
        <v>25</v>
      </c>
      <c r="O962">
        <f t="shared" si="119"/>
        <v>22.999999999999954</v>
      </c>
      <c r="P962">
        <f t="shared" si="120"/>
        <v>20.999999999999996</v>
      </c>
      <c r="Q962">
        <f t="shared" si="121"/>
        <v>16.999999999999993</v>
      </c>
      <c r="R962">
        <f t="shared" si="122"/>
        <v>12.999999999999989</v>
      </c>
    </row>
    <row r="963" spans="1:18">
      <c r="A963" s="9">
        <v>38117</v>
      </c>
      <c r="B963">
        <v>2.0699999999999998</v>
      </c>
      <c r="C963">
        <v>2.98</v>
      </c>
      <c r="D963">
        <v>3.64</v>
      </c>
      <c r="E963">
        <v>4.0999999999999996</v>
      </c>
      <c r="F963">
        <v>4.46</v>
      </c>
      <c r="G963">
        <v>4.92</v>
      </c>
      <c r="H963">
        <v>5.33</v>
      </c>
      <c r="I963">
        <v>5.87</v>
      </c>
      <c r="K963">
        <f t="shared" si="115"/>
        <v>2.0000000000000018</v>
      </c>
      <c r="L963">
        <f t="shared" si="116"/>
        <v>0.99999999999997868</v>
      </c>
      <c r="M963">
        <f t="shared" si="117"/>
        <v>2.0000000000000018</v>
      </c>
      <c r="N963">
        <f t="shared" si="118"/>
        <v>0.99999999999997868</v>
      </c>
      <c r="O963">
        <f t="shared" si="119"/>
        <v>3.0000000000000249</v>
      </c>
      <c r="P963">
        <f t="shared" si="120"/>
        <v>3.0000000000000249</v>
      </c>
      <c r="Q963">
        <f t="shared" si="121"/>
        <v>4.0000000000000036</v>
      </c>
      <c r="R963">
        <f t="shared" si="122"/>
        <v>0.99999999999997868</v>
      </c>
    </row>
    <row r="964" spans="1:18">
      <c r="A964" s="9">
        <v>38118</v>
      </c>
      <c r="B964">
        <v>2.0499999999999998</v>
      </c>
      <c r="C964">
        <v>2.97</v>
      </c>
      <c r="D964">
        <v>3.63</v>
      </c>
      <c r="E964">
        <v>4.0999999999999996</v>
      </c>
      <c r="F964">
        <v>4.45</v>
      </c>
      <c r="G964">
        <v>4.92</v>
      </c>
      <c r="H964">
        <v>5.32</v>
      </c>
      <c r="I964">
        <v>5.87</v>
      </c>
      <c r="K964">
        <f t="shared" si="115"/>
        <v>-2.0000000000000018</v>
      </c>
      <c r="L964">
        <f t="shared" si="116"/>
        <v>-0.99999999999997868</v>
      </c>
      <c r="M964">
        <f t="shared" si="117"/>
        <v>-1.0000000000000231</v>
      </c>
      <c r="N964">
        <f t="shared" si="118"/>
        <v>0</v>
      </c>
      <c r="O964">
        <f t="shared" si="119"/>
        <v>-0.99999999999997868</v>
      </c>
      <c r="P964">
        <f t="shared" si="120"/>
        <v>0</v>
      </c>
      <c r="Q964">
        <f t="shared" si="121"/>
        <v>-0.99999999999997868</v>
      </c>
      <c r="R964">
        <f t="shared" si="122"/>
        <v>0</v>
      </c>
    </row>
    <row r="965" spans="1:18">
      <c r="A965" s="9">
        <v>38119</v>
      </c>
      <c r="B965">
        <v>2.06</v>
      </c>
      <c r="C965">
        <v>2.98</v>
      </c>
      <c r="D965">
        <v>3.62</v>
      </c>
      <c r="E965">
        <v>4.09</v>
      </c>
      <c r="F965">
        <v>4.4400000000000004</v>
      </c>
      <c r="G965">
        <v>4.9000000000000004</v>
      </c>
      <c r="H965">
        <v>5.31</v>
      </c>
      <c r="I965">
        <v>5.87</v>
      </c>
      <c r="K965">
        <f t="shared" ref="K965:K1028" si="123">(B965-B964)*100</f>
        <v>1.0000000000000231</v>
      </c>
      <c r="L965">
        <f t="shared" ref="L965:L1028" si="124">(C965-C964)*100</f>
        <v>0.99999999999997868</v>
      </c>
      <c r="M965">
        <f t="shared" ref="M965:M1028" si="125">(D965-D964)*100</f>
        <v>-0.99999999999997868</v>
      </c>
      <c r="N965">
        <f t="shared" ref="N965:N1028" si="126">(E965-E964)*100</f>
        <v>-0.99999999999997868</v>
      </c>
      <c r="O965">
        <f t="shared" ref="O965:O1028" si="127">(F965-F964)*100</f>
        <v>-0.99999999999997868</v>
      </c>
      <c r="P965">
        <f t="shared" ref="P965:P1028" si="128">(G965-G964)*100</f>
        <v>-1.9999999999999574</v>
      </c>
      <c r="Q965">
        <f t="shared" ref="Q965:Q1028" si="129">(H965-H964)*100</f>
        <v>-1.0000000000000675</v>
      </c>
      <c r="R965">
        <f t="shared" ref="R965:R1028" si="130">(I965-I964)*100</f>
        <v>0</v>
      </c>
    </row>
    <row r="966" spans="1:18">
      <c r="A966" s="9">
        <v>38120</v>
      </c>
      <c r="B966">
        <v>2.09</v>
      </c>
      <c r="C966">
        <v>3.02</v>
      </c>
      <c r="D966">
        <v>3.66</v>
      </c>
      <c r="E966">
        <v>4.13</v>
      </c>
      <c r="F966">
        <v>4.4800000000000004</v>
      </c>
      <c r="G966">
        <v>4.96</v>
      </c>
      <c r="H966">
        <v>5.37</v>
      </c>
      <c r="I966">
        <v>5.92</v>
      </c>
      <c r="K966">
        <f t="shared" si="123"/>
        <v>2.9999999999999805</v>
      </c>
      <c r="L966">
        <f t="shared" si="124"/>
        <v>4.0000000000000036</v>
      </c>
      <c r="M966">
        <f t="shared" si="125"/>
        <v>4.0000000000000036</v>
      </c>
      <c r="N966">
        <f t="shared" si="126"/>
        <v>4.0000000000000036</v>
      </c>
      <c r="O966">
        <f t="shared" si="127"/>
        <v>4.0000000000000036</v>
      </c>
      <c r="P966">
        <f t="shared" si="128"/>
        <v>5.9999999999999609</v>
      </c>
      <c r="Q966">
        <f t="shared" si="129"/>
        <v>6.0000000000000497</v>
      </c>
      <c r="R966">
        <f t="shared" si="130"/>
        <v>4.9999999999999822</v>
      </c>
    </row>
    <row r="967" spans="1:18">
      <c r="A967" s="9">
        <v>38121</v>
      </c>
      <c r="B967">
        <v>2.09</v>
      </c>
      <c r="C967">
        <v>2.99</v>
      </c>
      <c r="D967">
        <v>3.64</v>
      </c>
      <c r="E967">
        <v>4.1100000000000003</v>
      </c>
      <c r="F967">
        <v>4.46</v>
      </c>
      <c r="G967">
        <v>4.93</v>
      </c>
      <c r="H967">
        <v>5.35</v>
      </c>
      <c r="I967">
        <v>5.93</v>
      </c>
      <c r="K967">
        <f t="shared" si="123"/>
        <v>0</v>
      </c>
      <c r="L967">
        <f t="shared" si="124"/>
        <v>-2.9999999999999805</v>
      </c>
      <c r="M967">
        <f t="shared" si="125"/>
        <v>-2.0000000000000018</v>
      </c>
      <c r="N967">
        <f t="shared" si="126"/>
        <v>-1.9999999999999574</v>
      </c>
      <c r="O967">
        <f t="shared" si="127"/>
        <v>-2.0000000000000462</v>
      </c>
      <c r="P967">
        <f t="shared" si="128"/>
        <v>-3.0000000000000249</v>
      </c>
      <c r="Q967">
        <f t="shared" si="129"/>
        <v>-2.0000000000000462</v>
      </c>
      <c r="R967">
        <f t="shared" si="130"/>
        <v>0.99999999999997868</v>
      </c>
    </row>
    <row r="968" spans="1:18">
      <c r="A968" s="9">
        <v>38124</v>
      </c>
      <c r="B968">
        <v>2.02</v>
      </c>
      <c r="C968">
        <v>2.87</v>
      </c>
      <c r="D968">
        <v>3.51</v>
      </c>
      <c r="E968">
        <v>3.97</v>
      </c>
      <c r="F968">
        <v>4.32</v>
      </c>
      <c r="G968">
        <v>4.8</v>
      </c>
      <c r="H968">
        <v>5.22</v>
      </c>
      <c r="I968">
        <v>5.82</v>
      </c>
      <c r="K968">
        <f t="shared" si="123"/>
        <v>-6.999999999999984</v>
      </c>
      <c r="L968">
        <f t="shared" si="124"/>
        <v>-12.000000000000011</v>
      </c>
      <c r="M968">
        <f t="shared" si="125"/>
        <v>-13.000000000000034</v>
      </c>
      <c r="N968">
        <f t="shared" si="126"/>
        <v>-14.000000000000012</v>
      </c>
      <c r="O968">
        <f t="shared" si="127"/>
        <v>-13.999999999999968</v>
      </c>
      <c r="P968">
        <f t="shared" si="128"/>
        <v>-12.999999999999989</v>
      </c>
      <c r="Q968">
        <f t="shared" si="129"/>
        <v>-12.999999999999989</v>
      </c>
      <c r="R968">
        <f t="shared" si="130"/>
        <v>-10.999999999999943</v>
      </c>
    </row>
    <row r="969" spans="1:18">
      <c r="A969" s="9">
        <v>38125</v>
      </c>
      <c r="B969">
        <v>2.0499999999999998</v>
      </c>
      <c r="C969">
        <v>2.93</v>
      </c>
      <c r="D969">
        <v>3.56</v>
      </c>
      <c r="E969">
        <v>4.01</v>
      </c>
      <c r="F969">
        <v>4.3499999999999996</v>
      </c>
      <c r="G969">
        <v>4.82</v>
      </c>
      <c r="H969">
        <v>5.23</v>
      </c>
      <c r="I969">
        <v>5.82</v>
      </c>
      <c r="K969">
        <f t="shared" si="123"/>
        <v>2.9999999999999805</v>
      </c>
      <c r="L969">
        <f t="shared" si="124"/>
        <v>6.0000000000000053</v>
      </c>
      <c r="M969">
        <f t="shared" si="125"/>
        <v>5.0000000000000266</v>
      </c>
      <c r="N969">
        <f t="shared" si="126"/>
        <v>3.9999999999999591</v>
      </c>
      <c r="O969">
        <f t="shared" si="127"/>
        <v>2.9999999999999361</v>
      </c>
      <c r="P969">
        <f t="shared" si="128"/>
        <v>2.0000000000000462</v>
      </c>
      <c r="Q969">
        <f t="shared" si="129"/>
        <v>1.0000000000000675</v>
      </c>
      <c r="R969">
        <f t="shared" si="130"/>
        <v>0</v>
      </c>
    </row>
    <row r="970" spans="1:18">
      <c r="A970" s="9">
        <v>38126</v>
      </c>
      <c r="B970">
        <v>2.09</v>
      </c>
      <c r="C970">
        <v>2.97</v>
      </c>
      <c r="D970">
        <v>3.61</v>
      </c>
      <c r="E970">
        <v>4.0599999999999996</v>
      </c>
      <c r="F970">
        <v>4.4000000000000004</v>
      </c>
      <c r="G970">
        <v>4.87</v>
      </c>
      <c r="H970">
        <v>5.28</v>
      </c>
      <c r="I970">
        <v>5.86</v>
      </c>
      <c r="K970">
        <f t="shared" si="123"/>
        <v>4.0000000000000036</v>
      </c>
      <c r="L970">
        <f t="shared" si="124"/>
        <v>4.0000000000000036</v>
      </c>
      <c r="M970">
        <f t="shared" si="125"/>
        <v>4.9999999999999822</v>
      </c>
      <c r="N970">
        <f t="shared" si="126"/>
        <v>4.9999999999999822</v>
      </c>
      <c r="O970">
        <f t="shared" si="127"/>
        <v>5.0000000000000711</v>
      </c>
      <c r="P970">
        <f t="shared" si="128"/>
        <v>4.9999999999999822</v>
      </c>
      <c r="Q970">
        <f t="shared" si="129"/>
        <v>4.9999999999999822</v>
      </c>
      <c r="R970">
        <f t="shared" si="130"/>
        <v>4.0000000000000036</v>
      </c>
    </row>
    <row r="971" spans="1:18">
      <c r="A971" s="9">
        <v>38127</v>
      </c>
      <c r="B971">
        <v>2.09</v>
      </c>
      <c r="C971">
        <v>2.96</v>
      </c>
      <c r="D971">
        <v>3.58</v>
      </c>
      <c r="E971">
        <v>4.03</v>
      </c>
      <c r="F971">
        <v>4.3600000000000003</v>
      </c>
      <c r="G971">
        <v>4.82</v>
      </c>
      <c r="H971">
        <v>5.24</v>
      </c>
      <c r="I971">
        <v>5.82</v>
      </c>
      <c r="K971">
        <f t="shared" si="123"/>
        <v>0</v>
      </c>
      <c r="L971">
        <f t="shared" si="124"/>
        <v>-1.0000000000000231</v>
      </c>
      <c r="M971">
        <f t="shared" si="125"/>
        <v>-2.9999999999999805</v>
      </c>
      <c r="N971">
        <f t="shared" si="126"/>
        <v>-2.9999999999999361</v>
      </c>
      <c r="O971">
        <f t="shared" si="127"/>
        <v>-4.0000000000000036</v>
      </c>
      <c r="P971">
        <f t="shared" si="128"/>
        <v>-4.9999999999999822</v>
      </c>
      <c r="Q971">
        <f t="shared" si="129"/>
        <v>-4.0000000000000036</v>
      </c>
      <c r="R971">
        <f t="shared" si="130"/>
        <v>-4.0000000000000036</v>
      </c>
    </row>
    <row r="972" spans="1:18">
      <c r="A972" s="9">
        <v>38128</v>
      </c>
      <c r="B972">
        <v>2.0699999999999998</v>
      </c>
      <c r="C972">
        <v>2.92</v>
      </c>
      <c r="D972">
        <v>3.53</v>
      </c>
      <c r="E972">
        <v>3.98</v>
      </c>
      <c r="F972">
        <v>4.3099999999999996</v>
      </c>
      <c r="G972">
        <v>4.78</v>
      </c>
      <c r="H972">
        <v>5.19</v>
      </c>
      <c r="I972">
        <v>5.78</v>
      </c>
      <c r="K972">
        <f t="shared" si="123"/>
        <v>-2.0000000000000018</v>
      </c>
      <c r="L972">
        <f t="shared" si="124"/>
        <v>-4.0000000000000036</v>
      </c>
      <c r="M972">
        <f t="shared" si="125"/>
        <v>-5.0000000000000266</v>
      </c>
      <c r="N972">
        <f t="shared" si="126"/>
        <v>-5.0000000000000266</v>
      </c>
      <c r="O972">
        <f t="shared" si="127"/>
        <v>-5.0000000000000711</v>
      </c>
      <c r="P972">
        <f t="shared" si="128"/>
        <v>-4.0000000000000036</v>
      </c>
      <c r="Q972">
        <f t="shared" si="129"/>
        <v>-4.9999999999999822</v>
      </c>
      <c r="R972">
        <f t="shared" si="130"/>
        <v>-4.0000000000000036</v>
      </c>
    </row>
    <row r="973" spans="1:18">
      <c r="A973" s="9">
        <v>38131</v>
      </c>
      <c r="B973">
        <v>2.13</v>
      </c>
      <c r="C973">
        <v>3.01</v>
      </c>
      <c r="D973">
        <v>3.62</v>
      </c>
      <c r="E973">
        <v>4.07</v>
      </c>
      <c r="F973">
        <v>4.41</v>
      </c>
      <c r="G973">
        <v>4.8600000000000003</v>
      </c>
      <c r="H973">
        <v>5.27</v>
      </c>
      <c r="I973">
        <v>5.84</v>
      </c>
      <c r="K973">
        <f t="shared" si="123"/>
        <v>6.0000000000000053</v>
      </c>
      <c r="L973">
        <f t="shared" si="124"/>
        <v>8.9999999999999858</v>
      </c>
      <c r="M973">
        <f t="shared" si="125"/>
        <v>9.0000000000000302</v>
      </c>
      <c r="N973">
        <f t="shared" si="126"/>
        <v>9.0000000000000302</v>
      </c>
      <c r="O973">
        <f t="shared" si="127"/>
        <v>10.000000000000053</v>
      </c>
      <c r="P973">
        <f t="shared" si="128"/>
        <v>8.0000000000000071</v>
      </c>
      <c r="Q973">
        <f t="shared" si="129"/>
        <v>7.9999999999999183</v>
      </c>
      <c r="R973">
        <f t="shared" si="130"/>
        <v>5.9999999999999609</v>
      </c>
    </row>
    <row r="974" spans="1:18">
      <c r="A974" s="9">
        <v>38132</v>
      </c>
      <c r="B974">
        <v>2.11</v>
      </c>
      <c r="C974">
        <v>2.98</v>
      </c>
      <c r="D974">
        <v>3.58</v>
      </c>
      <c r="E974">
        <v>4.03</v>
      </c>
      <c r="F974">
        <v>4.37</v>
      </c>
      <c r="G974">
        <v>4.82</v>
      </c>
      <c r="H974">
        <v>5.23</v>
      </c>
      <c r="I974">
        <v>5.82</v>
      </c>
      <c r="K974">
        <f t="shared" si="123"/>
        <v>-2.0000000000000018</v>
      </c>
      <c r="L974">
        <f t="shared" si="124"/>
        <v>-2.9999999999999805</v>
      </c>
      <c r="M974">
        <f t="shared" si="125"/>
        <v>-4.0000000000000036</v>
      </c>
      <c r="N974">
        <f t="shared" si="126"/>
        <v>-4.0000000000000036</v>
      </c>
      <c r="O974">
        <f t="shared" si="127"/>
        <v>-4.0000000000000036</v>
      </c>
      <c r="P974">
        <f t="shared" si="128"/>
        <v>-4.0000000000000036</v>
      </c>
      <c r="Q974">
        <f t="shared" si="129"/>
        <v>-3.9999999999999147</v>
      </c>
      <c r="R974">
        <f t="shared" si="130"/>
        <v>-1.9999999999999574</v>
      </c>
    </row>
    <row r="975" spans="1:18">
      <c r="A975" s="9">
        <v>38133</v>
      </c>
      <c r="B975">
        <v>2.09</v>
      </c>
      <c r="C975">
        <v>2.94</v>
      </c>
      <c r="D975">
        <v>3.54</v>
      </c>
      <c r="E975">
        <v>3.99</v>
      </c>
      <c r="F975">
        <v>4.33</v>
      </c>
      <c r="G975">
        <v>4.78</v>
      </c>
      <c r="H975">
        <v>5.19</v>
      </c>
      <c r="I975">
        <v>5.78</v>
      </c>
      <c r="K975">
        <f t="shared" si="123"/>
        <v>-2.0000000000000018</v>
      </c>
      <c r="L975">
        <f t="shared" si="124"/>
        <v>-4.0000000000000036</v>
      </c>
      <c r="M975">
        <f t="shared" si="125"/>
        <v>-4.0000000000000036</v>
      </c>
      <c r="N975">
        <f t="shared" si="126"/>
        <v>-4.0000000000000036</v>
      </c>
      <c r="O975">
        <f t="shared" si="127"/>
        <v>-4.0000000000000036</v>
      </c>
      <c r="P975">
        <f t="shared" si="128"/>
        <v>-4.0000000000000036</v>
      </c>
      <c r="Q975">
        <f t="shared" si="129"/>
        <v>-4.0000000000000036</v>
      </c>
      <c r="R975">
        <f t="shared" si="130"/>
        <v>-4.0000000000000036</v>
      </c>
    </row>
    <row r="976" spans="1:18">
      <c r="A976" s="9">
        <v>38134</v>
      </c>
      <c r="B976">
        <v>2.06</v>
      </c>
      <c r="C976">
        <v>2.87</v>
      </c>
      <c r="D976">
        <v>3.46</v>
      </c>
      <c r="E976">
        <v>3.9</v>
      </c>
      <c r="F976">
        <v>4.2300000000000004</v>
      </c>
      <c r="G976">
        <v>4.6900000000000004</v>
      </c>
      <c r="H976">
        <v>5.12</v>
      </c>
      <c r="I976">
        <v>5.73</v>
      </c>
      <c r="K976">
        <f t="shared" si="123"/>
        <v>-2.9999999999999805</v>
      </c>
      <c r="L976">
        <f t="shared" si="124"/>
        <v>-6.999999999999984</v>
      </c>
      <c r="M976">
        <f t="shared" si="125"/>
        <v>-8.0000000000000071</v>
      </c>
      <c r="N976">
        <f t="shared" si="126"/>
        <v>-9.0000000000000302</v>
      </c>
      <c r="O976">
        <f t="shared" si="127"/>
        <v>-9.9999999999999645</v>
      </c>
      <c r="P976">
        <f t="shared" si="128"/>
        <v>-8.9999999999999858</v>
      </c>
      <c r="Q976">
        <f t="shared" si="129"/>
        <v>-7.0000000000000284</v>
      </c>
      <c r="R976">
        <f t="shared" si="130"/>
        <v>-4.9999999999999822</v>
      </c>
    </row>
    <row r="977" spans="1:18">
      <c r="A977" s="9">
        <v>38135</v>
      </c>
      <c r="B977">
        <v>2.1</v>
      </c>
      <c r="C977">
        <v>2.91</v>
      </c>
      <c r="D977">
        <v>3.5</v>
      </c>
      <c r="E977">
        <v>3.92</v>
      </c>
      <c r="F977">
        <v>4.25</v>
      </c>
      <c r="G977">
        <v>4.71</v>
      </c>
      <c r="H977">
        <v>5.12</v>
      </c>
      <c r="I977">
        <v>5.73</v>
      </c>
      <c r="K977">
        <f t="shared" si="123"/>
        <v>4.0000000000000036</v>
      </c>
      <c r="L977">
        <f t="shared" si="124"/>
        <v>4.0000000000000036</v>
      </c>
      <c r="M977">
        <f t="shared" si="125"/>
        <v>4.0000000000000036</v>
      </c>
      <c r="N977">
        <f t="shared" si="126"/>
        <v>2.0000000000000018</v>
      </c>
      <c r="O977">
        <f t="shared" si="127"/>
        <v>1.9999999999999574</v>
      </c>
      <c r="P977">
        <f t="shared" si="128"/>
        <v>1.9999999999999574</v>
      </c>
      <c r="Q977">
        <f t="shared" si="129"/>
        <v>0</v>
      </c>
      <c r="R977">
        <f t="shared" si="130"/>
        <v>0</v>
      </c>
    </row>
    <row r="978" spans="1:18">
      <c r="A978" s="9">
        <v>38139</v>
      </c>
      <c r="B978">
        <v>2.15</v>
      </c>
      <c r="C978">
        <v>2.99</v>
      </c>
      <c r="D978">
        <v>3.58</v>
      </c>
      <c r="E978">
        <v>4.01</v>
      </c>
      <c r="F978">
        <v>4.34</v>
      </c>
      <c r="G978">
        <v>4.79</v>
      </c>
      <c r="H978">
        <v>5.2</v>
      </c>
      <c r="I978">
        <v>5.79</v>
      </c>
      <c r="K978">
        <f t="shared" si="123"/>
        <v>4.9999999999999822</v>
      </c>
      <c r="L978">
        <f t="shared" si="124"/>
        <v>8.0000000000000071</v>
      </c>
      <c r="M978">
        <f t="shared" si="125"/>
        <v>8.0000000000000071</v>
      </c>
      <c r="N978">
        <f t="shared" si="126"/>
        <v>8.9999999999999858</v>
      </c>
      <c r="O978">
        <f t="shared" si="127"/>
        <v>8.9999999999999858</v>
      </c>
      <c r="P978">
        <f t="shared" si="128"/>
        <v>8.0000000000000071</v>
      </c>
      <c r="Q978">
        <f t="shared" si="129"/>
        <v>8.0000000000000071</v>
      </c>
      <c r="R978">
        <f t="shared" si="130"/>
        <v>5.9999999999999609</v>
      </c>
    </row>
    <row r="979" spans="1:18">
      <c r="A979" s="9">
        <v>38140</v>
      </c>
      <c r="B979">
        <v>2.19</v>
      </c>
      <c r="C979">
        <v>3.04</v>
      </c>
      <c r="D979">
        <v>3.61</v>
      </c>
      <c r="E979">
        <v>4.04</v>
      </c>
      <c r="F979">
        <v>4.3600000000000003</v>
      </c>
      <c r="G979">
        <v>4.8099999999999996</v>
      </c>
      <c r="H979">
        <v>5.22</v>
      </c>
      <c r="I979">
        <v>5.81</v>
      </c>
      <c r="K979">
        <f t="shared" si="123"/>
        <v>4.0000000000000036</v>
      </c>
      <c r="L979">
        <f t="shared" si="124"/>
        <v>4.9999999999999822</v>
      </c>
      <c r="M979">
        <f t="shared" si="125"/>
        <v>2.9999999999999805</v>
      </c>
      <c r="N979">
        <f t="shared" si="126"/>
        <v>3.0000000000000249</v>
      </c>
      <c r="O979">
        <f t="shared" si="127"/>
        <v>2.0000000000000462</v>
      </c>
      <c r="P979">
        <f t="shared" si="128"/>
        <v>1.9999999999999574</v>
      </c>
      <c r="Q979">
        <f t="shared" si="129"/>
        <v>1.9999999999999574</v>
      </c>
      <c r="R979">
        <f t="shared" si="130"/>
        <v>1.9999999999999574</v>
      </c>
    </row>
    <row r="980" spans="1:18">
      <c r="A980" s="9">
        <v>38141</v>
      </c>
      <c r="B980">
        <v>2.2000000000000002</v>
      </c>
      <c r="C980">
        <v>3.03</v>
      </c>
      <c r="D980">
        <v>3.62</v>
      </c>
      <c r="E980">
        <v>4.05</v>
      </c>
      <c r="F980">
        <v>4.37</v>
      </c>
      <c r="G980">
        <v>4.82</v>
      </c>
      <c r="H980">
        <v>5.22</v>
      </c>
      <c r="I980">
        <v>5.81</v>
      </c>
      <c r="K980">
        <f t="shared" si="123"/>
        <v>1.0000000000000231</v>
      </c>
      <c r="L980">
        <f t="shared" si="124"/>
        <v>-1.0000000000000231</v>
      </c>
      <c r="M980">
        <f t="shared" si="125"/>
        <v>1.0000000000000231</v>
      </c>
      <c r="N980">
        <f t="shared" si="126"/>
        <v>0.99999999999997868</v>
      </c>
      <c r="O980">
        <f t="shared" si="127"/>
        <v>0.99999999999997868</v>
      </c>
      <c r="P980">
        <f t="shared" si="128"/>
        <v>1.0000000000000675</v>
      </c>
      <c r="Q980">
        <f t="shared" si="129"/>
        <v>0</v>
      </c>
      <c r="R980">
        <f t="shared" si="130"/>
        <v>0</v>
      </c>
    </row>
    <row r="981" spans="1:18">
      <c r="A981" s="9">
        <v>38142</v>
      </c>
      <c r="B981">
        <v>2.2599999999999998</v>
      </c>
      <c r="C981">
        <v>3.1</v>
      </c>
      <c r="D981">
        <v>3.68</v>
      </c>
      <c r="E981">
        <v>4.0999999999999996</v>
      </c>
      <c r="F981">
        <v>4.42</v>
      </c>
      <c r="G981">
        <v>4.8600000000000003</v>
      </c>
      <c r="H981">
        <v>5.24</v>
      </c>
      <c r="I981">
        <v>5.82</v>
      </c>
      <c r="K981">
        <f t="shared" si="123"/>
        <v>5.9999999999999609</v>
      </c>
      <c r="L981">
        <f t="shared" si="124"/>
        <v>7.0000000000000284</v>
      </c>
      <c r="M981">
        <f t="shared" si="125"/>
        <v>6.0000000000000053</v>
      </c>
      <c r="N981">
        <f t="shared" si="126"/>
        <v>4.9999999999999822</v>
      </c>
      <c r="O981">
        <f t="shared" si="127"/>
        <v>4.9999999999999822</v>
      </c>
      <c r="P981">
        <f t="shared" si="128"/>
        <v>4.0000000000000036</v>
      </c>
      <c r="Q981">
        <f t="shared" si="129"/>
        <v>2.0000000000000462</v>
      </c>
      <c r="R981">
        <f t="shared" si="130"/>
        <v>1.0000000000000675</v>
      </c>
    </row>
    <row r="982" spans="1:18">
      <c r="A982" s="9">
        <v>38145</v>
      </c>
      <c r="B982">
        <v>2.2599999999999998</v>
      </c>
      <c r="C982">
        <v>3.1</v>
      </c>
      <c r="D982">
        <v>3.69</v>
      </c>
      <c r="E982">
        <v>4.12</v>
      </c>
      <c r="F982">
        <v>4.4400000000000004</v>
      </c>
      <c r="G982">
        <v>4.8899999999999997</v>
      </c>
      <c r="H982">
        <v>5.29</v>
      </c>
      <c r="I982">
        <v>5.86</v>
      </c>
      <c r="K982">
        <f t="shared" si="123"/>
        <v>0</v>
      </c>
      <c r="L982">
        <f t="shared" si="124"/>
        <v>0</v>
      </c>
      <c r="M982">
        <f t="shared" si="125"/>
        <v>0.99999999999997868</v>
      </c>
      <c r="N982">
        <f t="shared" si="126"/>
        <v>2.0000000000000462</v>
      </c>
      <c r="O982">
        <f t="shared" si="127"/>
        <v>2.0000000000000462</v>
      </c>
      <c r="P982">
        <f t="shared" si="128"/>
        <v>2.9999999999999361</v>
      </c>
      <c r="Q982">
        <f t="shared" si="129"/>
        <v>4.9999999999999822</v>
      </c>
      <c r="R982">
        <f t="shared" si="130"/>
        <v>4.0000000000000036</v>
      </c>
    </row>
    <row r="983" spans="1:18">
      <c r="A983" s="9">
        <v>38146</v>
      </c>
      <c r="B983">
        <v>2.27</v>
      </c>
      <c r="C983">
        <v>3.1</v>
      </c>
      <c r="D983">
        <v>3.68</v>
      </c>
      <c r="E983">
        <v>4.0999999999999996</v>
      </c>
      <c r="F983">
        <v>4.43</v>
      </c>
      <c r="G983">
        <v>4.87</v>
      </c>
      <c r="H983">
        <v>5.28</v>
      </c>
      <c r="I983">
        <v>5.87</v>
      </c>
      <c r="K983">
        <f t="shared" si="123"/>
        <v>1.0000000000000231</v>
      </c>
      <c r="L983">
        <f t="shared" si="124"/>
        <v>0</v>
      </c>
      <c r="M983">
        <f t="shared" si="125"/>
        <v>-0.99999999999997868</v>
      </c>
      <c r="N983">
        <f t="shared" si="126"/>
        <v>-2.0000000000000462</v>
      </c>
      <c r="O983">
        <f t="shared" si="127"/>
        <v>-1.0000000000000675</v>
      </c>
      <c r="P983">
        <f t="shared" si="128"/>
        <v>-1.9999999999999574</v>
      </c>
      <c r="Q983">
        <f t="shared" si="129"/>
        <v>-0.99999999999997868</v>
      </c>
      <c r="R983">
        <f t="shared" si="130"/>
        <v>0.99999999999997868</v>
      </c>
    </row>
    <row r="984" spans="1:18">
      <c r="A984" s="9">
        <v>38147</v>
      </c>
      <c r="B984">
        <v>2.33</v>
      </c>
      <c r="C984">
        <v>3.15</v>
      </c>
      <c r="D984">
        <v>3.71</v>
      </c>
      <c r="E984">
        <v>4.12</v>
      </c>
      <c r="F984">
        <v>4.4400000000000004</v>
      </c>
      <c r="G984">
        <v>4.88</v>
      </c>
      <c r="H984">
        <v>5.28</v>
      </c>
      <c r="I984">
        <v>5.86</v>
      </c>
      <c r="K984">
        <f t="shared" si="123"/>
        <v>6.0000000000000053</v>
      </c>
      <c r="L984">
        <f t="shared" si="124"/>
        <v>4.9999999999999822</v>
      </c>
      <c r="M984">
        <f t="shared" si="125"/>
        <v>2.9999999999999805</v>
      </c>
      <c r="N984">
        <f t="shared" si="126"/>
        <v>2.0000000000000462</v>
      </c>
      <c r="O984">
        <f t="shared" si="127"/>
        <v>1.0000000000000675</v>
      </c>
      <c r="P984">
        <f t="shared" si="128"/>
        <v>0.99999999999997868</v>
      </c>
      <c r="Q984">
        <f t="shared" si="129"/>
        <v>0</v>
      </c>
      <c r="R984">
        <f t="shared" si="130"/>
        <v>-0.99999999999997868</v>
      </c>
    </row>
    <row r="985" spans="1:18">
      <c r="A985" s="9">
        <v>38148</v>
      </c>
      <c r="B985">
        <v>2.39</v>
      </c>
      <c r="C985">
        <v>3.22</v>
      </c>
      <c r="D985">
        <v>3.77</v>
      </c>
      <c r="E985">
        <v>4.17</v>
      </c>
      <c r="F985">
        <v>4.4800000000000004</v>
      </c>
      <c r="G985">
        <v>4.91</v>
      </c>
      <c r="H985">
        <v>5.3</v>
      </c>
      <c r="I985">
        <v>5.87</v>
      </c>
      <c r="K985">
        <f t="shared" si="123"/>
        <v>6.0000000000000053</v>
      </c>
      <c r="L985">
        <f t="shared" si="124"/>
        <v>7.0000000000000284</v>
      </c>
      <c r="M985">
        <f t="shared" si="125"/>
        <v>6.0000000000000053</v>
      </c>
      <c r="N985">
        <f t="shared" si="126"/>
        <v>4.9999999999999822</v>
      </c>
      <c r="O985">
        <f t="shared" si="127"/>
        <v>4.0000000000000036</v>
      </c>
      <c r="P985">
        <f t="shared" si="128"/>
        <v>3.0000000000000249</v>
      </c>
      <c r="Q985">
        <f t="shared" si="129"/>
        <v>1.9999999999999574</v>
      </c>
      <c r="R985">
        <f t="shared" si="130"/>
        <v>0.99999999999997868</v>
      </c>
    </row>
    <row r="986" spans="1:18">
      <c r="A986" s="9">
        <v>38152</v>
      </c>
      <c r="B986">
        <v>2.48</v>
      </c>
      <c r="C986">
        <v>3.3</v>
      </c>
      <c r="D986">
        <v>3.84</v>
      </c>
      <c r="E986">
        <v>4.2300000000000004</v>
      </c>
      <c r="F986">
        <v>4.5199999999999996</v>
      </c>
      <c r="G986">
        <v>4.9400000000000004</v>
      </c>
      <c r="H986">
        <v>5.33</v>
      </c>
      <c r="I986">
        <v>5.9</v>
      </c>
      <c r="K986">
        <f t="shared" si="123"/>
        <v>8.9999999999999858</v>
      </c>
      <c r="L986">
        <f t="shared" si="124"/>
        <v>7.9999999999999627</v>
      </c>
      <c r="M986">
        <f t="shared" si="125"/>
        <v>6.999999999999984</v>
      </c>
      <c r="N986">
        <f t="shared" si="126"/>
        <v>6.0000000000000497</v>
      </c>
      <c r="O986">
        <f t="shared" si="127"/>
        <v>3.9999999999999147</v>
      </c>
      <c r="P986">
        <f t="shared" si="128"/>
        <v>3.0000000000000249</v>
      </c>
      <c r="Q986">
        <f t="shared" si="129"/>
        <v>3.0000000000000249</v>
      </c>
      <c r="R986">
        <f t="shared" si="130"/>
        <v>3.0000000000000249</v>
      </c>
    </row>
    <row r="987" spans="1:18">
      <c r="A987" s="9">
        <v>38153</v>
      </c>
      <c r="B987">
        <v>2.4300000000000002</v>
      </c>
      <c r="C987">
        <v>3.23</v>
      </c>
      <c r="D987">
        <v>3.75</v>
      </c>
      <c r="E987">
        <v>4.13</v>
      </c>
      <c r="F987">
        <v>4.42</v>
      </c>
      <c r="G987">
        <v>4.84</v>
      </c>
      <c r="H987">
        <v>5.23</v>
      </c>
      <c r="I987">
        <v>5.8</v>
      </c>
      <c r="K987">
        <f t="shared" si="123"/>
        <v>-4.9999999999999822</v>
      </c>
      <c r="L987">
        <f t="shared" si="124"/>
        <v>-6.999999999999984</v>
      </c>
      <c r="M987">
        <f t="shared" si="125"/>
        <v>-8.9999999999999858</v>
      </c>
      <c r="N987">
        <f t="shared" si="126"/>
        <v>-10.000000000000053</v>
      </c>
      <c r="O987">
        <f t="shared" si="127"/>
        <v>-9.9999999999999645</v>
      </c>
      <c r="P987">
        <f t="shared" si="128"/>
        <v>-10.000000000000053</v>
      </c>
      <c r="Q987">
        <f t="shared" si="129"/>
        <v>-9.9999999999999645</v>
      </c>
      <c r="R987">
        <f t="shared" si="130"/>
        <v>-10.000000000000053</v>
      </c>
    </row>
    <row r="988" spans="1:18">
      <c r="A988" s="9">
        <v>38154</v>
      </c>
      <c r="B988">
        <v>2.4300000000000002</v>
      </c>
      <c r="C988">
        <v>3.24</v>
      </c>
      <c r="D988">
        <v>3.76</v>
      </c>
      <c r="E988">
        <v>4.1399999999999997</v>
      </c>
      <c r="F988">
        <v>4.43</v>
      </c>
      <c r="G988">
        <v>4.8499999999999996</v>
      </c>
      <c r="H988">
        <v>5.23</v>
      </c>
      <c r="I988">
        <v>5.81</v>
      </c>
      <c r="K988">
        <f t="shared" si="123"/>
        <v>0</v>
      </c>
      <c r="L988">
        <f t="shared" si="124"/>
        <v>1.0000000000000231</v>
      </c>
      <c r="M988">
        <f t="shared" si="125"/>
        <v>0.99999999999997868</v>
      </c>
      <c r="N988">
        <f t="shared" si="126"/>
        <v>0.99999999999997868</v>
      </c>
      <c r="O988">
        <f t="shared" si="127"/>
        <v>0.99999999999997868</v>
      </c>
      <c r="P988">
        <f t="shared" si="128"/>
        <v>0.99999999999997868</v>
      </c>
      <c r="Q988">
        <f t="shared" si="129"/>
        <v>0</v>
      </c>
      <c r="R988">
        <f t="shared" si="130"/>
        <v>0.99999999999997868</v>
      </c>
    </row>
    <row r="989" spans="1:18">
      <c r="A989" s="9">
        <v>38155</v>
      </c>
      <c r="B989">
        <v>2.4500000000000002</v>
      </c>
      <c r="C989">
        <v>3.27</v>
      </c>
      <c r="D989">
        <v>3.8</v>
      </c>
      <c r="E989">
        <v>4.17</v>
      </c>
      <c r="F989">
        <v>4.4400000000000004</v>
      </c>
      <c r="G989">
        <v>4.8600000000000003</v>
      </c>
      <c r="H989">
        <v>5.24</v>
      </c>
      <c r="I989">
        <v>5.8</v>
      </c>
      <c r="K989">
        <f t="shared" si="123"/>
        <v>2.0000000000000018</v>
      </c>
      <c r="L989">
        <f t="shared" si="124"/>
        <v>2.9999999999999805</v>
      </c>
      <c r="M989">
        <f t="shared" si="125"/>
        <v>4.0000000000000036</v>
      </c>
      <c r="N989">
        <f t="shared" si="126"/>
        <v>3.0000000000000249</v>
      </c>
      <c r="O989">
        <f t="shared" si="127"/>
        <v>1.0000000000000675</v>
      </c>
      <c r="P989">
        <f t="shared" si="128"/>
        <v>1.0000000000000675</v>
      </c>
      <c r="Q989">
        <f t="shared" si="129"/>
        <v>0.99999999999997868</v>
      </c>
      <c r="R989">
        <f t="shared" si="130"/>
        <v>-0.99999999999997868</v>
      </c>
    </row>
    <row r="990" spans="1:18">
      <c r="A990" s="9">
        <v>38156</v>
      </c>
      <c r="B990">
        <v>2.38</v>
      </c>
      <c r="C990">
        <v>3.17</v>
      </c>
      <c r="D990">
        <v>3.7</v>
      </c>
      <c r="E990">
        <v>4.08</v>
      </c>
      <c r="F990">
        <v>4.3600000000000003</v>
      </c>
      <c r="G990">
        <v>4.7699999999999996</v>
      </c>
      <c r="H990">
        <v>5.17</v>
      </c>
      <c r="I990">
        <v>5.74</v>
      </c>
      <c r="K990">
        <f t="shared" si="123"/>
        <v>-7.0000000000000284</v>
      </c>
      <c r="L990">
        <f t="shared" si="124"/>
        <v>-10.000000000000009</v>
      </c>
      <c r="M990">
        <f t="shared" si="125"/>
        <v>-9.9999999999999645</v>
      </c>
      <c r="N990">
        <f t="shared" si="126"/>
        <v>-8.9999999999999858</v>
      </c>
      <c r="O990">
        <f t="shared" si="127"/>
        <v>-8.0000000000000071</v>
      </c>
      <c r="P990">
        <f t="shared" si="128"/>
        <v>-9.0000000000000746</v>
      </c>
      <c r="Q990">
        <f t="shared" si="129"/>
        <v>-7.0000000000000284</v>
      </c>
      <c r="R990">
        <f t="shared" si="130"/>
        <v>-5.9999999999999609</v>
      </c>
    </row>
    <row r="991" spans="1:18">
      <c r="A991" s="9">
        <v>38159</v>
      </c>
      <c r="B991">
        <v>2.4</v>
      </c>
      <c r="C991">
        <v>3.19</v>
      </c>
      <c r="D991">
        <v>3.72</v>
      </c>
      <c r="E991">
        <v>4.0999999999999996</v>
      </c>
      <c r="F991">
        <v>4.3899999999999997</v>
      </c>
      <c r="G991">
        <v>4.8</v>
      </c>
      <c r="H991">
        <v>5.19</v>
      </c>
      <c r="I991">
        <v>5.77</v>
      </c>
      <c r="K991">
        <f t="shared" si="123"/>
        <v>2.0000000000000018</v>
      </c>
      <c r="L991">
        <f t="shared" si="124"/>
        <v>2.0000000000000018</v>
      </c>
      <c r="M991">
        <f t="shared" si="125"/>
        <v>2.0000000000000018</v>
      </c>
      <c r="N991">
        <f t="shared" si="126"/>
        <v>1.9999999999999574</v>
      </c>
      <c r="O991">
        <f t="shared" si="127"/>
        <v>2.9999999999999361</v>
      </c>
      <c r="P991">
        <f t="shared" si="128"/>
        <v>3.0000000000000249</v>
      </c>
      <c r="Q991">
        <f t="shared" si="129"/>
        <v>2.0000000000000462</v>
      </c>
      <c r="R991">
        <f t="shared" si="130"/>
        <v>2.9999999999999361</v>
      </c>
    </row>
    <row r="992" spans="1:18">
      <c r="A992" s="9">
        <v>38160</v>
      </c>
      <c r="B992">
        <v>2.42</v>
      </c>
      <c r="C992">
        <v>3.22</v>
      </c>
      <c r="D992">
        <v>3.74</v>
      </c>
      <c r="E992">
        <v>4.1100000000000003</v>
      </c>
      <c r="F992">
        <v>4.3899999999999997</v>
      </c>
      <c r="G992">
        <v>4.8099999999999996</v>
      </c>
      <c r="H992">
        <v>5.2</v>
      </c>
      <c r="I992">
        <v>5.79</v>
      </c>
      <c r="K992">
        <f t="shared" si="123"/>
        <v>2.0000000000000018</v>
      </c>
      <c r="L992">
        <f t="shared" si="124"/>
        <v>3.0000000000000249</v>
      </c>
      <c r="M992">
        <f t="shared" si="125"/>
        <v>2.0000000000000018</v>
      </c>
      <c r="N992">
        <f t="shared" si="126"/>
        <v>1.0000000000000675</v>
      </c>
      <c r="O992">
        <f t="shared" si="127"/>
        <v>0</v>
      </c>
      <c r="P992">
        <f t="shared" si="128"/>
        <v>0.99999999999997868</v>
      </c>
      <c r="Q992">
        <f t="shared" si="129"/>
        <v>0.99999999999997868</v>
      </c>
      <c r="R992">
        <f t="shared" si="130"/>
        <v>2.0000000000000462</v>
      </c>
    </row>
    <row r="993" spans="1:18">
      <c r="A993" s="9">
        <v>38161</v>
      </c>
      <c r="B993">
        <v>2.42</v>
      </c>
      <c r="C993">
        <v>3.21</v>
      </c>
      <c r="D993">
        <v>3.73</v>
      </c>
      <c r="E993">
        <v>4.1100000000000003</v>
      </c>
      <c r="F993">
        <v>4.4000000000000004</v>
      </c>
      <c r="G993">
        <v>4.82</v>
      </c>
      <c r="H993">
        <v>5.22</v>
      </c>
      <c r="I993">
        <v>5.81</v>
      </c>
      <c r="K993">
        <f t="shared" si="123"/>
        <v>0</v>
      </c>
      <c r="L993">
        <f t="shared" si="124"/>
        <v>-1.0000000000000231</v>
      </c>
      <c r="M993">
        <f t="shared" si="125"/>
        <v>-1.0000000000000231</v>
      </c>
      <c r="N993">
        <f t="shared" si="126"/>
        <v>0</v>
      </c>
      <c r="O993">
        <f t="shared" si="127"/>
        <v>1.0000000000000675</v>
      </c>
      <c r="P993">
        <f t="shared" si="128"/>
        <v>1.0000000000000675</v>
      </c>
      <c r="Q993">
        <f t="shared" si="129"/>
        <v>1.9999999999999574</v>
      </c>
      <c r="R993">
        <f t="shared" si="130"/>
        <v>1.9999999999999574</v>
      </c>
    </row>
    <row r="994" spans="1:18">
      <c r="A994" s="9">
        <v>38162</v>
      </c>
      <c r="B994">
        <v>2.36</v>
      </c>
      <c r="C994">
        <v>3.12</v>
      </c>
      <c r="D994">
        <v>3.63</v>
      </c>
      <c r="E994">
        <v>4.01</v>
      </c>
      <c r="F994">
        <v>4.29</v>
      </c>
      <c r="G994">
        <v>4.71</v>
      </c>
      <c r="H994">
        <v>5.1100000000000003</v>
      </c>
      <c r="I994">
        <v>5.71</v>
      </c>
      <c r="K994">
        <f t="shared" si="123"/>
        <v>-6.0000000000000053</v>
      </c>
      <c r="L994">
        <f t="shared" si="124"/>
        <v>-8.9999999999999858</v>
      </c>
      <c r="M994">
        <f t="shared" si="125"/>
        <v>-10.000000000000009</v>
      </c>
      <c r="N994">
        <f t="shared" si="126"/>
        <v>-10.000000000000053</v>
      </c>
      <c r="O994">
        <f t="shared" si="127"/>
        <v>-11.000000000000032</v>
      </c>
      <c r="P994">
        <f t="shared" si="128"/>
        <v>-11.000000000000032</v>
      </c>
      <c r="Q994">
        <f t="shared" si="129"/>
        <v>-10.999999999999943</v>
      </c>
      <c r="R994">
        <f t="shared" si="130"/>
        <v>-9.9999999999999645</v>
      </c>
    </row>
    <row r="995" spans="1:18">
      <c r="A995" s="9">
        <v>38163</v>
      </c>
      <c r="B995">
        <v>2.39</v>
      </c>
      <c r="C995">
        <v>3.16</v>
      </c>
      <c r="D995">
        <v>3.67</v>
      </c>
      <c r="E995">
        <v>4.05</v>
      </c>
      <c r="F995">
        <v>4.34</v>
      </c>
      <c r="G995">
        <v>4.76</v>
      </c>
      <c r="H995">
        <v>5.15</v>
      </c>
      <c r="I995">
        <v>5.75</v>
      </c>
      <c r="K995">
        <f t="shared" si="123"/>
        <v>3.0000000000000249</v>
      </c>
      <c r="L995">
        <f t="shared" si="124"/>
        <v>4.0000000000000036</v>
      </c>
      <c r="M995">
        <f t="shared" si="125"/>
        <v>4.0000000000000036</v>
      </c>
      <c r="N995">
        <f t="shared" si="126"/>
        <v>4.0000000000000036</v>
      </c>
      <c r="O995">
        <f t="shared" si="127"/>
        <v>4.9999999999999822</v>
      </c>
      <c r="P995">
        <f t="shared" si="128"/>
        <v>4.9999999999999822</v>
      </c>
      <c r="Q995">
        <f t="shared" si="129"/>
        <v>4.0000000000000036</v>
      </c>
      <c r="R995">
        <f t="shared" si="130"/>
        <v>4.0000000000000036</v>
      </c>
    </row>
    <row r="996" spans="1:18">
      <c r="A996" s="9">
        <v>38166</v>
      </c>
      <c r="B996">
        <v>2.46</v>
      </c>
      <c r="C996">
        <v>3.25</v>
      </c>
      <c r="D996">
        <v>3.76</v>
      </c>
      <c r="E996">
        <v>4.13</v>
      </c>
      <c r="F996">
        <v>4.42</v>
      </c>
      <c r="G996">
        <v>4.82</v>
      </c>
      <c r="H996">
        <v>5.21</v>
      </c>
      <c r="I996">
        <v>5.78</v>
      </c>
      <c r="K996">
        <f t="shared" si="123"/>
        <v>6.999999999999984</v>
      </c>
      <c r="L996">
        <f t="shared" si="124"/>
        <v>8.9999999999999858</v>
      </c>
      <c r="M996">
        <f t="shared" si="125"/>
        <v>8.9999999999999858</v>
      </c>
      <c r="N996">
        <f t="shared" si="126"/>
        <v>8.0000000000000071</v>
      </c>
      <c r="O996">
        <f t="shared" si="127"/>
        <v>8.0000000000000071</v>
      </c>
      <c r="P996">
        <f t="shared" si="128"/>
        <v>6.0000000000000497</v>
      </c>
      <c r="Q996">
        <f t="shared" si="129"/>
        <v>5.9999999999999609</v>
      </c>
      <c r="R996">
        <f t="shared" si="130"/>
        <v>3.0000000000000249</v>
      </c>
    </row>
    <row r="997" spans="1:18">
      <c r="A997" s="9">
        <v>38167</v>
      </c>
      <c r="B997">
        <v>2.4700000000000002</v>
      </c>
      <c r="C997">
        <v>3.26</v>
      </c>
      <c r="D997">
        <v>3.77</v>
      </c>
      <c r="E997">
        <v>4.1399999999999997</v>
      </c>
      <c r="F997">
        <v>4.43</v>
      </c>
      <c r="G997">
        <v>4.84</v>
      </c>
      <c r="H997">
        <v>5.22</v>
      </c>
      <c r="I997">
        <v>5.79</v>
      </c>
      <c r="K997">
        <f t="shared" si="123"/>
        <v>1.0000000000000231</v>
      </c>
      <c r="L997">
        <f t="shared" si="124"/>
        <v>0.99999999999997868</v>
      </c>
      <c r="M997">
        <f t="shared" si="125"/>
        <v>1.0000000000000231</v>
      </c>
      <c r="N997">
        <f t="shared" si="126"/>
        <v>0.99999999999997868</v>
      </c>
      <c r="O997">
        <f t="shared" si="127"/>
        <v>0.99999999999997868</v>
      </c>
      <c r="P997">
        <f t="shared" si="128"/>
        <v>1.9999999999999574</v>
      </c>
      <c r="Q997">
        <f t="shared" si="129"/>
        <v>0.99999999999997868</v>
      </c>
      <c r="R997">
        <f t="shared" si="130"/>
        <v>0.99999999999997868</v>
      </c>
    </row>
    <row r="998" spans="1:18">
      <c r="A998" s="9">
        <v>38168</v>
      </c>
      <c r="B998">
        <v>2.4300000000000002</v>
      </c>
      <c r="C998">
        <v>3.19</v>
      </c>
      <c r="D998">
        <v>3.68</v>
      </c>
      <c r="E998">
        <v>4.04</v>
      </c>
      <c r="F998">
        <v>4.32</v>
      </c>
      <c r="G998">
        <v>4.72</v>
      </c>
      <c r="H998">
        <v>5.0999999999999996</v>
      </c>
      <c r="I998">
        <v>5.69</v>
      </c>
      <c r="K998">
        <f t="shared" si="123"/>
        <v>-4.0000000000000036</v>
      </c>
      <c r="L998">
        <f t="shared" si="124"/>
        <v>-6.999999999999984</v>
      </c>
      <c r="M998">
        <f t="shared" si="125"/>
        <v>-8.9999999999999858</v>
      </c>
      <c r="N998">
        <f t="shared" si="126"/>
        <v>-9.9999999999999645</v>
      </c>
      <c r="O998">
        <f t="shared" si="127"/>
        <v>-10.999999999999943</v>
      </c>
      <c r="P998">
        <f t="shared" si="128"/>
        <v>-12.000000000000011</v>
      </c>
      <c r="Q998">
        <f t="shared" si="129"/>
        <v>-12.000000000000011</v>
      </c>
      <c r="R998">
        <f t="shared" si="130"/>
        <v>-9.9999999999999645</v>
      </c>
    </row>
    <row r="999" spans="1:18">
      <c r="A999" s="9">
        <v>38169</v>
      </c>
      <c r="B999">
        <v>2.37</v>
      </c>
      <c r="C999">
        <v>3.12</v>
      </c>
      <c r="D999">
        <v>3.61</v>
      </c>
      <c r="E999">
        <v>3.99</v>
      </c>
      <c r="F999">
        <v>4.2699999999999996</v>
      </c>
      <c r="G999">
        <v>4.6900000000000004</v>
      </c>
      <c r="H999">
        <v>5.08</v>
      </c>
      <c r="I999">
        <v>5.68</v>
      </c>
      <c r="K999">
        <f t="shared" si="123"/>
        <v>-6.0000000000000053</v>
      </c>
      <c r="L999">
        <f t="shared" si="124"/>
        <v>-6.999999999999984</v>
      </c>
      <c r="M999">
        <f t="shared" si="125"/>
        <v>-7.0000000000000284</v>
      </c>
      <c r="N999">
        <f t="shared" si="126"/>
        <v>-4.9999999999999822</v>
      </c>
      <c r="O999">
        <f t="shared" si="127"/>
        <v>-5.0000000000000711</v>
      </c>
      <c r="P999">
        <f t="shared" si="128"/>
        <v>-2.9999999999999361</v>
      </c>
      <c r="Q999">
        <f t="shared" si="129"/>
        <v>-1.9999999999999574</v>
      </c>
      <c r="R999">
        <f t="shared" si="130"/>
        <v>-1.0000000000000675</v>
      </c>
    </row>
    <row r="1000" spans="1:18">
      <c r="A1000" s="9">
        <v>38170</v>
      </c>
      <c r="B1000">
        <v>2.2400000000000002</v>
      </c>
      <c r="C1000">
        <v>2.92</v>
      </c>
      <c r="D1000">
        <v>3.41</v>
      </c>
      <c r="E1000">
        <v>3.78</v>
      </c>
      <c r="F1000">
        <v>4.08</v>
      </c>
      <c r="G1000">
        <v>4.51</v>
      </c>
      <c r="H1000">
        <v>4.93</v>
      </c>
      <c r="I1000">
        <v>5.57</v>
      </c>
      <c r="K1000">
        <f t="shared" si="123"/>
        <v>-12.999999999999989</v>
      </c>
      <c r="L1000">
        <f t="shared" si="124"/>
        <v>-20.000000000000018</v>
      </c>
      <c r="M1000">
        <f t="shared" si="125"/>
        <v>-19.999999999999972</v>
      </c>
      <c r="N1000">
        <f t="shared" si="126"/>
        <v>-21.000000000000043</v>
      </c>
      <c r="O1000">
        <f t="shared" si="127"/>
        <v>-18.99999999999995</v>
      </c>
      <c r="P1000">
        <f t="shared" si="128"/>
        <v>-18.00000000000006</v>
      </c>
      <c r="Q1000">
        <f t="shared" si="129"/>
        <v>-15.000000000000036</v>
      </c>
      <c r="R1000">
        <f t="shared" si="130"/>
        <v>-10.999999999999943</v>
      </c>
    </row>
    <row r="1001" spans="1:18">
      <c r="A1001" s="9">
        <v>38174</v>
      </c>
      <c r="B1001">
        <v>2.27</v>
      </c>
      <c r="C1001">
        <v>2.97</v>
      </c>
      <c r="D1001">
        <v>3.46</v>
      </c>
      <c r="E1001">
        <v>3.83</v>
      </c>
      <c r="F1001">
        <v>4.13</v>
      </c>
      <c r="G1001">
        <v>4.55</v>
      </c>
      <c r="H1001">
        <v>4.95</v>
      </c>
      <c r="I1001">
        <v>5.58</v>
      </c>
      <c r="K1001">
        <f t="shared" si="123"/>
        <v>2.9999999999999805</v>
      </c>
      <c r="L1001">
        <f t="shared" si="124"/>
        <v>5.0000000000000266</v>
      </c>
      <c r="M1001">
        <f t="shared" si="125"/>
        <v>4.9999999999999822</v>
      </c>
      <c r="N1001">
        <f t="shared" si="126"/>
        <v>5.0000000000000266</v>
      </c>
      <c r="O1001">
        <f t="shared" si="127"/>
        <v>4.9999999999999822</v>
      </c>
      <c r="P1001">
        <f t="shared" si="128"/>
        <v>4.0000000000000036</v>
      </c>
      <c r="Q1001">
        <f t="shared" si="129"/>
        <v>2.0000000000000462</v>
      </c>
      <c r="R1001">
        <f t="shared" si="130"/>
        <v>0.99999999999997868</v>
      </c>
    </row>
    <row r="1002" spans="1:18">
      <c r="A1002" s="9">
        <v>38175</v>
      </c>
      <c r="B1002">
        <v>2.25</v>
      </c>
      <c r="C1002">
        <v>2.94</v>
      </c>
      <c r="D1002">
        <v>3.43</v>
      </c>
      <c r="E1002">
        <v>3.81</v>
      </c>
      <c r="F1002">
        <v>4.1100000000000003</v>
      </c>
      <c r="G1002">
        <v>4.54</v>
      </c>
      <c r="H1002">
        <v>4.9400000000000004</v>
      </c>
      <c r="I1002">
        <v>5.57</v>
      </c>
      <c r="K1002">
        <f t="shared" si="123"/>
        <v>-2.0000000000000018</v>
      </c>
      <c r="L1002">
        <f t="shared" si="124"/>
        <v>-3.0000000000000249</v>
      </c>
      <c r="M1002">
        <f t="shared" si="125"/>
        <v>-2.9999999999999805</v>
      </c>
      <c r="N1002">
        <f t="shared" si="126"/>
        <v>-2.0000000000000018</v>
      </c>
      <c r="O1002">
        <f t="shared" si="127"/>
        <v>-1.9999999999999574</v>
      </c>
      <c r="P1002">
        <f t="shared" si="128"/>
        <v>-0.99999999999997868</v>
      </c>
      <c r="Q1002">
        <f t="shared" si="129"/>
        <v>-0.99999999999997868</v>
      </c>
      <c r="R1002">
        <f t="shared" si="130"/>
        <v>-0.99999999999997868</v>
      </c>
    </row>
    <row r="1003" spans="1:18">
      <c r="A1003" s="9">
        <v>38176</v>
      </c>
      <c r="B1003">
        <v>2.2599999999999998</v>
      </c>
      <c r="C1003">
        <v>2.95</v>
      </c>
      <c r="D1003">
        <v>3.44</v>
      </c>
      <c r="E1003">
        <v>3.81</v>
      </c>
      <c r="F1003">
        <v>4.0999999999999996</v>
      </c>
      <c r="G1003">
        <v>4.53</v>
      </c>
      <c r="H1003">
        <v>4.9400000000000004</v>
      </c>
      <c r="I1003">
        <v>5.57</v>
      </c>
      <c r="K1003">
        <f t="shared" si="123"/>
        <v>0.99999999999997868</v>
      </c>
      <c r="L1003">
        <f t="shared" si="124"/>
        <v>1.0000000000000231</v>
      </c>
      <c r="M1003">
        <f t="shared" si="125"/>
        <v>0.99999999999997868</v>
      </c>
      <c r="N1003">
        <f t="shared" si="126"/>
        <v>0</v>
      </c>
      <c r="O1003">
        <f t="shared" si="127"/>
        <v>-1.0000000000000675</v>
      </c>
      <c r="P1003">
        <f t="shared" si="128"/>
        <v>-0.99999999999997868</v>
      </c>
      <c r="Q1003">
        <f t="shared" si="129"/>
        <v>0</v>
      </c>
      <c r="R1003">
        <f t="shared" si="130"/>
        <v>0</v>
      </c>
    </row>
    <row r="1004" spans="1:18">
      <c r="A1004" s="9">
        <v>38177</v>
      </c>
      <c r="B1004">
        <v>2.2599999999999998</v>
      </c>
      <c r="C1004">
        <v>2.95</v>
      </c>
      <c r="D1004">
        <v>3.44</v>
      </c>
      <c r="E1004">
        <v>3.82</v>
      </c>
      <c r="F1004">
        <v>4.1100000000000003</v>
      </c>
      <c r="G1004">
        <v>4.55</v>
      </c>
      <c r="H1004">
        <v>4.96</v>
      </c>
      <c r="I1004">
        <v>5.59</v>
      </c>
      <c r="K1004">
        <f t="shared" si="123"/>
        <v>0</v>
      </c>
      <c r="L1004">
        <f t="shared" si="124"/>
        <v>0</v>
      </c>
      <c r="M1004">
        <f t="shared" si="125"/>
        <v>0</v>
      </c>
      <c r="N1004">
        <f t="shared" si="126"/>
        <v>0.99999999999997868</v>
      </c>
      <c r="O1004">
        <f t="shared" si="127"/>
        <v>1.0000000000000675</v>
      </c>
      <c r="P1004">
        <f t="shared" si="128"/>
        <v>1.9999999999999574</v>
      </c>
      <c r="Q1004">
        <f t="shared" si="129"/>
        <v>1.9999999999999574</v>
      </c>
      <c r="R1004">
        <f t="shared" si="130"/>
        <v>1.9999999999999574</v>
      </c>
    </row>
    <row r="1005" spans="1:18">
      <c r="A1005" s="9">
        <v>38180</v>
      </c>
      <c r="B1005">
        <v>2.25</v>
      </c>
      <c r="C1005">
        <v>2.94</v>
      </c>
      <c r="D1005">
        <v>3.42</v>
      </c>
      <c r="E1005">
        <v>3.79</v>
      </c>
      <c r="F1005">
        <v>4.09</v>
      </c>
      <c r="G1005">
        <v>4.5199999999999996</v>
      </c>
      <c r="H1005">
        <v>4.93</v>
      </c>
      <c r="I1005">
        <v>5.56</v>
      </c>
      <c r="K1005">
        <f t="shared" si="123"/>
        <v>-0.99999999999997868</v>
      </c>
      <c r="L1005">
        <f t="shared" si="124"/>
        <v>-1.0000000000000231</v>
      </c>
      <c r="M1005">
        <f t="shared" si="125"/>
        <v>-2.0000000000000018</v>
      </c>
      <c r="N1005">
        <f t="shared" si="126"/>
        <v>-2.9999999999999805</v>
      </c>
      <c r="O1005">
        <f t="shared" si="127"/>
        <v>-2.0000000000000462</v>
      </c>
      <c r="P1005">
        <f t="shared" si="128"/>
        <v>-3.0000000000000249</v>
      </c>
      <c r="Q1005">
        <f t="shared" si="129"/>
        <v>-3.0000000000000249</v>
      </c>
      <c r="R1005">
        <f t="shared" si="130"/>
        <v>-3.0000000000000249</v>
      </c>
    </row>
    <row r="1006" spans="1:18">
      <c r="A1006" s="9">
        <v>38181</v>
      </c>
      <c r="B1006">
        <v>2.2999999999999998</v>
      </c>
      <c r="C1006">
        <v>3</v>
      </c>
      <c r="D1006">
        <v>3.48</v>
      </c>
      <c r="E1006">
        <v>3.85</v>
      </c>
      <c r="F1006">
        <v>4.1500000000000004</v>
      </c>
      <c r="G1006">
        <v>4.57</v>
      </c>
      <c r="H1006">
        <v>4.9800000000000004</v>
      </c>
      <c r="I1006">
        <v>5.61</v>
      </c>
      <c r="K1006">
        <f t="shared" si="123"/>
        <v>4.9999999999999822</v>
      </c>
      <c r="L1006">
        <f t="shared" si="124"/>
        <v>6.0000000000000053</v>
      </c>
      <c r="M1006">
        <f t="shared" si="125"/>
        <v>6.0000000000000053</v>
      </c>
      <c r="N1006">
        <f t="shared" si="126"/>
        <v>6.0000000000000053</v>
      </c>
      <c r="O1006">
        <f t="shared" si="127"/>
        <v>6.0000000000000497</v>
      </c>
      <c r="P1006">
        <f t="shared" si="128"/>
        <v>5.0000000000000711</v>
      </c>
      <c r="Q1006">
        <f t="shared" si="129"/>
        <v>5.0000000000000711</v>
      </c>
      <c r="R1006">
        <f t="shared" si="130"/>
        <v>5.0000000000000711</v>
      </c>
    </row>
    <row r="1007" spans="1:18">
      <c r="A1007" s="9">
        <v>38182</v>
      </c>
      <c r="B1007">
        <v>2.3199999999999998</v>
      </c>
      <c r="C1007">
        <v>3.02</v>
      </c>
      <c r="D1007">
        <v>3.51</v>
      </c>
      <c r="E1007">
        <v>3.87</v>
      </c>
      <c r="F1007">
        <v>4.16</v>
      </c>
      <c r="G1007">
        <v>4.58</v>
      </c>
      <c r="H1007">
        <v>4.9800000000000004</v>
      </c>
      <c r="I1007">
        <v>5.6</v>
      </c>
      <c r="K1007">
        <f t="shared" si="123"/>
        <v>2.0000000000000018</v>
      </c>
      <c r="L1007">
        <f t="shared" si="124"/>
        <v>2.0000000000000018</v>
      </c>
      <c r="M1007">
        <f t="shared" si="125"/>
        <v>2.9999999999999805</v>
      </c>
      <c r="N1007">
        <f t="shared" si="126"/>
        <v>2.0000000000000018</v>
      </c>
      <c r="O1007">
        <f t="shared" si="127"/>
        <v>0.99999999999997868</v>
      </c>
      <c r="P1007">
        <f t="shared" si="128"/>
        <v>0.99999999999997868</v>
      </c>
      <c r="Q1007">
        <f t="shared" si="129"/>
        <v>0</v>
      </c>
      <c r="R1007">
        <f t="shared" si="130"/>
        <v>-1.0000000000000675</v>
      </c>
    </row>
    <row r="1008" spans="1:18">
      <c r="A1008" s="9">
        <v>38183</v>
      </c>
      <c r="B1008">
        <v>2.3199999999999998</v>
      </c>
      <c r="C1008">
        <v>3.03</v>
      </c>
      <c r="D1008">
        <v>3.51</v>
      </c>
      <c r="E1008">
        <v>3.87</v>
      </c>
      <c r="F1008">
        <v>4.16</v>
      </c>
      <c r="G1008">
        <v>4.57</v>
      </c>
      <c r="H1008">
        <v>4.97</v>
      </c>
      <c r="I1008">
        <v>5.58</v>
      </c>
      <c r="K1008">
        <f t="shared" si="123"/>
        <v>0</v>
      </c>
      <c r="L1008">
        <f t="shared" si="124"/>
        <v>0.99999999999997868</v>
      </c>
      <c r="M1008">
        <f t="shared" si="125"/>
        <v>0</v>
      </c>
      <c r="N1008">
        <f t="shared" si="126"/>
        <v>0</v>
      </c>
      <c r="O1008">
        <f t="shared" si="127"/>
        <v>0</v>
      </c>
      <c r="P1008">
        <f t="shared" si="128"/>
        <v>-0.99999999999997868</v>
      </c>
      <c r="Q1008">
        <f t="shared" si="129"/>
        <v>-1.0000000000000675</v>
      </c>
      <c r="R1008">
        <f t="shared" si="130"/>
        <v>-1.9999999999999574</v>
      </c>
    </row>
    <row r="1009" spans="1:18">
      <c r="A1009" s="9">
        <v>38184</v>
      </c>
      <c r="B1009">
        <v>2.27</v>
      </c>
      <c r="C1009">
        <v>2.94</v>
      </c>
      <c r="D1009">
        <v>3.42</v>
      </c>
      <c r="E1009">
        <v>3.77</v>
      </c>
      <c r="F1009">
        <v>4.05</v>
      </c>
      <c r="G1009">
        <v>4.47</v>
      </c>
      <c r="H1009">
        <v>4.87</v>
      </c>
      <c r="I1009">
        <v>5.5</v>
      </c>
      <c r="K1009">
        <f t="shared" si="123"/>
        <v>-4.9999999999999822</v>
      </c>
      <c r="L1009">
        <f t="shared" si="124"/>
        <v>-8.9999999999999858</v>
      </c>
      <c r="M1009">
        <f t="shared" si="125"/>
        <v>-8.9999999999999858</v>
      </c>
      <c r="N1009">
        <f t="shared" si="126"/>
        <v>-10.000000000000009</v>
      </c>
      <c r="O1009">
        <f t="shared" si="127"/>
        <v>-11.000000000000032</v>
      </c>
      <c r="P1009">
        <f t="shared" si="128"/>
        <v>-10.000000000000053</v>
      </c>
      <c r="Q1009">
        <f t="shared" si="129"/>
        <v>-9.9999999999999645</v>
      </c>
      <c r="R1009">
        <f t="shared" si="130"/>
        <v>-8.0000000000000071</v>
      </c>
    </row>
    <row r="1010" spans="1:18">
      <c r="A1010" s="9">
        <v>38187</v>
      </c>
      <c r="B1010">
        <v>2.2799999999999998</v>
      </c>
      <c r="C1010">
        <v>2.96</v>
      </c>
      <c r="D1010">
        <v>3.42</v>
      </c>
      <c r="E1010">
        <v>3.77</v>
      </c>
      <c r="F1010">
        <v>4.04</v>
      </c>
      <c r="G1010">
        <v>4.45</v>
      </c>
      <c r="H1010">
        <v>4.8499999999999996</v>
      </c>
      <c r="I1010">
        <v>5.48</v>
      </c>
      <c r="K1010">
        <f t="shared" si="123"/>
        <v>0.99999999999997868</v>
      </c>
      <c r="L1010">
        <f t="shared" si="124"/>
        <v>2.0000000000000018</v>
      </c>
      <c r="M1010">
        <f t="shared" si="125"/>
        <v>0</v>
      </c>
      <c r="N1010">
        <f t="shared" si="126"/>
        <v>0</v>
      </c>
      <c r="O1010">
        <f t="shared" si="127"/>
        <v>-0.99999999999997868</v>
      </c>
      <c r="P1010">
        <f t="shared" si="128"/>
        <v>-1.9999999999999574</v>
      </c>
      <c r="Q1010">
        <f t="shared" si="129"/>
        <v>-2.0000000000000462</v>
      </c>
      <c r="R1010">
        <f t="shared" si="130"/>
        <v>-1.9999999999999574</v>
      </c>
    </row>
    <row r="1011" spans="1:18">
      <c r="A1011" s="9">
        <v>38188</v>
      </c>
      <c r="B1011">
        <v>2.2999999999999998</v>
      </c>
      <c r="C1011">
        <v>2.98</v>
      </c>
      <c r="D1011">
        <v>3.44</v>
      </c>
      <c r="E1011">
        <v>3.79</v>
      </c>
      <c r="F1011">
        <v>4.07</v>
      </c>
      <c r="G1011">
        <v>4.47</v>
      </c>
      <c r="H1011">
        <v>4.87</v>
      </c>
      <c r="I1011">
        <v>5.5</v>
      </c>
      <c r="K1011">
        <f t="shared" si="123"/>
        <v>2.0000000000000018</v>
      </c>
      <c r="L1011">
        <f t="shared" si="124"/>
        <v>2.0000000000000018</v>
      </c>
      <c r="M1011">
        <f t="shared" si="125"/>
        <v>2.0000000000000018</v>
      </c>
      <c r="N1011">
        <f t="shared" si="126"/>
        <v>2.0000000000000018</v>
      </c>
      <c r="O1011">
        <f t="shared" si="127"/>
        <v>3.0000000000000249</v>
      </c>
      <c r="P1011">
        <f t="shared" si="128"/>
        <v>1.9999999999999574</v>
      </c>
      <c r="Q1011">
        <f t="shared" si="129"/>
        <v>2.0000000000000462</v>
      </c>
      <c r="R1011">
        <f t="shared" si="130"/>
        <v>1.9999999999999574</v>
      </c>
    </row>
    <row r="1012" spans="1:18">
      <c r="A1012" s="9">
        <v>38189</v>
      </c>
      <c r="B1012">
        <v>2.41</v>
      </c>
      <c r="C1012">
        <v>3.15</v>
      </c>
      <c r="D1012">
        <v>3.62</v>
      </c>
      <c r="E1012">
        <v>3.96</v>
      </c>
      <c r="F1012">
        <v>4.2300000000000004</v>
      </c>
      <c r="G1012">
        <v>4.62</v>
      </c>
      <c r="H1012">
        <v>4.99</v>
      </c>
      <c r="I1012">
        <v>5.59</v>
      </c>
      <c r="K1012">
        <f t="shared" si="123"/>
        <v>11.000000000000032</v>
      </c>
      <c r="L1012">
        <f t="shared" si="124"/>
        <v>16.999999999999993</v>
      </c>
      <c r="M1012">
        <f t="shared" si="125"/>
        <v>18.000000000000014</v>
      </c>
      <c r="N1012">
        <f t="shared" si="126"/>
        <v>16.999999999999993</v>
      </c>
      <c r="O1012">
        <f t="shared" si="127"/>
        <v>16.000000000000014</v>
      </c>
      <c r="P1012">
        <f t="shared" si="128"/>
        <v>15.000000000000036</v>
      </c>
      <c r="Q1012">
        <f t="shared" si="129"/>
        <v>12.000000000000011</v>
      </c>
      <c r="R1012">
        <f t="shared" si="130"/>
        <v>8.9999999999999858</v>
      </c>
    </row>
    <row r="1013" spans="1:18">
      <c r="A1013" s="9">
        <v>38190</v>
      </c>
      <c r="B1013">
        <v>2.39</v>
      </c>
      <c r="C1013">
        <v>3.09</v>
      </c>
      <c r="D1013">
        <v>3.55</v>
      </c>
      <c r="E1013">
        <v>3.9</v>
      </c>
      <c r="F1013">
        <v>4.17</v>
      </c>
      <c r="G1013">
        <v>4.55</v>
      </c>
      <c r="H1013">
        <v>4.93</v>
      </c>
      <c r="I1013">
        <v>5.54</v>
      </c>
      <c r="K1013">
        <f t="shared" si="123"/>
        <v>-2.0000000000000018</v>
      </c>
      <c r="L1013">
        <f t="shared" si="124"/>
        <v>-6.0000000000000053</v>
      </c>
      <c r="M1013">
        <f t="shared" si="125"/>
        <v>-7.0000000000000284</v>
      </c>
      <c r="N1013">
        <f t="shared" si="126"/>
        <v>-6.0000000000000053</v>
      </c>
      <c r="O1013">
        <f t="shared" si="127"/>
        <v>-6.0000000000000497</v>
      </c>
      <c r="P1013">
        <f t="shared" si="128"/>
        <v>-7.0000000000000284</v>
      </c>
      <c r="Q1013">
        <f t="shared" si="129"/>
        <v>-6.0000000000000497</v>
      </c>
      <c r="R1013">
        <f t="shared" si="130"/>
        <v>-4.9999999999999822</v>
      </c>
    </row>
    <row r="1014" spans="1:18">
      <c r="A1014" s="9">
        <v>38191</v>
      </c>
      <c r="B1014">
        <v>2.4</v>
      </c>
      <c r="C1014">
        <v>3.11</v>
      </c>
      <c r="D1014">
        <v>3.57</v>
      </c>
      <c r="E1014">
        <v>3.91</v>
      </c>
      <c r="F1014">
        <v>4.17</v>
      </c>
      <c r="G1014">
        <v>4.5599999999999996</v>
      </c>
      <c r="H1014">
        <v>4.93</v>
      </c>
      <c r="I1014">
        <v>5.55</v>
      </c>
      <c r="K1014">
        <f t="shared" si="123"/>
        <v>0.99999999999997868</v>
      </c>
      <c r="L1014">
        <f t="shared" si="124"/>
        <v>2.0000000000000018</v>
      </c>
      <c r="M1014">
        <f t="shared" si="125"/>
        <v>2.0000000000000018</v>
      </c>
      <c r="N1014">
        <f t="shared" si="126"/>
        <v>1.0000000000000231</v>
      </c>
      <c r="O1014">
        <f t="shared" si="127"/>
        <v>0</v>
      </c>
      <c r="P1014">
        <f t="shared" si="128"/>
        <v>0.99999999999997868</v>
      </c>
      <c r="Q1014">
        <f t="shared" si="129"/>
        <v>0</v>
      </c>
      <c r="R1014">
        <f t="shared" si="130"/>
        <v>0.99999999999997868</v>
      </c>
    </row>
    <row r="1015" spans="1:18">
      <c r="A1015" s="9">
        <v>38194</v>
      </c>
      <c r="B1015">
        <v>2.4300000000000002</v>
      </c>
      <c r="C1015">
        <v>3.15</v>
      </c>
      <c r="D1015">
        <v>3.62</v>
      </c>
      <c r="E1015">
        <v>3.94</v>
      </c>
      <c r="F1015">
        <v>4.2</v>
      </c>
      <c r="G1015">
        <v>4.59</v>
      </c>
      <c r="H1015">
        <v>4.96</v>
      </c>
      <c r="I1015">
        <v>5.57</v>
      </c>
      <c r="K1015">
        <f t="shared" si="123"/>
        <v>3.0000000000000249</v>
      </c>
      <c r="L1015">
        <f t="shared" si="124"/>
        <v>4.0000000000000036</v>
      </c>
      <c r="M1015">
        <f t="shared" si="125"/>
        <v>5.0000000000000266</v>
      </c>
      <c r="N1015">
        <f t="shared" si="126"/>
        <v>2.9999999999999805</v>
      </c>
      <c r="O1015">
        <f t="shared" si="127"/>
        <v>3.0000000000000249</v>
      </c>
      <c r="P1015">
        <f t="shared" si="128"/>
        <v>3.0000000000000249</v>
      </c>
      <c r="Q1015">
        <f t="shared" si="129"/>
        <v>3.0000000000000249</v>
      </c>
      <c r="R1015">
        <f t="shared" si="130"/>
        <v>2.0000000000000462</v>
      </c>
    </row>
    <row r="1016" spans="1:18">
      <c r="A1016" s="9">
        <v>38195</v>
      </c>
      <c r="B1016">
        <v>2.4500000000000002</v>
      </c>
      <c r="C1016">
        <v>3.19</v>
      </c>
      <c r="D1016">
        <v>3.65</v>
      </c>
      <c r="E1016">
        <v>3.99</v>
      </c>
      <c r="F1016">
        <v>4.26</v>
      </c>
      <c r="G1016">
        <v>4.6500000000000004</v>
      </c>
      <c r="H1016">
        <v>5.0199999999999996</v>
      </c>
      <c r="I1016">
        <v>5.62</v>
      </c>
      <c r="K1016">
        <f t="shared" si="123"/>
        <v>2.0000000000000018</v>
      </c>
      <c r="L1016">
        <f t="shared" si="124"/>
        <v>4.0000000000000036</v>
      </c>
      <c r="M1016">
        <f t="shared" si="125"/>
        <v>2.9999999999999805</v>
      </c>
      <c r="N1016">
        <f t="shared" si="126"/>
        <v>5.0000000000000266</v>
      </c>
      <c r="O1016">
        <f t="shared" si="127"/>
        <v>5.9999999999999609</v>
      </c>
      <c r="P1016">
        <f t="shared" si="128"/>
        <v>6.0000000000000497</v>
      </c>
      <c r="Q1016">
        <f t="shared" si="129"/>
        <v>5.9999999999999609</v>
      </c>
      <c r="R1016">
        <f t="shared" si="130"/>
        <v>4.9999999999999822</v>
      </c>
    </row>
    <row r="1017" spans="1:18">
      <c r="A1017" s="9">
        <v>38196</v>
      </c>
      <c r="B1017">
        <v>2.4700000000000002</v>
      </c>
      <c r="C1017">
        <v>3.22</v>
      </c>
      <c r="D1017">
        <v>3.7</v>
      </c>
      <c r="E1017">
        <v>4.05</v>
      </c>
      <c r="F1017">
        <v>4.33</v>
      </c>
      <c r="G1017">
        <v>4.72</v>
      </c>
      <c r="H1017">
        <v>5.0999999999999996</v>
      </c>
      <c r="I1017">
        <v>5.7</v>
      </c>
      <c r="K1017">
        <f t="shared" si="123"/>
        <v>2.0000000000000018</v>
      </c>
      <c r="L1017">
        <f t="shared" si="124"/>
        <v>3.0000000000000249</v>
      </c>
      <c r="M1017">
        <f t="shared" si="125"/>
        <v>5.0000000000000266</v>
      </c>
      <c r="N1017">
        <f t="shared" si="126"/>
        <v>5.9999999999999609</v>
      </c>
      <c r="O1017">
        <f t="shared" si="127"/>
        <v>7.0000000000000284</v>
      </c>
      <c r="P1017">
        <f t="shared" si="128"/>
        <v>6.9999999999999396</v>
      </c>
      <c r="Q1017">
        <f t="shared" si="129"/>
        <v>8.0000000000000071</v>
      </c>
      <c r="R1017">
        <f t="shared" si="130"/>
        <v>8.0000000000000071</v>
      </c>
    </row>
    <row r="1018" spans="1:18">
      <c r="A1018" s="9">
        <v>38197</v>
      </c>
      <c r="B1018">
        <v>2.46</v>
      </c>
      <c r="C1018">
        <v>3.19</v>
      </c>
      <c r="D1018">
        <v>3.66</v>
      </c>
      <c r="E1018">
        <v>4.0199999999999996</v>
      </c>
      <c r="F1018">
        <v>4.29</v>
      </c>
      <c r="G1018">
        <v>4.6900000000000004</v>
      </c>
      <c r="H1018">
        <v>5.08</v>
      </c>
      <c r="I1018">
        <v>5.68</v>
      </c>
      <c r="K1018">
        <f t="shared" si="123"/>
        <v>-1.0000000000000231</v>
      </c>
      <c r="L1018">
        <f t="shared" si="124"/>
        <v>-3.0000000000000249</v>
      </c>
      <c r="M1018">
        <f t="shared" si="125"/>
        <v>-4.0000000000000036</v>
      </c>
      <c r="N1018">
        <f t="shared" si="126"/>
        <v>-3.0000000000000249</v>
      </c>
      <c r="O1018">
        <f t="shared" si="127"/>
        <v>-4.0000000000000036</v>
      </c>
      <c r="P1018">
        <f t="shared" si="128"/>
        <v>-2.9999999999999361</v>
      </c>
      <c r="Q1018">
        <f t="shared" si="129"/>
        <v>-1.9999999999999574</v>
      </c>
      <c r="R1018">
        <f t="shared" si="130"/>
        <v>-2.0000000000000462</v>
      </c>
    </row>
    <row r="1019" spans="1:18">
      <c r="A1019" s="9">
        <v>38198</v>
      </c>
      <c r="B1019">
        <v>2.39</v>
      </c>
      <c r="C1019">
        <v>3.09</v>
      </c>
      <c r="D1019">
        <v>3.57</v>
      </c>
      <c r="E1019">
        <v>3.92</v>
      </c>
      <c r="F1019">
        <v>4.2</v>
      </c>
      <c r="G1019">
        <v>4.6100000000000003</v>
      </c>
      <c r="H1019">
        <v>5</v>
      </c>
      <c r="I1019">
        <v>5.61</v>
      </c>
      <c r="K1019">
        <f t="shared" si="123"/>
        <v>-6.999999999999984</v>
      </c>
      <c r="L1019">
        <f t="shared" si="124"/>
        <v>-10.000000000000009</v>
      </c>
      <c r="M1019">
        <f t="shared" si="125"/>
        <v>-9.0000000000000302</v>
      </c>
      <c r="N1019">
        <f t="shared" si="126"/>
        <v>-9.9999999999999645</v>
      </c>
      <c r="O1019">
        <f t="shared" si="127"/>
        <v>-8.9999999999999858</v>
      </c>
      <c r="P1019">
        <f t="shared" si="128"/>
        <v>-8.0000000000000071</v>
      </c>
      <c r="Q1019">
        <f t="shared" si="129"/>
        <v>-8.0000000000000071</v>
      </c>
      <c r="R1019">
        <f t="shared" si="130"/>
        <v>-6.9999999999999396</v>
      </c>
    </row>
    <row r="1020" spans="1:18">
      <c r="A1020" s="9">
        <v>38201</v>
      </c>
      <c r="B1020">
        <v>2.37</v>
      </c>
      <c r="C1020">
        <v>3.06</v>
      </c>
      <c r="D1020">
        <v>3.53</v>
      </c>
      <c r="E1020">
        <v>3.88</v>
      </c>
      <c r="F1020">
        <v>4.16</v>
      </c>
      <c r="G1020">
        <v>4.5599999999999996</v>
      </c>
      <c r="H1020">
        <v>4.95</v>
      </c>
      <c r="I1020">
        <v>5.56</v>
      </c>
      <c r="K1020">
        <f t="shared" si="123"/>
        <v>-2.0000000000000018</v>
      </c>
      <c r="L1020">
        <f t="shared" si="124"/>
        <v>-2.9999999999999805</v>
      </c>
      <c r="M1020">
        <f t="shared" si="125"/>
        <v>-4.0000000000000036</v>
      </c>
      <c r="N1020">
        <f t="shared" si="126"/>
        <v>-4.0000000000000036</v>
      </c>
      <c r="O1020">
        <f t="shared" si="127"/>
        <v>-4.0000000000000036</v>
      </c>
      <c r="P1020">
        <f t="shared" si="128"/>
        <v>-5.0000000000000711</v>
      </c>
      <c r="Q1020">
        <f t="shared" si="129"/>
        <v>-4.9999999999999822</v>
      </c>
      <c r="R1020">
        <f t="shared" si="130"/>
        <v>-5.0000000000000711</v>
      </c>
    </row>
    <row r="1021" spans="1:18">
      <c r="A1021" s="9">
        <v>38202</v>
      </c>
      <c r="B1021">
        <v>2.37</v>
      </c>
      <c r="C1021">
        <v>3.06</v>
      </c>
      <c r="D1021">
        <v>3.53</v>
      </c>
      <c r="E1021">
        <v>3.88</v>
      </c>
      <c r="F1021">
        <v>4.1500000000000004</v>
      </c>
      <c r="G1021">
        <v>4.55</v>
      </c>
      <c r="H1021">
        <v>4.93</v>
      </c>
      <c r="I1021">
        <v>5.54</v>
      </c>
      <c r="K1021">
        <f t="shared" si="123"/>
        <v>0</v>
      </c>
      <c r="L1021">
        <f t="shared" si="124"/>
        <v>0</v>
      </c>
      <c r="M1021">
        <f t="shared" si="125"/>
        <v>0</v>
      </c>
      <c r="N1021">
        <f t="shared" si="126"/>
        <v>0</v>
      </c>
      <c r="O1021">
        <f t="shared" si="127"/>
        <v>-0.99999999999997868</v>
      </c>
      <c r="P1021">
        <f t="shared" si="128"/>
        <v>-0.99999999999997868</v>
      </c>
      <c r="Q1021">
        <f t="shared" si="129"/>
        <v>-2.0000000000000462</v>
      </c>
      <c r="R1021">
        <f t="shared" si="130"/>
        <v>-1.9999999999999574</v>
      </c>
    </row>
    <row r="1022" spans="1:18">
      <c r="A1022" s="9">
        <v>38203</v>
      </c>
      <c r="B1022">
        <v>2.37</v>
      </c>
      <c r="C1022">
        <v>3.04</v>
      </c>
      <c r="D1022">
        <v>3.51</v>
      </c>
      <c r="E1022">
        <v>3.85</v>
      </c>
      <c r="F1022">
        <v>4.12</v>
      </c>
      <c r="G1022">
        <v>4.5199999999999996</v>
      </c>
      <c r="H1022">
        <v>4.9000000000000004</v>
      </c>
      <c r="I1022">
        <v>5.53</v>
      </c>
      <c r="K1022">
        <f t="shared" si="123"/>
        <v>0</v>
      </c>
      <c r="L1022">
        <f t="shared" si="124"/>
        <v>-2.0000000000000018</v>
      </c>
      <c r="M1022">
        <f t="shared" si="125"/>
        <v>-2.0000000000000018</v>
      </c>
      <c r="N1022">
        <f t="shared" si="126"/>
        <v>-2.9999999999999805</v>
      </c>
      <c r="O1022">
        <f t="shared" si="127"/>
        <v>-3.0000000000000249</v>
      </c>
      <c r="P1022">
        <f t="shared" si="128"/>
        <v>-3.0000000000000249</v>
      </c>
      <c r="Q1022">
        <f t="shared" si="129"/>
        <v>-2.9999999999999361</v>
      </c>
      <c r="R1022">
        <f t="shared" si="130"/>
        <v>-0.99999999999997868</v>
      </c>
    </row>
    <row r="1023" spans="1:18">
      <c r="A1023" s="9">
        <v>38204</v>
      </c>
      <c r="B1023">
        <v>2.36</v>
      </c>
      <c r="C1023">
        <v>3.03</v>
      </c>
      <c r="D1023">
        <v>3.49</v>
      </c>
      <c r="E1023">
        <v>3.84</v>
      </c>
      <c r="F1023">
        <v>4.1100000000000003</v>
      </c>
      <c r="G1023">
        <v>4.5</v>
      </c>
      <c r="H1023">
        <v>4.8899999999999997</v>
      </c>
      <c r="I1023">
        <v>5.52</v>
      </c>
      <c r="K1023">
        <f t="shared" si="123"/>
        <v>-1.0000000000000231</v>
      </c>
      <c r="L1023">
        <f t="shared" si="124"/>
        <v>-1.0000000000000231</v>
      </c>
      <c r="M1023">
        <f t="shared" si="125"/>
        <v>-1.9999999999999574</v>
      </c>
      <c r="N1023">
        <f t="shared" si="126"/>
        <v>-1.0000000000000231</v>
      </c>
      <c r="O1023">
        <f t="shared" si="127"/>
        <v>-0.99999999999997868</v>
      </c>
      <c r="P1023">
        <f t="shared" si="128"/>
        <v>-1.9999999999999574</v>
      </c>
      <c r="Q1023">
        <f t="shared" si="129"/>
        <v>-1.0000000000000675</v>
      </c>
      <c r="R1023">
        <f t="shared" si="130"/>
        <v>-1.0000000000000675</v>
      </c>
    </row>
    <row r="1024" spans="1:18">
      <c r="A1024" s="9">
        <v>38205</v>
      </c>
      <c r="B1024">
        <v>2.1800000000000002</v>
      </c>
      <c r="C1024">
        <v>2.76</v>
      </c>
      <c r="D1024">
        <v>3.22</v>
      </c>
      <c r="E1024">
        <v>3.58</v>
      </c>
      <c r="F1024">
        <v>3.86</v>
      </c>
      <c r="G1024">
        <v>4.29</v>
      </c>
      <c r="H1024">
        <v>4.71</v>
      </c>
      <c r="I1024">
        <v>5.38</v>
      </c>
      <c r="K1024">
        <f t="shared" si="123"/>
        <v>-17.999999999999972</v>
      </c>
      <c r="L1024">
        <f t="shared" si="124"/>
        <v>-27</v>
      </c>
      <c r="M1024">
        <f t="shared" si="125"/>
        <v>-27</v>
      </c>
      <c r="N1024">
        <f t="shared" si="126"/>
        <v>-25.999999999999979</v>
      </c>
      <c r="O1024">
        <f t="shared" si="127"/>
        <v>-25.000000000000043</v>
      </c>
      <c r="P1024">
        <f t="shared" si="128"/>
        <v>-20.999999999999996</v>
      </c>
      <c r="Q1024">
        <f t="shared" si="129"/>
        <v>-17.999999999999972</v>
      </c>
      <c r="R1024">
        <f t="shared" si="130"/>
        <v>-13.999999999999968</v>
      </c>
    </row>
    <row r="1025" spans="1:18">
      <c r="A1025" s="9">
        <v>38208</v>
      </c>
      <c r="B1025">
        <v>2.2000000000000002</v>
      </c>
      <c r="C1025">
        <v>2.8</v>
      </c>
      <c r="D1025">
        <v>3.25</v>
      </c>
      <c r="E1025">
        <v>3.6</v>
      </c>
      <c r="F1025">
        <v>3.88</v>
      </c>
      <c r="G1025">
        <v>4.3</v>
      </c>
      <c r="H1025">
        <v>4.71</v>
      </c>
      <c r="I1025">
        <v>5.39</v>
      </c>
      <c r="K1025">
        <f t="shared" si="123"/>
        <v>2.0000000000000018</v>
      </c>
      <c r="L1025">
        <f t="shared" si="124"/>
        <v>4.0000000000000036</v>
      </c>
      <c r="M1025">
        <f t="shared" si="125"/>
        <v>2.9999999999999805</v>
      </c>
      <c r="N1025">
        <f t="shared" si="126"/>
        <v>2.0000000000000018</v>
      </c>
      <c r="O1025">
        <f t="shared" si="127"/>
        <v>2.0000000000000018</v>
      </c>
      <c r="P1025">
        <f t="shared" si="128"/>
        <v>0.99999999999997868</v>
      </c>
      <c r="Q1025">
        <f t="shared" si="129"/>
        <v>0</v>
      </c>
      <c r="R1025">
        <f t="shared" si="130"/>
        <v>0.99999999999997868</v>
      </c>
    </row>
    <row r="1026" spans="1:18">
      <c r="A1026" s="9">
        <v>38209</v>
      </c>
      <c r="B1026">
        <v>2.21</v>
      </c>
      <c r="C1026">
        <v>2.81</v>
      </c>
      <c r="D1026">
        <v>3.26</v>
      </c>
      <c r="E1026">
        <v>3.61</v>
      </c>
      <c r="F1026">
        <v>3.88</v>
      </c>
      <c r="G1026">
        <v>4.3</v>
      </c>
      <c r="H1026">
        <v>4.7</v>
      </c>
      <c r="I1026">
        <v>5.38</v>
      </c>
      <c r="K1026">
        <f t="shared" si="123"/>
        <v>0.99999999999997868</v>
      </c>
      <c r="L1026">
        <f t="shared" si="124"/>
        <v>1.0000000000000231</v>
      </c>
      <c r="M1026">
        <f t="shared" si="125"/>
        <v>0.99999999999997868</v>
      </c>
      <c r="N1026">
        <f t="shared" si="126"/>
        <v>0.99999999999997868</v>
      </c>
      <c r="O1026">
        <f t="shared" si="127"/>
        <v>0</v>
      </c>
      <c r="P1026">
        <f t="shared" si="128"/>
        <v>0</v>
      </c>
      <c r="Q1026">
        <f t="shared" si="129"/>
        <v>-0.99999999999997868</v>
      </c>
      <c r="R1026">
        <f t="shared" si="130"/>
        <v>-0.99999999999997868</v>
      </c>
    </row>
    <row r="1027" spans="1:18">
      <c r="A1027" s="9">
        <v>38210</v>
      </c>
      <c r="B1027">
        <v>2.27</v>
      </c>
      <c r="C1027">
        <v>2.9</v>
      </c>
      <c r="D1027">
        <v>3.35</v>
      </c>
      <c r="E1027">
        <v>3.7</v>
      </c>
      <c r="F1027">
        <v>3.98</v>
      </c>
      <c r="G1027">
        <v>4.38</v>
      </c>
      <c r="H1027">
        <v>4.7699999999999996</v>
      </c>
      <c r="I1027">
        <v>5.44</v>
      </c>
      <c r="K1027">
        <f t="shared" si="123"/>
        <v>6.0000000000000053</v>
      </c>
      <c r="L1027">
        <f t="shared" si="124"/>
        <v>8.9999999999999858</v>
      </c>
      <c r="M1027">
        <f t="shared" si="125"/>
        <v>9.0000000000000302</v>
      </c>
      <c r="N1027">
        <f t="shared" si="126"/>
        <v>9.0000000000000302</v>
      </c>
      <c r="O1027">
        <f t="shared" si="127"/>
        <v>10.000000000000009</v>
      </c>
      <c r="P1027">
        <f t="shared" si="128"/>
        <v>8.0000000000000071</v>
      </c>
      <c r="Q1027">
        <f t="shared" si="129"/>
        <v>6.9999999999999396</v>
      </c>
      <c r="R1027">
        <f t="shared" si="130"/>
        <v>6.0000000000000497</v>
      </c>
    </row>
    <row r="1028" spans="1:18">
      <c r="A1028" s="9">
        <v>38211</v>
      </c>
      <c r="B1028">
        <v>2.2799999999999998</v>
      </c>
      <c r="C1028">
        <v>2.9</v>
      </c>
      <c r="D1028">
        <v>3.35</v>
      </c>
      <c r="E1028">
        <v>3.69</v>
      </c>
      <c r="F1028">
        <v>3.96</v>
      </c>
      <c r="G1028">
        <v>4.37</v>
      </c>
      <c r="H1028">
        <v>4.7699999999999996</v>
      </c>
      <c r="I1028">
        <v>5.43</v>
      </c>
      <c r="K1028">
        <f t="shared" si="123"/>
        <v>0.99999999999997868</v>
      </c>
      <c r="L1028">
        <f t="shared" si="124"/>
        <v>0</v>
      </c>
      <c r="M1028">
        <f t="shared" si="125"/>
        <v>0</v>
      </c>
      <c r="N1028">
        <f t="shared" si="126"/>
        <v>-1.0000000000000231</v>
      </c>
      <c r="O1028">
        <f t="shared" si="127"/>
        <v>-2.0000000000000018</v>
      </c>
      <c r="P1028">
        <f t="shared" si="128"/>
        <v>-0.99999999999997868</v>
      </c>
      <c r="Q1028">
        <f t="shared" si="129"/>
        <v>0</v>
      </c>
      <c r="R1028">
        <f t="shared" si="130"/>
        <v>-1.0000000000000675</v>
      </c>
    </row>
    <row r="1029" spans="1:18">
      <c r="A1029" s="9">
        <v>38212</v>
      </c>
      <c r="B1029">
        <v>2.25</v>
      </c>
      <c r="C1029">
        <v>2.84</v>
      </c>
      <c r="D1029">
        <v>3.27</v>
      </c>
      <c r="E1029">
        <v>3.61</v>
      </c>
      <c r="F1029">
        <v>3.88</v>
      </c>
      <c r="G1029">
        <v>4.29</v>
      </c>
      <c r="H1029">
        <v>4.6900000000000004</v>
      </c>
      <c r="I1029">
        <v>5.38</v>
      </c>
      <c r="K1029">
        <f t="shared" ref="K1029:K1092" si="131">(B1029-B1028)*100</f>
        <v>-2.9999999999999805</v>
      </c>
      <c r="L1029">
        <f t="shared" ref="L1029:L1092" si="132">(C1029-C1028)*100</f>
        <v>-6.0000000000000053</v>
      </c>
      <c r="M1029">
        <f t="shared" ref="M1029:M1092" si="133">(D1029-D1028)*100</f>
        <v>-8.0000000000000071</v>
      </c>
      <c r="N1029">
        <f t="shared" ref="N1029:N1092" si="134">(E1029-E1028)*100</f>
        <v>-8.0000000000000071</v>
      </c>
      <c r="O1029">
        <f t="shared" ref="O1029:O1092" si="135">(F1029-F1028)*100</f>
        <v>-8.0000000000000071</v>
      </c>
      <c r="P1029">
        <f t="shared" ref="P1029:P1092" si="136">(G1029-G1028)*100</f>
        <v>-8.0000000000000071</v>
      </c>
      <c r="Q1029">
        <f t="shared" ref="Q1029:Q1092" si="137">(H1029-H1028)*100</f>
        <v>-7.9999999999999183</v>
      </c>
      <c r="R1029">
        <f t="shared" ref="R1029:R1092" si="138">(I1029-I1028)*100</f>
        <v>-4.9999999999999822</v>
      </c>
    </row>
    <row r="1030" spans="1:18">
      <c r="A1030" s="9">
        <v>38215</v>
      </c>
      <c r="B1030">
        <v>2.2799999999999998</v>
      </c>
      <c r="C1030">
        <v>2.87</v>
      </c>
      <c r="D1030">
        <v>3.3</v>
      </c>
      <c r="E1030">
        <v>3.64</v>
      </c>
      <c r="F1030">
        <v>3.91</v>
      </c>
      <c r="G1030">
        <v>4.32</v>
      </c>
      <c r="H1030">
        <v>4.7300000000000004</v>
      </c>
      <c r="I1030">
        <v>5.4</v>
      </c>
      <c r="K1030">
        <f t="shared" si="131"/>
        <v>2.9999999999999805</v>
      </c>
      <c r="L1030">
        <f t="shared" si="132"/>
        <v>3.0000000000000249</v>
      </c>
      <c r="M1030">
        <f t="shared" si="133"/>
        <v>2.9999999999999805</v>
      </c>
      <c r="N1030">
        <f t="shared" si="134"/>
        <v>3.0000000000000249</v>
      </c>
      <c r="O1030">
        <f t="shared" si="135"/>
        <v>3.0000000000000249</v>
      </c>
      <c r="P1030">
        <f t="shared" si="136"/>
        <v>3.0000000000000249</v>
      </c>
      <c r="Q1030">
        <f t="shared" si="137"/>
        <v>4.0000000000000036</v>
      </c>
      <c r="R1030">
        <f t="shared" si="138"/>
        <v>2.0000000000000462</v>
      </c>
    </row>
    <row r="1031" spans="1:18">
      <c r="A1031" s="9">
        <v>38216</v>
      </c>
      <c r="B1031">
        <v>2.2599999999999998</v>
      </c>
      <c r="C1031">
        <v>2.83</v>
      </c>
      <c r="D1031">
        <v>3.26</v>
      </c>
      <c r="E1031">
        <v>3.6</v>
      </c>
      <c r="F1031">
        <v>3.87</v>
      </c>
      <c r="G1031">
        <v>4.29</v>
      </c>
      <c r="H1031">
        <v>4.71</v>
      </c>
      <c r="I1031">
        <v>5.39</v>
      </c>
      <c r="K1031">
        <f t="shared" si="131"/>
        <v>-2.0000000000000018</v>
      </c>
      <c r="L1031">
        <f t="shared" si="132"/>
        <v>-4.0000000000000036</v>
      </c>
      <c r="M1031">
        <f t="shared" si="133"/>
        <v>-4.0000000000000036</v>
      </c>
      <c r="N1031">
        <f t="shared" si="134"/>
        <v>-4.0000000000000036</v>
      </c>
      <c r="O1031">
        <f t="shared" si="135"/>
        <v>-4.0000000000000036</v>
      </c>
      <c r="P1031">
        <f t="shared" si="136"/>
        <v>-3.0000000000000249</v>
      </c>
      <c r="Q1031">
        <f t="shared" si="137"/>
        <v>-2.0000000000000462</v>
      </c>
      <c r="R1031">
        <f t="shared" si="138"/>
        <v>-1.0000000000000675</v>
      </c>
    </row>
    <row r="1032" spans="1:18">
      <c r="A1032" s="9">
        <v>38217</v>
      </c>
      <c r="B1032">
        <v>2.25</v>
      </c>
      <c r="C1032">
        <v>2.8</v>
      </c>
      <c r="D1032">
        <v>3.23</v>
      </c>
      <c r="E1032">
        <v>3.56</v>
      </c>
      <c r="F1032">
        <v>3.84</v>
      </c>
      <c r="G1032">
        <v>4.26</v>
      </c>
      <c r="H1032">
        <v>4.67</v>
      </c>
      <c r="I1032">
        <v>5.38</v>
      </c>
      <c r="K1032">
        <f t="shared" si="131"/>
        <v>-0.99999999999997868</v>
      </c>
      <c r="L1032">
        <f t="shared" si="132"/>
        <v>-3.0000000000000249</v>
      </c>
      <c r="M1032">
        <f t="shared" si="133"/>
        <v>-2.9999999999999805</v>
      </c>
      <c r="N1032">
        <f t="shared" si="134"/>
        <v>-4.0000000000000036</v>
      </c>
      <c r="O1032">
        <f t="shared" si="135"/>
        <v>-3.0000000000000249</v>
      </c>
      <c r="P1032">
        <f t="shared" si="136"/>
        <v>-3.0000000000000249</v>
      </c>
      <c r="Q1032">
        <f t="shared" si="137"/>
        <v>-4.0000000000000036</v>
      </c>
      <c r="R1032">
        <f t="shared" si="138"/>
        <v>-0.99999999999997868</v>
      </c>
    </row>
    <row r="1033" spans="1:18">
      <c r="A1033" s="9">
        <v>38218</v>
      </c>
      <c r="B1033">
        <v>2.25</v>
      </c>
      <c r="C1033">
        <v>2.81</v>
      </c>
      <c r="D1033">
        <v>3.23</v>
      </c>
      <c r="E1033">
        <v>3.58</v>
      </c>
      <c r="F1033">
        <v>3.85</v>
      </c>
      <c r="G1033">
        <v>4.2699999999999996</v>
      </c>
      <c r="H1033">
        <v>4.6900000000000004</v>
      </c>
      <c r="I1033">
        <v>5.38</v>
      </c>
      <c r="K1033">
        <f t="shared" si="131"/>
        <v>0</v>
      </c>
      <c r="L1033">
        <f t="shared" si="132"/>
        <v>1.0000000000000231</v>
      </c>
      <c r="M1033">
        <f t="shared" si="133"/>
        <v>0</v>
      </c>
      <c r="N1033">
        <f t="shared" si="134"/>
        <v>2.0000000000000018</v>
      </c>
      <c r="O1033">
        <f t="shared" si="135"/>
        <v>1.0000000000000231</v>
      </c>
      <c r="P1033">
        <f t="shared" si="136"/>
        <v>0.99999999999997868</v>
      </c>
      <c r="Q1033">
        <f t="shared" si="137"/>
        <v>2.0000000000000462</v>
      </c>
      <c r="R1033">
        <f t="shared" si="138"/>
        <v>0</v>
      </c>
    </row>
    <row r="1034" spans="1:18">
      <c r="A1034" s="9">
        <v>38219</v>
      </c>
      <c r="B1034">
        <v>2.25</v>
      </c>
      <c r="C1034">
        <v>2.79</v>
      </c>
      <c r="D1034">
        <v>3.22</v>
      </c>
      <c r="E1034">
        <v>3.56</v>
      </c>
      <c r="F1034">
        <v>3.83</v>
      </c>
      <c r="G1034">
        <v>4.26</v>
      </c>
      <c r="H1034">
        <v>4.68</v>
      </c>
      <c r="I1034">
        <v>5.39</v>
      </c>
      <c r="K1034">
        <f t="shared" si="131"/>
        <v>0</v>
      </c>
      <c r="L1034">
        <f t="shared" si="132"/>
        <v>-2.0000000000000018</v>
      </c>
      <c r="M1034">
        <f t="shared" si="133"/>
        <v>-0.99999999999997868</v>
      </c>
      <c r="N1034">
        <f t="shared" si="134"/>
        <v>-2.0000000000000018</v>
      </c>
      <c r="O1034">
        <f t="shared" si="135"/>
        <v>-2.0000000000000018</v>
      </c>
      <c r="P1034">
        <f t="shared" si="136"/>
        <v>-0.99999999999997868</v>
      </c>
      <c r="Q1034">
        <f t="shared" si="137"/>
        <v>-1.0000000000000675</v>
      </c>
      <c r="R1034">
        <f t="shared" si="138"/>
        <v>0.99999999999997868</v>
      </c>
    </row>
    <row r="1035" spans="1:18">
      <c r="A1035" s="9">
        <v>38222</v>
      </c>
      <c r="B1035">
        <v>2.2999999999999998</v>
      </c>
      <c r="C1035">
        <v>2.87</v>
      </c>
      <c r="D1035">
        <v>3.3</v>
      </c>
      <c r="E1035">
        <v>3.63</v>
      </c>
      <c r="F1035">
        <v>3.91</v>
      </c>
      <c r="G1035">
        <v>4.33</v>
      </c>
      <c r="H1035">
        <v>4.74</v>
      </c>
      <c r="I1035">
        <v>5.43</v>
      </c>
      <c r="K1035">
        <f t="shared" si="131"/>
        <v>4.9999999999999822</v>
      </c>
      <c r="L1035">
        <f t="shared" si="132"/>
        <v>8.0000000000000071</v>
      </c>
      <c r="M1035">
        <f t="shared" si="133"/>
        <v>7.9999999999999627</v>
      </c>
      <c r="N1035">
        <f t="shared" si="134"/>
        <v>6.999999999999984</v>
      </c>
      <c r="O1035">
        <f t="shared" si="135"/>
        <v>8.0000000000000071</v>
      </c>
      <c r="P1035">
        <f t="shared" si="136"/>
        <v>7.0000000000000284</v>
      </c>
      <c r="Q1035">
        <f t="shared" si="137"/>
        <v>6.0000000000000497</v>
      </c>
      <c r="R1035">
        <f t="shared" si="138"/>
        <v>4.0000000000000036</v>
      </c>
    </row>
    <row r="1036" spans="1:18">
      <c r="A1036" s="9">
        <v>38223</v>
      </c>
      <c r="B1036">
        <v>2.3199999999999998</v>
      </c>
      <c r="C1036">
        <v>2.9</v>
      </c>
      <c r="D1036">
        <v>3.33</v>
      </c>
      <c r="E1036">
        <v>3.66</v>
      </c>
      <c r="F1036">
        <v>3.94</v>
      </c>
      <c r="G1036">
        <v>4.3499999999999996</v>
      </c>
      <c r="H1036">
        <v>4.76</v>
      </c>
      <c r="I1036">
        <v>5.44</v>
      </c>
      <c r="K1036">
        <f t="shared" si="131"/>
        <v>2.0000000000000018</v>
      </c>
      <c r="L1036">
        <f t="shared" si="132"/>
        <v>2.9999999999999805</v>
      </c>
      <c r="M1036">
        <f t="shared" si="133"/>
        <v>3.0000000000000249</v>
      </c>
      <c r="N1036">
        <f t="shared" si="134"/>
        <v>3.0000000000000249</v>
      </c>
      <c r="O1036">
        <f t="shared" si="135"/>
        <v>2.9999999999999805</v>
      </c>
      <c r="P1036">
        <f t="shared" si="136"/>
        <v>1.9999999999999574</v>
      </c>
      <c r="Q1036">
        <f t="shared" si="137"/>
        <v>1.9999999999999574</v>
      </c>
      <c r="R1036">
        <f t="shared" si="138"/>
        <v>1.0000000000000675</v>
      </c>
    </row>
    <row r="1037" spans="1:18">
      <c r="A1037" s="9">
        <v>38224</v>
      </c>
      <c r="B1037">
        <v>2.2799999999999998</v>
      </c>
      <c r="C1037">
        <v>2.83</v>
      </c>
      <c r="D1037">
        <v>3.25</v>
      </c>
      <c r="E1037">
        <v>3.59</v>
      </c>
      <c r="F1037">
        <v>3.87</v>
      </c>
      <c r="G1037">
        <v>4.28</v>
      </c>
      <c r="H1037">
        <v>4.7</v>
      </c>
      <c r="I1037">
        <v>5.39</v>
      </c>
      <c r="K1037">
        <f t="shared" si="131"/>
        <v>-4.0000000000000036</v>
      </c>
      <c r="L1037">
        <f t="shared" si="132"/>
        <v>-6.999999999999984</v>
      </c>
      <c r="M1037">
        <f t="shared" si="133"/>
        <v>-8.0000000000000071</v>
      </c>
      <c r="N1037">
        <f t="shared" si="134"/>
        <v>-7.0000000000000284</v>
      </c>
      <c r="O1037">
        <f t="shared" si="135"/>
        <v>-6.999999999999984</v>
      </c>
      <c r="P1037">
        <f t="shared" si="136"/>
        <v>-6.9999999999999396</v>
      </c>
      <c r="Q1037">
        <f t="shared" si="137"/>
        <v>-5.9999999999999609</v>
      </c>
      <c r="R1037">
        <f t="shared" si="138"/>
        <v>-5.0000000000000711</v>
      </c>
    </row>
    <row r="1038" spans="1:18">
      <c r="A1038" s="9">
        <v>38225</v>
      </c>
      <c r="B1038">
        <v>2.31</v>
      </c>
      <c r="C1038">
        <v>2.85</v>
      </c>
      <c r="D1038">
        <v>3.27</v>
      </c>
      <c r="E1038">
        <v>3.6</v>
      </c>
      <c r="F1038">
        <v>3.88</v>
      </c>
      <c r="G1038">
        <v>4.29</v>
      </c>
      <c r="H1038">
        <v>4.6900000000000004</v>
      </c>
      <c r="I1038">
        <v>5.38</v>
      </c>
      <c r="K1038">
        <f t="shared" si="131"/>
        <v>3.0000000000000249</v>
      </c>
      <c r="L1038">
        <f t="shared" si="132"/>
        <v>2.0000000000000018</v>
      </c>
      <c r="M1038">
        <f t="shared" si="133"/>
        <v>2.0000000000000018</v>
      </c>
      <c r="N1038">
        <f t="shared" si="134"/>
        <v>1.0000000000000231</v>
      </c>
      <c r="O1038">
        <f t="shared" si="135"/>
        <v>0.99999999999997868</v>
      </c>
      <c r="P1038">
        <f t="shared" si="136"/>
        <v>0.99999999999997868</v>
      </c>
      <c r="Q1038">
        <f t="shared" si="137"/>
        <v>-0.99999999999997868</v>
      </c>
      <c r="R1038">
        <f t="shared" si="138"/>
        <v>-0.99999999999997868</v>
      </c>
    </row>
    <row r="1039" spans="1:18">
      <c r="A1039" s="9">
        <v>38226</v>
      </c>
      <c r="B1039">
        <v>2.2999999999999998</v>
      </c>
      <c r="C1039">
        <v>2.84</v>
      </c>
      <c r="D1039">
        <v>3.25</v>
      </c>
      <c r="E1039">
        <v>3.58</v>
      </c>
      <c r="F1039">
        <v>3.86</v>
      </c>
      <c r="G1039">
        <v>4.26</v>
      </c>
      <c r="H1039">
        <v>4.67</v>
      </c>
      <c r="I1039">
        <v>5.36</v>
      </c>
      <c r="K1039">
        <f t="shared" si="131"/>
        <v>-1.0000000000000231</v>
      </c>
      <c r="L1039">
        <f t="shared" si="132"/>
        <v>-1.0000000000000231</v>
      </c>
      <c r="M1039">
        <f t="shared" si="133"/>
        <v>-2.0000000000000018</v>
      </c>
      <c r="N1039">
        <f t="shared" si="134"/>
        <v>-2.0000000000000018</v>
      </c>
      <c r="O1039">
        <f t="shared" si="135"/>
        <v>-2.0000000000000018</v>
      </c>
      <c r="P1039">
        <f t="shared" si="136"/>
        <v>-3.0000000000000249</v>
      </c>
      <c r="Q1039">
        <f t="shared" si="137"/>
        <v>-2.0000000000000462</v>
      </c>
      <c r="R1039">
        <f t="shared" si="138"/>
        <v>-1.9999999999999574</v>
      </c>
    </row>
    <row r="1040" spans="1:18">
      <c r="A1040" s="9">
        <v>38229</v>
      </c>
      <c r="B1040">
        <v>2.2999999999999998</v>
      </c>
      <c r="C1040">
        <v>2.84</v>
      </c>
      <c r="D1040">
        <v>3.26</v>
      </c>
      <c r="E1040">
        <v>3.59</v>
      </c>
      <c r="F1040">
        <v>3.86</v>
      </c>
      <c r="G1040">
        <v>4.2699999999999996</v>
      </c>
      <c r="H1040">
        <v>4.66</v>
      </c>
      <c r="I1040">
        <v>5.35</v>
      </c>
      <c r="K1040">
        <f t="shared" si="131"/>
        <v>0</v>
      </c>
      <c r="L1040">
        <f t="shared" si="132"/>
        <v>0</v>
      </c>
      <c r="M1040">
        <f t="shared" si="133"/>
        <v>0.99999999999997868</v>
      </c>
      <c r="N1040">
        <f t="shared" si="134"/>
        <v>0.99999999999997868</v>
      </c>
      <c r="O1040">
        <f t="shared" si="135"/>
        <v>0</v>
      </c>
      <c r="P1040">
        <f t="shared" si="136"/>
        <v>0.99999999999997868</v>
      </c>
      <c r="Q1040">
        <f t="shared" si="137"/>
        <v>-0.99999999999997868</v>
      </c>
      <c r="R1040">
        <f t="shared" si="138"/>
        <v>-1.0000000000000675</v>
      </c>
    </row>
    <row r="1041" spans="1:18">
      <c r="A1041" s="9">
        <v>38230</v>
      </c>
      <c r="B1041">
        <v>2.2599999999999998</v>
      </c>
      <c r="C1041">
        <v>2.76</v>
      </c>
      <c r="D1041">
        <v>3.17</v>
      </c>
      <c r="E1041">
        <v>3.5</v>
      </c>
      <c r="F1041">
        <v>3.77</v>
      </c>
      <c r="G1041">
        <v>4.18</v>
      </c>
      <c r="H1041">
        <v>4.58</v>
      </c>
      <c r="I1041">
        <v>5.3</v>
      </c>
      <c r="K1041">
        <f t="shared" si="131"/>
        <v>-4.0000000000000036</v>
      </c>
      <c r="L1041">
        <f t="shared" si="132"/>
        <v>-8.0000000000000071</v>
      </c>
      <c r="M1041">
        <f t="shared" si="133"/>
        <v>-8.9999999999999858</v>
      </c>
      <c r="N1041">
        <f t="shared" si="134"/>
        <v>-8.9999999999999858</v>
      </c>
      <c r="O1041">
        <f t="shared" si="135"/>
        <v>-8.9999999999999858</v>
      </c>
      <c r="P1041">
        <f t="shared" si="136"/>
        <v>-8.9999999999999858</v>
      </c>
      <c r="Q1041">
        <f t="shared" si="137"/>
        <v>-8.0000000000000071</v>
      </c>
      <c r="R1041">
        <f t="shared" si="138"/>
        <v>-4.9999999999999822</v>
      </c>
    </row>
    <row r="1042" spans="1:18">
      <c r="A1042" s="9">
        <v>38231</v>
      </c>
      <c r="B1042">
        <v>2.2799999999999998</v>
      </c>
      <c r="C1042">
        <v>2.79</v>
      </c>
      <c r="D1042">
        <v>3.19</v>
      </c>
      <c r="E1042">
        <v>3.52</v>
      </c>
      <c r="F1042">
        <v>3.79</v>
      </c>
      <c r="G1042">
        <v>4.2</v>
      </c>
      <c r="H1042">
        <v>4.5999999999999996</v>
      </c>
      <c r="I1042">
        <v>5.3</v>
      </c>
      <c r="K1042">
        <f t="shared" si="131"/>
        <v>2.0000000000000018</v>
      </c>
      <c r="L1042">
        <f t="shared" si="132"/>
        <v>3.0000000000000249</v>
      </c>
      <c r="M1042">
        <f t="shared" si="133"/>
        <v>2.0000000000000018</v>
      </c>
      <c r="N1042">
        <f t="shared" si="134"/>
        <v>2.0000000000000018</v>
      </c>
      <c r="O1042">
        <f t="shared" si="135"/>
        <v>2.0000000000000018</v>
      </c>
      <c r="P1042">
        <f t="shared" si="136"/>
        <v>2.0000000000000462</v>
      </c>
      <c r="Q1042">
        <f t="shared" si="137"/>
        <v>1.9999999999999574</v>
      </c>
      <c r="R1042">
        <f t="shared" si="138"/>
        <v>0</v>
      </c>
    </row>
    <row r="1043" spans="1:18">
      <c r="A1043" s="9">
        <v>38232</v>
      </c>
      <c r="B1043">
        <v>2.29</v>
      </c>
      <c r="C1043">
        <v>2.8</v>
      </c>
      <c r="D1043">
        <v>3.2</v>
      </c>
      <c r="E1043">
        <v>3.53</v>
      </c>
      <c r="F1043">
        <v>3.8</v>
      </c>
      <c r="G1043">
        <v>4.21</v>
      </c>
      <c r="H1043">
        <v>4.62</v>
      </c>
      <c r="I1043">
        <v>5.32</v>
      </c>
      <c r="K1043">
        <f t="shared" si="131"/>
        <v>1.0000000000000231</v>
      </c>
      <c r="L1043">
        <f t="shared" si="132"/>
        <v>0.99999999999997868</v>
      </c>
      <c r="M1043">
        <f t="shared" si="133"/>
        <v>1.0000000000000231</v>
      </c>
      <c r="N1043">
        <f t="shared" si="134"/>
        <v>0.99999999999997868</v>
      </c>
      <c r="O1043">
        <f t="shared" si="135"/>
        <v>0.99999999999997868</v>
      </c>
      <c r="P1043">
        <f t="shared" si="136"/>
        <v>0.99999999999997868</v>
      </c>
      <c r="Q1043">
        <f t="shared" si="137"/>
        <v>2.0000000000000462</v>
      </c>
      <c r="R1043">
        <f t="shared" si="138"/>
        <v>2.0000000000000462</v>
      </c>
    </row>
    <row r="1044" spans="1:18">
      <c r="A1044" s="9">
        <v>38233</v>
      </c>
      <c r="B1044">
        <v>2.41</v>
      </c>
      <c r="C1044">
        <v>2.96</v>
      </c>
      <c r="D1044">
        <v>3.37</v>
      </c>
      <c r="E1044">
        <v>3.7</v>
      </c>
      <c r="F1044">
        <v>3.97</v>
      </c>
      <c r="G1044">
        <v>4.37</v>
      </c>
      <c r="H1044">
        <v>4.76</v>
      </c>
      <c r="I1044">
        <v>5.43</v>
      </c>
      <c r="K1044">
        <f t="shared" si="131"/>
        <v>12.000000000000011</v>
      </c>
      <c r="L1044">
        <f t="shared" si="132"/>
        <v>16.000000000000014</v>
      </c>
      <c r="M1044">
        <f t="shared" si="133"/>
        <v>16.999999999999993</v>
      </c>
      <c r="N1044">
        <f t="shared" si="134"/>
        <v>17.000000000000036</v>
      </c>
      <c r="O1044">
        <f t="shared" si="135"/>
        <v>17.000000000000036</v>
      </c>
      <c r="P1044">
        <f t="shared" si="136"/>
        <v>16.000000000000014</v>
      </c>
      <c r="Q1044">
        <f t="shared" si="137"/>
        <v>13.999999999999968</v>
      </c>
      <c r="R1044">
        <f t="shared" si="138"/>
        <v>10.999999999999943</v>
      </c>
    </row>
    <row r="1045" spans="1:18">
      <c r="A1045" s="9">
        <v>38237</v>
      </c>
      <c r="B1045">
        <v>2.4300000000000002</v>
      </c>
      <c r="C1045">
        <v>2.96</v>
      </c>
      <c r="D1045">
        <v>3.36</v>
      </c>
      <c r="E1045">
        <v>3.68</v>
      </c>
      <c r="F1045">
        <v>3.95</v>
      </c>
      <c r="G1045">
        <v>4.34</v>
      </c>
      <c r="H1045">
        <v>4.7300000000000004</v>
      </c>
      <c r="I1045">
        <v>5.4</v>
      </c>
      <c r="K1045">
        <f t="shared" si="131"/>
        <v>2.0000000000000018</v>
      </c>
      <c r="L1045">
        <f t="shared" si="132"/>
        <v>0</v>
      </c>
      <c r="M1045">
        <f t="shared" si="133"/>
        <v>-1.0000000000000231</v>
      </c>
      <c r="N1045">
        <f t="shared" si="134"/>
        <v>-2.0000000000000018</v>
      </c>
      <c r="O1045">
        <f t="shared" si="135"/>
        <v>-2.0000000000000018</v>
      </c>
      <c r="P1045">
        <f t="shared" si="136"/>
        <v>-3.0000000000000249</v>
      </c>
      <c r="Q1045">
        <f t="shared" si="137"/>
        <v>-2.9999999999999361</v>
      </c>
      <c r="R1045">
        <f t="shared" si="138"/>
        <v>-2.9999999999999361</v>
      </c>
    </row>
    <row r="1046" spans="1:18">
      <c r="A1046" s="9">
        <v>38238</v>
      </c>
      <c r="B1046">
        <v>2.4300000000000002</v>
      </c>
      <c r="C1046">
        <v>2.95</v>
      </c>
      <c r="D1046">
        <v>3.34</v>
      </c>
      <c r="E1046">
        <v>3.66</v>
      </c>
      <c r="F1046">
        <v>3.92</v>
      </c>
      <c r="G1046">
        <v>4.32</v>
      </c>
      <c r="H1046">
        <v>4.71</v>
      </c>
      <c r="I1046">
        <v>5.39</v>
      </c>
      <c r="K1046">
        <f t="shared" si="131"/>
        <v>0</v>
      </c>
      <c r="L1046">
        <f t="shared" si="132"/>
        <v>-0.99999999999997868</v>
      </c>
      <c r="M1046">
        <f t="shared" si="133"/>
        <v>-2.0000000000000018</v>
      </c>
      <c r="N1046">
        <f t="shared" si="134"/>
        <v>-2.0000000000000018</v>
      </c>
      <c r="O1046">
        <f t="shared" si="135"/>
        <v>-3.0000000000000249</v>
      </c>
      <c r="P1046">
        <f t="shared" si="136"/>
        <v>-1.9999999999999574</v>
      </c>
      <c r="Q1046">
        <f t="shared" si="137"/>
        <v>-2.0000000000000462</v>
      </c>
      <c r="R1046">
        <f t="shared" si="138"/>
        <v>-1.0000000000000675</v>
      </c>
    </row>
    <row r="1047" spans="1:18">
      <c r="A1047" s="9">
        <v>38239</v>
      </c>
      <c r="B1047">
        <v>2.38</v>
      </c>
      <c r="C1047">
        <v>2.86</v>
      </c>
      <c r="D1047">
        <v>3.26</v>
      </c>
      <c r="E1047">
        <v>3.57</v>
      </c>
      <c r="F1047">
        <v>3.82</v>
      </c>
      <c r="G1047">
        <v>4.22</v>
      </c>
      <c r="H1047">
        <v>4.62</v>
      </c>
      <c r="I1047">
        <v>5.31</v>
      </c>
      <c r="K1047">
        <f t="shared" si="131"/>
        <v>-5.0000000000000266</v>
      </c>
      <c r="L1047">
        <f t="shared" si="132"/>
        <v>-9.0000000000000302</v>
      </c>
      <c r="M1047">
        <f t="shared" si="133"/>
        <v>-8.0000000000000071</v>
      </c>
      <c r="N1047">
        <f t="shared" si="134"/>
        <v>-9.0000000000000302</v>
      </c>
      <c r="O1047">
        <f t="shared" si="135"/>
        <v>-10.000000000000009</v>
      </c>
      <c r="P1047">
        <f t="shared" si="136"/>
        <v>-10.000000000000053</v>
      </c>
      <c r="Q1047">
        <f t="shared" si="137"/>
        <v>-8.9999999999999858</v>
      </c>
      <c r="R1047">
        <f t="shared" si="138"/>
        <v>-8.0000000000000071</v>
      </c>
    </row>
    <row r="1048" spans="1:18">
      <c r="A1048" s="9">
        <v>38240</v>
      </c>
      <c r="B1048">
        <v>2.33</v>
      </c>
      <c r="C1048">
        <v>2.82</v>
      </c>
      <c r="D1048">
        <v>3.23</v>
      </c>
      <c r="E1048">
        <v>3.55</v>
      </c>
      <c r="F1048">
        <v>3.8</v>
      </c>
      <c r="G1048">
        <v>4.21</v>
      </c>
      <c r="H1048">
        <v>4.62</v>
      </c>
      <c r="I1048">
        <v>5.32</v>
      </c>
      <c r="K1048">
        <f t="shared" si="131"/>
        <v>-4.9999999999999822</v>
      </c>
      <c r="L1048">
        <f t="shared" si="132"/>
        <v>-4.0000000000000036</v>
      </c>
      <c r="M1048">
        <f t="shared" si="133"/>
        <v>-2.9999999999999805</v>
      </c>
      <c r="N1048">
        <f t="shared" si="134"/>
        <v>-2.0000000000000018</v>
      </c>
      <c r="O1048">
        <f t="shared" si="135"/>
        <v>-2.0000000000000018</v>
      </c>
      <c r="P1048">
        <f t="shared" si="136"/>
        <v>-0.99999999999997868</v>
      </c>
      <c r="Q1048">
        <f t="shared" si="137"/>
        <v>0</v>
      </c>
      <c r="R1048">
        <f t="shared" si="138"/>
        <v>1.0000000000000675</v>
      </c>
    </row>
    <row r="1049" spans="1:18">
      <c r="A1049" s="9">
        <v>38243</v>
      </c>
      <c r="B1049">
        <v>2.34</v>
      </c>
      <c r="C1049">
        <v>2.85</v>
      </c>
      <c r="D1049">
        <v>3.25</v>
      </c>
      <c r="E1049">
        <v>3.56</v>
      </c>
      <c r="F1049">
        <v>3.81</v>
      </c>
      <c r="G1049">
        <v>4.21</v>
      </c>
      <c r="H1049">
        <v>4.5999999999999996</v>
      </c>
      <c r="I1049">
        <v>5.3</v>
      </c>
      <c r="K1049">
        <f t="shared" si="131"/>
        <v>0.99999999999997868</v>
      </c>
      <c r="L1049">
        <f t="shared" si="132"/>
        <v>3.0000000000000249</v>
      </c>
      <c r="M1049">
        <f t="shared" si="133"/>
        <v>2.0000000000000018</v>
      </c>
      <c r="N1049">
        <f t="shared" si="134"/>
        <v>1.0000000000000231</v>
      </c>
      <c r="O1049">
        <f t="shared" si="135"/>
        <v>1.0000000000000231</v>
      </c>
      <c r="P1049">
        <f t="shared" si="136"/>
        <v>0</v>
      </c>
      <c r="Q1049">
        <f t="shared" si="137"/>
        <v>-2.0000000000000462</v>
      </c>
      <c r="R1049">
        <f t="shared" si="138"/>
        <v>-2.0000000000000462</v>
      </c>
    </row>
    <row r="1050" spans="1:18">
      <c r="A1050" s="9">
        <v>38244</v>
      </c>
      <c r="B1050">
        <v>2.33</v>
      </c>
      <c r="C1050">
        <v>2.84</v>
      </c>
      <c r="D1050">
        <v>3.24</v>
      </c>
      <c r="E1050">
        <v>3.55</v>
      </c>
      <c r="F1050">
        <v>3.8</v>
      </c>
      <c r="G1050">
        <v>4.1900000000000004</v>
      </c>
      <c r="H1050">
        <v>4.59</v>
      </c>
      <c r="I1050">
        <v>5.29</v>
      </c>
      <c r="K1050">
        <f t="shared" si="131"/>
        <v>-0.99999999999997868</v>
      </c>
      <c r="L1050">
        <f t="shared" si="132"/>
        <v>-1.0000000000000231</v>
      </c>
      <c r="M1050">
        <f t="shared" si="133"/>
        <v>-0.99999999999997868</v>
      </c>
      <c r="N1050">
        <f t="shared" si="134"/>
        <v>-1.0000000000000231</v>
      </c>
      <c r="O1050">
        <f t="shared" si="135"/>
        <v>-1.0000000000000231</v>
      </c>
      <c r="P1050">
        <f t="shared" si="136"/>
        <v>-1.9999999999999574</v>
      </c>
      <c r="Q1050">
        <f t="shared" si="137"/>
        <v>-0.99999999999997868</v>
      </c>
      <c r="R1050">
        <f t="shared" si="138"/>
        <v>-0.99999999999997868</v>
      </c>
    </row>
    <row r="1051" spans="1:18">
      <c r="A1051" s="9">
        <v>38245</v>
      </c>
      <c r="B1051">
        <v>2.34</v>
      </c>
      <c r="C1051">
        <v>2.85</v>
      </c>
      <c r="D1051">
        <v>3.25</v>
      </c>
      <c r="E1051">
        <v>3.55</v>
      </c>
      <c r="F1051">
        <v>3.8</v>
      </c>
      <c r="G1051">
        <v>4.2</v>
      </c>
      <c r="H1051">
        <v>4.5999999999999996</v>
      </c>
      <c r="I1051">
        <v>5.31</v>
      </c>
      <c r="K1051">
        <f t="shared" si="131"/>
        <v>0.99999999999997868</v>
      </c>
      <c r="L1051">
        <f t="shared" si="132"/>
        <v>1.0000000000000231</v>
      </c>
      <c r="M1051">
        <f t="shared" si="133"/>
        <v>0.99999999999997868</v>
      </c>
      <c r="N1051">
        <f t="shared" si="134"/>
        <v>0</v>
      </c>
      <c r="O1051">
        <f t="shared" si="135"/>
        <v>0</v>
      </c>
      <c r="P1051">
        <f t="shared" si="136"/>
        <v>0.99999999999997868</v>
      </c>
      <c r="Q1051">
        <f t="shared" si="137"/>
        <v>0.99999999999997868</v>
      </c>
      <c r="R1051">
        <f t="shared" si="138"/>
        <v>1.9999999999999574</v>
      </c>
    </row>
    <row r="1052" spans="1:18">
      <c r="A1052" s="9">
        <v>38246</v>
      </c>
      <c r="B1052">
        <v>2.34</v>
      </c>
      <c r="C1052">
        <v>2.85</v>
      </c>
      <c r="D1052">
        <v>3.24</v>
      </c>
      <c r="E1052">
        <v>3.55</v>
      </c>
      <c r="F1052">
        <v>3.79</v>
      </c>
      <c r="G1052">
        <v>4.18</v>
      </c>
      <c r="H1052">
        <v>4.57</v>
      </c>
      <c r="I1052">
        <v>5.28</v>
      </c>
      <c r="K1052">
        <f t="shared" si="131"/>
        <v>0</v>
      </c>
      <c r="L1052">
        <f t="shared" si="132"/>
        <v>0</v>
      </c>
      <c r="M1052">
        <f t="shared" si="133"/>
        <v>-0.99999999999997868</v>
      </c>
      <c r="N1052">
        <f t="shared" si="134"/>
        <v>0</v>
      </c>
      <c r="O1052">
        <f t="shared" si="135"/>
        <v>-0.99999999999997868</v>
      </c>
      <c r="P1052">
        <f t="shared" si="136"/>
        <v>-2.0000000000000462</v>
      </c>
      <c r="Q1052">
        <f t="shared" si="137"/>
        <v>-2.9999999999999361</v>
      </c>
      <c r="R1052">
        <f t="shared" si="138"/>
        <v>-2.9999999999999361</v>
      </c>
    </row>
    <row r="1053" spans="1:18">
      <c r="A1053" s="9">
        <v>38247</v>
      </c>
      <c r="B1053">
        <v>2.34</v>
      </c>
      <c r="C1053">
        <v>2.84</v>
      </c>
      <c r="D1053">
        <v>3.22</v>
      </c>
      <c r="E1053">
        <v>3.51</v>
      </c>
      <c r="F1053">
        <v>3.75</v>
      </c>
      <c r="G1053">
        <v>4.1500000000000004</v>
      </c>
      <c r="H1053">
        <v>4.55</v>
      </c>
      <c r="I1053">
        <v>5.25</v>
      </c>
      <c r="K1053">
        <f t="shared" si="131"/>
        <v>0</v>
      </c>
      <c r="L1053">
        <f t="shared" si="132"/>
        <v>-1.0000000000000231</v>
      </c>
      <c r="M1053">
        <f t="shared" si="133"/>
        <v>-2.0000000000000018</v>
      </c>
      <c r="N1053">
        <f t="shared" si="134"/>
        <v>-4.0000000000000036</v>
      </c>
      <c r="O1053">
        <f t="shared" si="135"/>
        <v>-4.0000000000000036</v>
      </c>
      <c r="P1053">
        <f t="shared" si="136"/>
        <v>-2.9999999999999361</v>
      </c>
      <c r="Q1053">
        <f t="shared" si="137"/>
        <v>-2.0000000000000462</v>
      </c>
      <c r="R1053">
        <f t="shared" si="138"/>
        <v>-3.0000000000000249</v>
      </c>
    </row>
    <row r="1054" spans="1:18">
      <c r="A1054" s="9">
        <v>38250</v>
      </c>
      <c r="B1054">
        <v>2.33</v>
      </c>
      <c r="C1054">
        <v>2.81</v>
      </c>
      <c r="D1054">
        <v>3.19</v>
      </c>
      <c r="E1054">
        <v>3.47</v>
      </c>
      <c r="F1054">
        <v>3.72</v>
      </c>
      <c r="G1054">
        <v>4.1100000000000003</v>
      </c>
      <c r="H1054">
        <v>4.51</v>
      </c>
      <c r="I1054">
        <v>5.23</v>
      </c>
      <c r="K1054">
        <f t="shared" si="131"/>
        <v>-0.99999999999997868</v>
      </c>
      <c r="L1054">
        <f t="shared" si="132"/>
        <v>-2.9999999999999805</v>
      </c>
      <c r="M1054">
        <f t="shared" si="133"/>
        <v>-3.0000000000000249</v>
      </c>
      <c r="N1054">
        <f t="shared" si="134"/>
        <v>-3.9999999999999591</v>
      </c>
      <c r="O1054">
        <f t="shared" si="135"/>
        <v>-2.9999999999999805</v>
      </c>
      <c r="P1054">
        <f t="shared" si="136"/>
        <v>-4.0000000000000036</v>
      </c>
      <c r="Q1054">
        <f t="shared" si="137"/>
        <v>-4.0000000000000036</v>
      </c>
      <c r="R1054">
        <f t="shared" si="138"/>
        <v>-1.9999999999999574</v>
      </c>
    </row>
    <row r="1055" spans="1:18">
      <c r="A1055" s="9">
        <v>38251</v>
      </c>
      <c r="B1055">
        <v>2.35</v>
      </c>
      <c r="C1055">
        <v>2.83</v>
      </c>
      <c r="D1055">
        <v>3.2</v>
      </c>
      <c r="E1055">
        <v>3.48</v>
      </c>
      <c r="F1055">
        <v>3.72</v>
      </c>
      <c r="G1055">
        <v>4.0999999999999996</v>
      </c>
      <c r="H1055">
        <v>4.49</v>
      </c>
      <c r="I1055">
        <v>5.21</v>
      </c>
      <c r="K1055">
        <f t="shared" si="131"/>
        <v>2.0000000000000018</v>
      </c>
      <c r="L1055">
        <f t="shared" si="132"/>
        <v>2.0000000000000018</v>
      </c>
      <c r="M1055">
        <f t="shared" si="133"/>
        <v>1.0000000000000231</v>
      </c>
      <c r="N1055">
        <f t="shared" si="134"/>
        <v>0.99999999999997868</v>
      </c>
      <c r="O1055">
        <f t="shared" si="135"/>
        <v>0</v>
      </c>
      <c r="P1055">
        <f t="shared" si="136"/>
        <v>-1.0000000000000675</v>
      </c>
      <c r="Q1055">
        <f t="shared" si="137"/>
        <v>-1.9999999999999574</v>
      </c>
      <c r="R1055">
        <f t="shared" si="138"/>
        <v>-2.0000000000000462</v>
      </c>
    </row>
    <row r="1056" spans="1:18">
      <c r="A1056" s="9">
        <v>38252</v>
      </c>
      <c r="B1056">
        <v>2.38</v>
      </c>
      <c r="C1056">
        <v>2.84</v>
      </c>
      <c r="D1056">
        <v>3.19</v>
      </c>
      <c r="E1056">
        <v>3.47</v>
      </c>
      <c r="F1056">
        <v>3.69</v>
      </c>
      <c r="G1056">
        <v>4.0599999999999996</v>
      </c>
      <c r="H1056">
        <v>4.4400000000000004</v>
      </c>
      <c r="I1056">
        <v>5.15</v>
      </c>
      <c r="K1056">
        <f t="shared" si="131"/>
        <v>2.9999999999999805</v>
      </c>
      <c r="L1056">
        <f t="shared" si="132"/>
        <v>0.99999999999997868</v>
      </c>
      <c r="M1056">
        <f t="shared" si="133"/>
        <v>-1.0000000000000231</v>
      </c>
      <c r="N1056">
        <f t="shared" si="134"/>
        <v>-0.99999999999997868</v>
      </c>
      <c r="O1056">
        <f t="shared" si="135"/>
        <v>-3.0000000000000249</v>
      </c>
      <c r="P1056">
        <f t="shared" si="136"/>
        <v>-4.0000000000000036</v>
      </c>
      <c r="Q1056">
        <f t="shared" si="137"/>
        <v>-4.9999999999999822</v>
      </c>
      <c r="R1056">
        <f t="shared" si="138"/>
        <v>-5.9999999999999609</v>
      </c>
    </row>
    <row r="1057" spans="1:18">
      <c r="A1057" s="9">
        <v>38253</v>
      </c>
      <c r="B1057">
        <v>2.36</v>
      </c>
      <c r="C1057">
        <v>2.8</v>
      </c>
      <c r="D1057">
        <v>3.15</v>
      </c>
      <c r="E1057">
        <v>3.42</v>
      </c>
      <c r="F1057">
        <v>3.64</v>
      </c>
      <c r="G1057">
        <v>4.0199999999999996</v>
      </c>
      <c r="H1057">
        <v>4.4000000000000004</v>
      </c>
      <c r="I1057">
        <v>5.0999999999999996</v>
      </c>
      <c r="K1057">
        <f t="shared" si="131"/>
        <v>-2.0000000000000018</v>
      </c>
      <c r="L1057">
        <f t="shared" si="132"/>
        <v>-4.0000000000000036</v>
      </c>
      <c r="M1057">
        <f t="shared" si="133"/>
        <v>-4.0000000000000036</v>
      </c>
      <c r="N1057">
        <f t="shared" si="134"/>
        <v>-5.0000000000000266</v>
      </c>
      <c r="O1057">
        <f t="shared" si="135"/>
        <v>-4.9999999999999822</v>
      </c>
      <c r="P1057">
        <f t="shared" si="136"/>
        <v>-4.0000000000000036</v>
      </c>
      <c r="Q1057">
        <f t="shared" si="137"/>
        <v>-4.0000000000000036</v>
      </c>
      <c r="R1057">
        <f t="shared" si="138"/>
        <v>-5.0000000000000711</v>
      </c>
    </row>
    <row r="1058" spans="1:18">
      <c r="A1058" s="9">
        <v>38254</v>
      </c>
      <c r="B1058">
        <v>2.4700000000000002</v>
      </c>
      <c r="C1058">
        <v>2.95</v>
      </c>
      <c r="D1058">
        <v>3.29</v>
      </c>
      <c r="E1058">
        <v>3.55</v>
      </c>
      <c r="F1058">
        <v>3.77</v>
      </c>
      <c r="G1058">
        <v>4.12</v>
      </c>
      <c r="H1058">
        <v>4.4800000000000004</v>
      </c>
      <c r="I1058">
        <v>5.16</v>
      </c>
      <c r="K1058">
        <f t="shared" si="131"/>
        <v>11.000000000000032</v>
      </c>
      <c r="L1058">
        <f t="shared" si="132"/>
        <v>15.000000000000036</v>
      </c>
      <c r="M1058">
        <f t="shared" si="133"/>
        <v>14.000000000000012</v>
      </c>
      <c r="N1058">
        <f t="shared" si="134"/>
        <v>12.999999999999989</v>
      </c>
      <c r="O1058">
        <f t="shared" si="135"/>
        <v>12.999999999999989</v>
      </c>
      <c r="P1058">
        <f t="shared" si="136"/>
        <v>10.000000000000053</v>
      </c>
      <c r="Q1058">
        <f t="shared" si="137"/>
        <v>8.0000000000000071</v>
      </c>
      <c r="R1058">
        <f t="shared" si="138"/>
        <v>6.0000000000000497</v>
      </c>
    </row>
    <row r="1059" spans="1:18">
      <c r="A1059" s="9">
        <v>38257</v>
      </c>
      <c r="B1059">
        <v>2.44</v>
      </c>
      <c r="C1059">
        <v>2.89</v>
      </c>
      <c r="D1059">
        <v>3.23</v>
      </c>
      <c r="E1059">
        <v>3.49</v>
      </c>
      <c r="F1059">
        <v>3.7</v>
      </c>
      <c r="G1059">
        <v>4.05</v>
      </c>
      <c r="H1059">
        <v>4.41</v>
      </c>
      <c r="I1059">
        <v>5.1100000000000003</v>
      </c>
      <c r="K1059">
        <f t="shared" si="131"/>
        <v>-3.0000000000000249</v>
      </c>
      <c r="L1059">
        <f t="shared" si="132"/>
        <v>-6.0000000000000053</v>
      </c>
      <c r="M1059">
        <f t="shared" si="133"/>
        <v>-6.0000000000000053</v>
      </c>
      <c r="N1059">
        <f t="shared" si="134"/>
        <v>-5.9999999999999609</v>
      </c>
      <c r="O1059">
        <f t="shared" si="135"/>
        <v>-6.999999999999984</v>
      </c>
      <c r="P1059">
        <f t="shared" si="136"/>
        <v>-7.0000000000000284</v>
      </c>
      <c r="Q1059">
        <f t="shared" si="137"/>
        <v>-7.0000000000000284</v>
      </c>
      <c r="R1059">
        <f t="shared" si="138"/>
        <v>-4.9999999999999822</v>
      </c>
    </row>
    <row r="1060" spans="1:18">
      <c r="A1060" s="9">
        <v>38258</v>
      </c>
      <c r="B1060">
        <v>2.44</v>
      </c>
      <c r="C1060">
        <v>2.87</v>
      </c>
      <c r="D1060">
        <v>3.2</v>
      </c>
      <c r="E1060">
        <v>3.46</v>
      </c>
      <c r="F1060">
        <v>3.67</v>
      </c>
      <c r="G1060">
        <v>4.03</v>
      </c>
      <c r="H1060">
        <v>4.4000000000000004</v>
      </c>
      <c r="I1060">
        <v>5.0999999999999996</v>
      </c>
      <c r="K1060">
        <f t="shared" si="131"/>
        <v>0</v>
      </c>
      <c r="L1060">
        <f t="shared" si="132"/>
        <v>-2.0000000000000018</v>
      </c>
      <c r="M1060">
        <f t="shared" si="133"/>
        <v>-2.9999999999999805</v>
      </c>
      <c r="N1060">
        <f t="shared" si="134"/>
        <v>-3.0000000000000249</v>
      </c>
      <c r="O1060">
        <f t="shared" si="135"/>
        <v>-3.0000000000000249</v>
      </c>
      <c r="P1060">
        <f t="shared" si="136"/>
        <v>-1.9999999999999574</v>
      </c>
      <c r="Q1060">
        <f t="shared" si="137"/>
        <v>-0.99999999999997868</v>
      </c>
      <c r="R1060">
        <f t="shared" si="138"/>
        <v>-1.0000000000000675</v>
      </c>
    </row>
    <row r="1061" spans="1:18">
      <c r="A1061" s="9">
        <v>38259</v>
      </c>
      <c r="B1061">
        <v>2.48</v>
      </c>
      <c r="C1061">
        <v>2.95</v>
      </c>
      <c r="D1061">
        <v>3.29</v>
      </c>
      <c r="E1061">
        <v>3.55</v>
      </c>
      <c r="F1061">
        <v>3.77</v>
      </c>
      <c r="G1061">
        <v>4.13</v>
      </c>
      <c r="H1061">
        <v>4.51</v>
      </c>
      <c r="I1061">
        <v>5.2</v>
      </c>
      <c r="K1061">
        <f t="shared" si="131"/>
        <v>4.0000000000000036</v>
      </c>
      <c r="L1061">
        <f t="shared" si="132"/>
        <v>8.0000000000000071</v>
      </c>
      <c r="M1061">
        <f t="shared" si="133"/>
        <v>8.9999999999999858</v>
      </c>
      <c r="N1061">
        <f t="shared" si="134"/>
        <v>8.9999999999999858</v>
      </c>
      <c r="O1061">
        <f t="shared" si="135"/>
        <v>10.000000000000009</v>
      </c>
      <c r="P1061">
        <f t="shared" si="136"/>
        <v>9.9999999999999645</v>
      </c>
      <c r="Q1061">
        <f t="shared" si="137"/>
        <v>10.999999999999943</v>
      </c>
      <c r="R1061">
        <f t="shared" si="138"/>
        <v>10.000000000000053</v>
      </c>
    </row>
    <row r="1062" spans="1:18">
      <c r="A1062" s="9">
        <v>38260</v>
      </c>
      <c r="B1062">
        <v>2.5099999999999998</v>
      </c>
      <c r="C1062">
        <v>2.99</v>
      </c>
      <c r="D1062">
        <v>3.34</v>
      </c>
      <c r="E1062">
        <v>3.62</v>
      </c>
      <c r="F1062">
        <v>3.85</v>
      </c>
      <c r="G1062">
        <v>4.2</v>
      </c>
      <c r="H1062">
        <v>4.58</v>
      </c>
      <c r="I1062">
        <v>5.25</v>
      </c>
      <c r="K1062">
        <f t="shared" si="131"/>
        <v>2.9999999999999805</v>
      </c>
      <c r="L1062">
        <f t="shared" si="132"/>
        <v>4.0000000000000036</v>
      </c>
      <c r="M1062">
        <f t="shared" si="133"/>
        <v>4.9999999999999822</v>
      </c>
      <c r="N1062">
        <f t="shared" si="134"/>
        <v>7.0000000000000284</v>
      </c>
      <c r="O1062">
        <f t="shared" si="135"/>
        <v>8.0000000000000071</v>
      </c>
      <c r="P1062">
        <f t="shared" si="136"/>
        <v>7.0000000000000284</v>
      </c>
      <c r="Q1062">
        <f t="shared" si="137"/>
        <v>7.0000000000000284</v>
      </c>
      <c r="R1062">
        <f t="shared" si="138"/>
        <v>4.9999999999999822</v>
      </c>
    </row>
    <row r="1063" spans="1:18">
      <c r="A1063" s="9">
        <v>38261</v>
      </c>
      <c r="B1063">
        <v>2.5</v>
      </c>
      <c r="C1063">
        <v>2.96</v>
      </c>
      <c r="D1063">
        <v>3.32</v>
      </c>
      <c r="E1063">
        <v>3.62</v>
      </c>
      <c r="F1063">
        <v>3.87</v>
      </c>
      <c r="G1063">
        <v>4.24</v>
      </c>
      <c r="H1063">
        <v>4.63</v>
      </c>
      <c r="I1063">
        <v>5.29</v>
      </c>
      <c r="K1063">
        <f t="shared" si="131"/>
        <v>-0.99999999999997868</v>
      </c>
      <c r="L1063">
        <f t="shared" si="132"/>
        <v>-3.0000000000000249</v>
      </c>
      <c r="M1063">
        <f t="shared" si="133"/>
        <v>-2.0000000000000018</v>
      </c>
      <c r="N1063">
        <f t="shared" si="134"/>
        <v>0</v>
      </c>
      <c r="O1063">
        <f t="shared" si="135"/>
        <v>2.0000000000000018</v>
      </c>
      <c r="P1063">
        <f t="shared" si="136"/>
        <v>4.0000000000000036</v>
      </c>
      <c r="Q1063">
        <f t="shared" si="137"/>
        <v>4.9999999999999822</v>
      </c>
      <c r="R1063">
        <f t="shared" si="138"/>
        <v>4.0000000000000036</v>
      </c>
    </row>
    <row r="1064" spans="1:18">
      <c r="A1064" s="9">
        <v>38264</v>
      </c>
      <c r="B1064">
        <v>2.5299999999999998</v>
      </c>
      <c r="C1064">
        <v>3</v>
      </c>
      <c r="D1064">
        <v>3.37</v>
      </c>
      <c r="E1064">
        <v>3.66</v>
      </c>
      <c r="F1064">
        <v>3.9</v>
      </c>
      <c r="G1064">
        <v>4.2699999999999996</v>
      </c>
      <c r="H1064">
        <v>4.6500000000000004</v>
      </c>
      <c r="I1064">
        <v>5.32</v>
      </c>
      <c r="K1064">
        <f t="shared" si="131"/>
        <v>2.9999999999999805</v>
      </c>
      <c r="L1064">
        <f t="shared" si="132"/>
        <v>4.0000000000000036</v>
      </c>
      <c r="M1064">
        <f t="shared" si="133"/>
        <v>5.0000000000000266</v>
      </c>
      <c r="N1064">
        <f t="shared" si="134"/>
        <v>4.0000000000000036</v>
      </c>
      <c r="O1064">
        <f t="shared" si="135"/>
        <v>2.9999999999999805</v>
      </c>
      <c r="P1064">
        <f t="shared" si="136"/>
        <v>2.9999999999999361</v>
      </c>
      <c r="Q1064">
        <f t="shared" si="137"/>
        <v>2.0000000000000462</v>
      </c>
      <c r="R1064">
        <f t="shared" si="138"/>
        <v>3.0000000000000249</v>
      </c>
    </row>
    <row r="1065" spans="1:18">
      <c r="A1065" s="9">
        <v>38265</v>
      </c>
      <c r="B1065">
        <v>2.52</v>
      </c>
      <c r="C1065">
        <v>2.99</v>
      </c>
      <c r="D1065">
        <v>3.36</v>
      </c>
      <c r="E1065">
        <v>3.65</v>
      </c>
      <c r="F1065">
        <v>3.88</v>
      </c>
      <c r="G1065">
        <v>4.25</v>
      </c>
      <c r="H1065">
        <v>4.63</v>
      </c>
      <c r="I1065">
        <v>5.29</v>
      </c>
      <c r="K1065">
        <f t="shared" si="131"/>
        <v>-0.99999999999997868</v>
      </c>
      <c r="L1065">
        <f t="shared" si="132"/>
        <v>-0.99999999999997868</v>
      </c>
      <c r="M1065">
        <f t="shared" si="133"/>
        <v>-1.0000000000000231</v>
      </c>
      <c r="N1065">
        <f t="shared" si="134"/>
        <v>-1.0000000000000231</v>
      </c>
      <c r="O1065">
        <f t="shared" si="135"/>
        <v>-2.0000000000000018</v>
      </c>
      <c r="P1065">
        <f t="shared" si="136"/>
        <v>-1.9999999999999574</v>
      </c>
      <c r="Q1065">
        <f t="shared" si="137"/>
        <v>-2.0000000000000462</v>
      </c>
      <c r="R1065">
        <f t="shared" si="138"/>
        <v>-3.0000000000000249</v>
      </c>
    </row>
    <row r="1066" spans="1:18">
      <c r="A1066" s="9">
        <v>38266</v>
      </c>
      <c r="B1066">
        <v>2.52</v>
      </c>
      <c r="C1066">
        <v>3</v>
      </c>
      <c r="D1066">
        <v>3.36</v>
      </c>
      <c r="E1066">
        <v>3.66</v>
      </c>
      <c r="F1066">
        <v>3.89</v>
      </c>
      <c r="G1066">
        <v>4.2699999999999996</v>
      </c>
      <c r="H1066">
        <v>4.6399999999999997</v>
      </c>
      <c r="I1066">
        <v>5.31</v>
      </c>
      <c r="K1066">
        <f t="shared" si="131"/>
        <v>0</v>
      </c>
      <c r="L1066">
        <f t="shared" si="132"/>
        <v>0.99999999999997868</v>
      </c>
      <c r="M1066">
        <f t="shared" si="133"/>
        <v>0</v>
      </c>
      <c r="N1066">
        <f t="shared" si="134"/>
        <v>1.0000000000000231</v>
      </c>
      <c r="O1066">
        <f t="shared" si="135"/>
        <v>1.0000000000000231</v>
      </c>
      <c r="P1066">
        <f t="shared" si="136"/>
        <v>1.9999999999999574</v>
      </c>
      <c r="Q1066">
        <f t="shared" si="137"/>
        <v>0.99999999999997868</v>
      </c>
      <c r="R1066">
        <f t="shared" si="138"/>
        <v>1.9999999999999574</v>
      </c>
    </row>
    <row r="1067" spans="1:18">
      <c r="A1067" s="9">
        <v>38267</v>
      </c>
      <c r="B1067">
        <v>2.57</v>
      </c>
      <c r="C1067">
        <v>3.07</v>
      </c>
      <c r="D1067">
        <v>3.44</v>
      </c>
      <c r="E1067">
        <v>3.74</v>
      </c>
      <c r="F1067">
        <v>3.97</v>
      </c>
      <c r="G1067">
        <v>4.34</v>
      </c>
      <c r="H1067">
        <v>4.71</v>
      </c>
      <c r="I1067">
        <v>5.36</v>
      </c>
      <c r="K1067">
        <f t="shared" si="131"/>
        <v>4.9999999999999822</v>
      </c>
      <c r="L1067">
        <f t="shared" si="132"/>
        <v>6.999999999999984</v>
      </c>
      <c r="M1067">
        <f t="shared" si="133"/>
        <v>8.0000000000000071</v>
      </c>
      <c r="N1067">
        <f t="shared" si="134"/>
        <v>8.0000000000000071</v>
      </c>
      <c r="O1067">
        <f t="shared" si="135"/>
        <v>8.0000000000000071</v>
      </c>
      <c r="P1067">
        <f t="shared" si="136"/>
        <v>7.0000000000000284</v>
      </c>
      <c r="Q1067">
        <f t="shared" si="137"/>
        <v>7.0000000000000284</v>
      </c>
      <c r="R1067">
        <f t="shared" si="138"/>
        <v>5.0000000000000711</v>
      </c>
    </row>
    <row r="1068" spans="1:18">
      <c r="A1068" s="9">
        <v>38268</v>
      </c>
      <c r="B1068">
        <v>2.48</v>
      </c>
      <c r="C1068">
        <v>2.93</v>
      </c>
      <c r="D1068">
        <v>3.29</v>
      </c>
      <c r="E1068">
        <v>3.58</v>
      </c>
      <c r="F1068">
        <v>3.82</v>
      </c>
      <c r="G1068">
        <v>4.2</v>
      </c>
      <c r="H1068">
        <v>4.58</v>
      </c>
      <c r="I1068">
        <v>5.26</v>
      </c>
      <c r="K1068">
        <f t="shared" si="131"/>
        <v>-8.9999999999999858</v>
      </c>
      <c r="L1068">
        <f t="shared" si="132"/>
        <v>-13.999999999999968</v>
      </c>
      <c r="M1068">
        <f t="shared" si="133"/>
        <v>-14.999999999999991</v>
      </c>
      <c r="N1068">
        <f t="shared" si="134"/>
        <v>-16.000000000000014</v>
      </c>
      <c r="O1068">
        <f t="shared" si="135"/>
        <v>-15.000000000000036</v>
      </c>
      <c r="P1068">
        <f t="shared" si="136"/>
        <v>-13.999999999999968</v>
      </c>
      <c r="Q1068">
        <f t="shared" si="137"/>
        <v>-12.999999999999989</v>
      </c>
      <c r="R1068">
        <f t="shared" si="138"/>
        <v>-10.000000000000053</v>
      </c>
    </row>
    <row r="1069" spans="1:18">
      <c r="A1069" s="9">
        <v>38272</v>
      </c>
      <c r="B1069">
        <v>2.44</v>
      </c>
      <c r="C1069">
        <v>2.88</v>
      </c>
      <c r="D1069">
        <v>3.23</v>
      </c>
      <c r="E1069">
        <v>3.53</v>
      </c>
      <c r="F1069">
        <v>3.77</v>
      </c>
      <c r="G1069">
        <v>4.1500000000000004</v>
      </c>
      <c r="H1069">
        <v>4.55</v>
      </c>
      <c r="I1069">
        <v>5.24</v>
      </c>
      <c r="K1069">
        <f t="shared" si="131"/>
        <v>-4.0000000000000036</v>
      </c>
      <c r="L1069">
        <f t="shared" si="132"/>
        <v>-5.0000000000000266</v>
      </c>
      <c r="M1069">
        <f t="shared" si="133"/>
        <v>-6.0000000000000053</v>
      </c>
      <c r="N1069">
        <f t="shared" si="134"/>
        <v>-5.0000000000000266</v>
      </c>
      <c r="O1069">
        <f t="shared" si="135"/>
        <v>-4.9999999999999822</v>
      </c>
      <c r="P1069">
        <f t="shared" si="136"/>
        <v>-4.9999999999999822</v>
      </c>
      <c r="Q1069">
        <f t="shared" si="137"/>
        <v>-3.0000000000000249</v>
      </c>
      <c r="R1069">
        <f t="shared" si="138"/>
        <v>-1.9999999999999574</v>
      </c>
    </row>
    <row r="1070" spans="1:18">
      <c r="A1070" s="9">
        <v>38273</v>
      </c>
      <c r="B1070">
        <v>2.46</v>
      </c>
      <c r="C1070">
        <v>2.89</v>
      </c>
      <c r="D1070">
        <v>3.24</v>
      </c>
      <c r="E1070">
        <v>3.53</v>
      </c>
      <c r="F1070">
        <v>3.78</v>
      </c>
      <c r="G1070">
        <v>4.16</v>
      </c>
      <c r="H1070">
        <v>4.55</v>
      </c>
      <c r="I1070">
        <v>5.24</v>
      </c>
      <c r="K1070">
        <f t="shared" si="131"/>
        <v>2.0000000000000018</v>
      </c>
      <c r="L1070">
        <f t="shared" si="132"/>
        <v>1.0000000000000231</v>
      </c>
      <c r="M1070">
        <f t="shared" si="133"/>
        <v>1.0000000000000231</v>
      </c>
      <c r="N1070">
        <f t="shared" si="134"/>
        <v>0</v>
      </c>
      <c r="O1070">
        <f t="shared" si="135"/>
        <v>0.99999999999997868</v>
      </c>
      <c r="P1070">
        <f t="shared" si="136"/>
        <v>0.99999999999997868</v>
      </c>
      <c r="Q1070">
        <f t="shared" si="137"/>
        <v>0</v>
      </c>
      <c r="R1070">
        <f t="shared" si="138"/>
        <v>0</v>
      </c>
    </row>
    <row r="1071" spans="1:18">
      <c r="A1071" s="9">
        <v>38274</v>
      </c>
      <c r="B1071">
        <v>2.42</v>
      </c>
      <c r="C1071">
        <v>2.83</v>
      </c>
      <c r="D1071">
        <v>3.18</v>
      </c>
      <c r="E1071">
        <v>3.47</v>
      </c>
      <c r="F1071">
        <v>3.7</v>
      </c>
      <c r="G1071">
        <v>4.09</v>
      </c>
      <c r="H1071">
        <v>4.49</v>
      </c>
      <c r="I1071">
        <v>5.2</v>
      </c>
      <c r="K1071">
        <f t="shared" si="131"/>
        <v>-4.0000000000000036</v>
      </c>
      <c r="L1071">
        <f t="shared" si="132"/>
        <v>-6.0000000000000053</v>
      </c>
      <c r="M1071">
        <f t="shared" si="133"/>
        <v>-6.0000000000000053</v>
      </c>
      <c r="N1071">
        <f t="shared" si="134"/>
        <v>-5.9999999999999609</v>
      </c>
      <c r="O1071">
        <f t="shared" si="135"/>
        <v>-7.9999999999999627</v>
      </c>
      <c r="P1071">
        <f t="shared" si="136"/>
        <v>-7.0000000000000284</v>
      </c>
      <c r="Q1071">
        <f t="shared" si="137"/>
        <v>-5.9999999999999609</v>
      </c>
      <c r="R1071">
        <f t="shared" si="138"/>
        <v>-4.0000000000000036</v>
      </c>
    </row>
    <row r="1072" spans="1:18">
      <c r="A1072" s="9">
        <v>38275</v>
      </c>
      <c r="B1072">
        <v>2.44</v>
      </c>
      <c r="C1072">
        <v>2.86</v>
      </c>
      <c r="D1072">
        <v>3.21</v>
      </c>
      <c r="E1072">
        <v>3.5</v>
      </c>
      <c r="F1072">
        <v>3.74</v>
      </c>
      <c r="G1072">
        <v>4.1100000000000003</v>
      </c>
      <c r="H1072">
        <v>4.5</v>
      </c>
      <c r="I1072">
        <v>5.2</v>
      </c>
      <c r="K1072">
        <f t="shared" si="131"/>
        <v>2.0000000000000018</v>
      </c>
      <c r="L1072">
        <f t="shared" si="132"/>
        <v>2.9999999999999805</v>
      </c>
      <c r="M1072">
        <f t="shared" si="133"/>
        <v>2.9999999999999805</v>
      </c>
      <c r="N1072">
        <f t="shared" si="134"/>
        <v>2.9999999999999805</v>
      </c>
      <c r="O1072">
        <f t="shared" si="135"/>
        <v>4.0000000000000036</v>
      </c>
      <c r="P1072">
        <f t="shared" si="136"/>
        <v>2.0000000000000462</v>
      </c>
      <c r="Q1072">
        <f t="shared" si="137"/>
        <v>0.99999999999997868</v>
      </c>
      <c r="R1072">
        <f t="shared" si="138"/>
        <v>0</v>
      </c>
    </row>
    <row r="1073" spans="1:18">
      <c r="A1073" s="9">
        <v>38278</v>
      </c>
      <c r="B1073">
        <v>2.44</v>
      </c>
      <c r="C1073">
        <v>2.86</v>
      </c>
      <c r="D1073">
        <v>3.2</v>
      </c>
      <c r="E1073">
        <v>3.49</v>
      </c>
      <c r="F1073">
        <v>3.72</v>
      </c>
      <c r="G1073">
        <v>4.0999999999999996</v>
      </c>
      <c r="H1073">
        <v>4.5</v>
      </c>
      <c r="I1073">
        <v>5.2</v>
      </c>
      <c r="K1073">
        <f t="shared" si="131"/>
        <v>0</v>
      </c>
      <c r="L1073">
        <f t="shared" si="132"/>
        <v>0</v>
      </c>
      <c r="M1073">
        <f t="shared" si="133"/>
        <v>-0.99999999999997868</v>
      </c>
      <c r="N1073">
        <f t="shared" si="134"/>
        <v>-0.99999999999997868</v>
      </c>
      <c r="O1073">
        <f t="shared" si="135"/>
        <v>-2.0000000000000018</v>
      </c>
      <c r="P1073">
        <f t="shared" si="136"/>
        <v>-1.0000000000000675</v>
      </c>
      <c r="Q1073">
        <f t="shared" si="137"/>
        <v>0</v>
      </c>
      <c r="R1073">
        <f t="shared" si="138"/>
        <v>0</v>
      </c>
    </row>
    <row r="1074" spans="1:18">
      <c r="A1074" s="9">
        <v>38279</v>
      </c>
      <c r="B1074">
        <v>2.4700000000000002</v>
      </c>
      <c r="C1074">
        <v>2.9</v>
      </c>
      <c r="D1074">
        <v>3.25</v>
      </c>
      <c r="E1074">
        <v>3.52</v>
      </c>
      <c r="F1074">
        <v>3.75</v>
      </c>
      <c r="G1074">
        <v>4.12</v>
      </c>
      <c r="H1074">
        <v>4.5</v>
      </c>
      <c r="I1074">
        <v>5.19</v>
      </c>
      <c r="K1074">
        <f t="shared" si="131"/>
        <v>3.0000000000000249</v>
      </c>
      <c r="L1074">
        <f t="shared" si="132"/>
        <v>4.0000000000000036</v>
      </c>
      <c r="M1074">
        <f t="shared" si="133"/>
        <v>4.9999999999999822</v>
      </c>
      <c r="N1074">
        <f t="shared" si="134"/>
        <v>2.9999999999999805</v>
      </c>
      <c r="O1074">
        <f t="shared" si="135"/>
        <v>2.9999999999999805</v>
      </c>
      <c r="P1074">
        <f t="shared" si="136"/>
        <v>2.0000000000000462</v>
      </c>
      <c r="Q1074">
        <f t="shared" si="137"/>
        <v>0</v>
      </c>
      <c r="R1074">
        <f t="shared" si="138"/>
        <v>-0.99999999999997868</v>
      </c>
    </row>
    <row r="1075" spans="1:18">
      <c r="A1075" s="9">
        <v>38280</v>
      </c>
      <c r="B1075">
        <v>2.44</v>
      </c>
      <c r="C1075">
        <v>2.85</v>
      </c>
      <c r="D1075">
        <v>3.17</v>
      </c>
      <c r="E1075">
        <v>3.44</v>
      </c>
      <c r="F1075">
        <v>3.66</v>
      </c>
      <c r="G1075">
        <v>4.04</v>
      </c>
      <c r="H1075">
        <v>4.41</v>
      </c>
      <c r="I1075">
        <v>5.1100000000000003</v>
      </c>
      <c r="K1075">
        <f t="shared" si="131"/>
        <v>-3.0000000000000249</v>
      </c>
      <c r="L1075">
        <f t="shared" si="132"/>
        <v>-4.9999999999999822</v>
      </c>
      <c r="M1075">
        <f t="shared" si="133"/>
        <v>-8.0000000000000071</v>
      </c>
      <c r="N1075">
        <f t="shared" si="134"/>
        <v>-8.0000000000000071</v>
      </c>
      <c r="O1075">
        <f t="shared" si="135"/>
        <v>-8.9999999999999858</v>
      </c>
      <c r="P1075">
        <f t="shared" si="136"/>
        <v>-8.0000000000000071</v>
      </c>
      <c r="Q1075">
        <f t="shared" si="137"/>
        <v>-8.9999999999999858</v>
      </c>
      <c r="R1075">
        <f t="shared" si="138"/>
        <v>-8.0000000000000071</v>
      </c>
    </row>
    <row r="1076" spans="1:18">
      <c r="A1076" s="9">
        <v>38281</v>
      </c>
      <c r="B1076">
        <v>2.4500000000000002</v>
      </c>
      <c r="C1076">
        <v>2.85</v>
      </c>
      <c r="D1076">
        <v>3.18</v>
      </c>
      <c r="E1076">
        <v>3.44</v>
      </c>
      <c r="F1076">
        <v>3.67</v>
      </c>
      <c r="G1076">
        <v>4.03</v>
      </c>
      <c r="H1076">
        <v>4.41</v>
      </c>
      <c r="I1076">
        <v>5.0999999999999996</v>
      </c>
      <c r="K1076">
        <f t="shared" si="131"/>
        <v>1.0000000000000231</v>
      </c>
      <c r="L1076">
        <f t="shared" si="132"/>
        <v>0</v>
      </c>
      <c r="M1076">
        <f t="shared" si="133"/>
        <v>1.0000000000000231</v>
      </c>
      <c r="N1076">
        <f t="shared" si="134"/>
        <v>0</v>
      </c>
      <c r="O1076">
        <f t="shared" si="135"/>
        <v>0.99999999999997868</v>
      </c>
      <c r="P1076">
        <f t="shared" si="136"/>
        <v>-0.99999999999997868</v>
      </c>
      <c r="Q1076">
        <f t="shared" si="137"/>
        <v>0</v>
      </c>
      <c r="R1076">
        <f t="shared" si="138"/>
        <v>-1.0000000000000675</v>
      </c>
    </row>
    <row r="1077" spans="1:18">
      <c r="A1077" s="9">
        <v>38282</v>
      </c>
      <c r="B1077">
        <v>2.4700000000000002</v>
      </c>
      <c r="C1077">
        <v>2.87</v>
      </c>
      <c r="D1077">
        <v>3.19</v>
      </c>
      <c r="E1077">
        <v>3.46</v>
      </c>
      <c r="F1077">
        <v>3.69</v>
      </c>
      <c r="G1077">
        <v>4.05</v>
      </c>
      <c r="H1077">
        <v>4.43</v>
      </c>
      <c r="I1077">
        <v>5.1100000000000003</v>
      </c>
      <c r="K1077">
        <f t="shared" si="131"/>
        <v>2.0000000000000018</v>
      </c>
      <c r="L1077">
        <f t="shared" si="132"/>
        <v>2.0000000000000018</v>
      </c>
      <c r="M1077">
        <f t="shared" si="133"/>
        <v>0.99999999999997868</v>
      </c>
      <c r="N1077">
        <f t="shared" si="134"/>
        <v>2.0000000000000018</v>
      </c>
      <c r="O1077">
        <f t="shared" si="135"/>
        <v>2.0000000000000018</v>
      </c>
      <c r="P1077">
        <f t="shared" si="136"/>
        <v>1.9999999999999574</v>
      </c>
      <c r="Q1077">
        <f t="shared" si="137"/>
        <v>1.9999999999999574</v>
      </c>
      <c r="R1077">
        <f t="shared" si="138"/>
        <v>1.0000000000000675</v>
      </c>
    </row>
    <row r="1078" spans="1:18">
      <c r="A1078" s="9">
        <v>38285</v>
      </c>
      <c r="B1078">
        <v>2.4500000000000002</v>
      </c>
      <c r="C1078">
        <v>2.84</v>
      </c>
      <c r="D1078">
        <v>3.15</v>
      </c>
      <c r="E1078">
        <v>3.41</v>
      </c>
      <c r="F1078">
        <v>3.63</v>
      </c>
      <c r="G1078">
        <v>3.99</v>
      </c>
      <c r="H1078">
        <v>4.38</v>
      </c>
      <c r="I1078">
        <v>5.08</v>
      </c>
      <c r="K1078">
        <f t="shared" si="131"/>
        <v>-2.0000000000000018</v>
      </c>
      <c r="L1078">
        <f t="shared" si="132"/>
        <v>-3.0000000000000249</v>
      </c>
      <c r="M1078">
        <f t="shared" si="133"/>
        <v>-4.0000000000000036</v>
      </c>
      <c r="N1078">
        <f t="shared" si="134"/>
        <v>-4.9999999999999822</v>
      </c>
      <c r="O1078">
        <f t="shared" si="135"/>
        <v>-6.0000000000000053</v>
      </c>
      <c r="P1078">
        <f t="shared" si="136"/>
        <v>-5.9999999999999609</v>
      </c>
      <c r="Q1078">
        <f t="shared" si="137"/>
        <v>-4.9999999999999822</v>
      </c>
      <c r="R1078">
        <f t="shared" si="138"/>
        <v>-3.0000000000000249</v>
      </c>
    </row>
    <row r="1079" spans="1:18">
      <c r="A1079" s="9">
        <v>38286</v>
      </c>
      <c r="B1079">
        <v>2.46</v>
      </c>
      <c r="C1079">
        <v>2.85</v>
      </c>
      <c r="D1079">
        <v>3.16</v>
      </c>
      <c r="E1079">
        <v>3.42</v>
      </c>
      <c r="F1079">
        <v>3.64</v>
      </c>
      <c r="G1079">
        <v>4.01</v>
      </c>
      <c r="H1079">
        <v>4.3899999999999997</v>
      </c>
      <c r="I1079">
        <v>5.08</v>
      </c>
      <c r="K1079">
        <f t="shared" si="131"/>
        <v>0.99999999999997868</v>
      </c>
      <c r="L1079">
        <f t="shared" si="132"/>
        <v>1.0000000000000231</v>
      </c>
      <c r="M1079">
        <f t="shared" si="133"/>
        <v>1.0000000000000231</v>
      </c>
      <c r="N1079">
        <f t="shared" si="134"/>
        <v>0.99999999999997868</v>
      </c>
      <c r="O1079">
        <f t="shared" si="135"/>
        <v>1.0000000000000231</v>
      </c>
      <c r="P1079">
        <f t="shared" si="136"/>
        <v>1.9999999999999574</v>
      </c>
      <c r="Q1079">
        <f t="shared" si="137"/>
        <v>0.99999999999997868</v>
      </c>
      <c r="R1079">
        <f t="shared" si="138"/>
        <v>0</v>
      </c>
    </row>
    <row r="1080" spans="1:18">
      <c r="A1080" s="9">
        <v>38287</v>
      </c>
      <c r="B1080">
        <v>2.4900000000000002</v>
      </c>
      <c r="C1080">
        <v>2.87</v>
      </c>
      <c r="D1080">
        <v>3.19</v>
      </c>
      <c r="E1080">
        <v>3.45</v>
      </c>
      <c r="F1080">
        <v>3.67</v>
      </c>
      <c r="G1080">
        <v>4.03</v>
      </c>
      <c r="H1080">
        <v>4.41</v>
      </c>
      <c r="I1080">
        <v>5.09</v>
      </c>
      <c r="K1080">
        <f t="shared" si="131"/>
        <v>3.0000000000000249</v>
      </c>
      <c r="L1080">
        <f t="shared" si="132"/>
        <v>2.0000000000000018</v>
      </c>
      <c r="M1080">
        <f t="shared" si="133"/>
        <v>2.9999999999999805</v>
      </c>
      <c r="N1080">
        <f t="shared" si="134"/>
        <v>3.0000000000000249</v>
      </c>
      <c r="O1080">
        <f t="shared" si="135"/>
        <v>2.9999999999999805</v>
      </c>
      <c r="P1080">
        <f t="shared" si="136"/>
        <v>2.0000000000000462</v>
      </c>
      <c r="Q1080">
        <f t="shared" si="137"/>
        <v>2.0000000000000462</v>
      </c>
      <c r="R1080">
        <f t="shared" si="138"/>
        <v>0.99999999999997868</v>
      </c>
    </row>
    <row r="1081" spans="1:18">
      <c r="A1081" s="9">
        <v>38288</v>
      </c>
      <c r="B1081">
        <v>2.5499999999999998</v>
      </c>
      <c r="C1081">
        <v>2.96</v>
      </c>
      <c r="D1081">
        <v>3.28</v>
      </c>
      <c r="E1081">
        <v>3.55</v>
      </c>
      <c r="F1081">
        <v>3.77</v>
      </c>
      <c r="G1081">
        <v>4.1399999999999997</v>
      </c>
      <c r="H1081">
        <v>4.5199999999999996</v>
      </c>
      <c r="I1081">
        <v>5.19</v>
      </c>
      <c r="K1081">
        <f t="shared" si="131"/>
        <v>5.9999999999999609</v>
      </c>
      <c r="L1081">
        <f t="shared" si="132"/>
        <v>8.9999999999999858</v>
      </c>
      <c r="M1081">
        <f t="shared" si="133"/>
        <v>8.9999999999999858</v>
      </c>
      <c r="N1081">
        <f t="shared" si="134"/>
        <v>9.9999999999999645</v>
      </c>
      <c r="O1081">
        <f t="shared" si="135"/>
        <v>10.000000000000009</v>
      </c>
      <c r="P1081">
        <f t="shared" si="136"/>
        <v>10.999999999999943</v>
      </c>
      <c r="Q1081">
        <f t="shared" si="137"/>
        <v>10.999999999999943</v>
      </c>
      <c r="R1081">
        <f t="shared" si="138"/>
        <v>10.000000000000053</v>
      </c>
    </row>
    <row r="1082" spans="1:18">
      <c r="A1082" s="9">
        <v>38289</v>
      </c>
      <c r="B1082">
        <v>2.5499999999999998</v>
      </c>
      <c r="C1082">
        <v>2.94</v>
      </c>
      <c r="D1082">
        <v>3.24</v>
      </c>
      <c r="E1082">
        <v>3.51</v>
      </c>
      <c r="F1082">
        <v>3.73</v>
      </c>
      <c r="G1082">
        <v>4.0999999999999996</v>
      </c>
      <c r="H1082">
        <v>4.4800000000000004</v>
      </c>
      <c r="I1082">
        <v>5.16</v>
      </c>
      <c r="K1082">
        <f t="shared" si="131"/>
        <v>0</v>
      </c>
      <c r="L1082">
        <f t="shared" si="132"/>
        <v>-2.0000000000000018</v>
      </c>
      <c r="M1082">
        <f t="shared" si="133"/>
        <v>-3.9999999999999591</v>
      </c>
      <c r="N1082">
        <f t="shared" si="134"/>
        <v>-4.0000000000000036</v>
      </c>
      <c r="O1082">
        <f t="shared" si="135"/>
        <v>-4.0000000000000036</v>
      </c>
      <c r="P1082">
        <f t="shared" si="136"/>
        <v>-4.0000000000000036</v>
      </c>
      <c r="Q1082">
        <f t="shared" si="137"/>
        <v>-3.9999999999999147</v>
      </c>
      <c r="R1082">
        <f t="shared" si="138"/>
        <v>-3.0000000000000249</v>
      </c>
    </row>
    <row r="1083" spans="1:18">
      <c r="A1083" s="9">
        <v>38292</v>
      </c>
      <c r="B1083">
        <v>2.56</v>
      </c>
      <c r="C1083">
        <v>2.94</v>
      </c>
      <c r="D1083">
        <v>3.25</v>
      </c>
      <c r="E1083">
        <v>3.51</v>
      </c>
      <c r="F1083">
        <v>3.74</v>
      </c>
      <c r="G1083">
        <v>4.1100000000000003</v>
      </c>
      <c r="H1083">
        <v>4.49</v>
      </c>
      <c r="I1083">
        <v>5.18</v>
      </c>
      <c r="K1083">
        <f t="shared" si="131"/>
        <v>1.0000000000000231</v>
      </c>
      <c r="L1083">
        <f t="shared" si="132"/>
        <v>0</v>
      </c>
      <c r="M1083">
        <f t="shared" si="133"/>
        <v>0.99999999999997868</v>
      </c>
      <c r="N1083">
        <f t="shared" si="134"/>
        <v>0</v>
      </c>
      <c r="O1083">
        <f t="shared" si="135"/>
        <v>1.0000000000000231</v>
      </c>
      <c r="P1083">
        <f t="shared" si="136"/>
        <v>1.0000000000000675</v>
      </c>
      <c r="Q1083">
        <f t="shared" si="137"/>
        <v>0.99999999999997868</v>
      </c>
      <c r="R1083">
        <f t="shared" si="138"/>
        <v>1.9999999999999574</v>
      </c>
    </row>
    <row r="1084" spans="1:18">
      <c r="A1084" s="9">
        <v>38293</v>
      </c>
      <c r="B1084">
        <v>2.59</v>
      </c>
      <c r="C1084">
        <v>2.97</v>
      </c>
      <c r="D1084">
        <v>3.28</v>
      </c>
      <c r="E1084">
        <v>3.55</v>
      </c>
      <c r="F1084">
        <v>3.78</v>
      </c>
      <c r="G1084">
        <v>4.1500000000000004</v>
      </c>
      <c r="H1084">
        <v>4.53</v>
      </c>
      <c r="I1084">
        <v>5.21</v>
      </c>
      <c r="K1084">
        <f t="shared" si="131"/>
        <v>2.9999999999999805</v>
      </c>
      <c r="L1084">
        <f t="shared" si="132"/>
        <v>3.0000000000000249</v>
      </c>
      <c r="M1084">
        <f t="shared" si="133"/>
        <v>2.9999999999999805</v>
      </c>
      <c r="N1084">
        <f t="shared" si="134"/>
        <v>4.0000000000000036</v>
      </c>
      <c r="O1084">
        <f t="shared" si="135"/>
        <v>3.9999999999999591</v>
      </c>
      <c r="P1084">
        <f t="shared" si="136"/>
        <v>4.0000000000000036</v>
      </c>
      <c r="Q1084">
        <f t="shared" si="137"/>
        <v>4.0000000000000036</v>
      </c>
      <c r="R1084">
        <f t="shared" si="138"/>
        <v>3.0000000000000249</v>
      </c>
    </row>
    <row r="1085" spans="1:18">
      <c r="A1085" s="9">
        <v>38294</v>
      </c>
      <c r="B1085">
        <v>2.61</v>
      </c>
      <c r="C1085">
        <v>3</v>
      </c>
      <c r="D1085">
        <v>3.31</v>
      </c>
      <c r="E1085">
        <v>3.58</v>
      </c>
      <c r="F1085">
        <v>3.82</v>
      </c>
      <c r="G1085">
        <v>4.1900000000000004</v>
      </c>
      <c r="H1085">
        <v>4.58</v>
      </c>
      <c r="I1085">
        <v>5.25</v>
      </c>
      <c r="K1085">
        <f t="shared" si="131"/>
        <v>2.0000000000000018</v>
      </c>
      <c r="L1085">
        <f t="shared" si="132"/>
        <v>2.9999999999999805</v>
      </c>
      <c r="M1085">
        <f t="shared" si="133"/>
        <v>3.0000000000000249</v>
      </c>
      <c r="N1085">
        <f t="shared" si="134"/>
        <v>3.0000000000000249</v>
      </c>
      <c r="O1085">
        <f t="shared" si="135"/>
        <v>4.0000000000000036</v>
      </c>
      <c r="P1085">
        <f t="shared" si="136"/>
        <v>4.0000000000000036</v>
      </c>
      <c r="Q1085">
        <f t="shared" si="137"/>
        <v>4.9999999999999822</v>
      </c>
      <c r="R1085">
        <f t="shared" si="138"/>
        <v>4.0000000000000036</v>
      </c>
    </row>
    <row r="1086" spans="1:18">
      <c r="A1086" s="9">
        <v>38295</v>
      </c>
      <c r="B1086">
        <v>2.58</v>
      </c>
      <c r="C1086">
        <v>2.95</v>
      </c>
      <c r="D1086">
        <v>3.25</v>
      </c>
      <c r="E1086">
        <v>3.51</v>
      </c>
      <c r="F1086">
        <v>3.73</v>
      </c>
      <c r="G1086">
        <v>4.0999999999999996</v>
      </c>
      <c r="H1086">
        <v>4.4800000000000004</v>
      </c>
      <c r="I1086">
        <v>5.16</v>
      </c>
      <c r="K1086">
        <f t="shared" si="131"/>
        <v>-2.9999999999999805</v>
      </c>
      <c r="L1086">
        <f t="shared" si="132"/>
        <v>-4.9999999999999822</v>
      </c>
      <c r="M1086">
        <f t="shared" si="133"/>
        <v>-6.0000000000000053</v>
      </c>
      <c r="N1086">
        <f t="shared" si="134"/>
        <v>-7.0000000000000284</v>
      </c>
      <c r="O1086">
        <f t="shared" si="135"/>
        <v>-8.9999999999999858</v>
      </c>
      <c r="P1086">
        <f t="shared" si="136"/>
        <v>-9.0000000000000746</v>
      </c>
      <c r="Q1086">
        <f t="shared" si="137"/>
        <v>-9.9999999999999645</v>
      </c>
      <c r="R1086">
        <f t="shared" si="138"/>
        <v>-8.9999999999999858</v>
      </c>
    </row>
    <row r="1087" spans="1:18">
      <c r="A1087" s="9">
        <v>38296</v>
      </c>
      <c r="B1087">
        <v>2.75</v>
      </c>
      <c r="C1087">
        <v>3.16</v>
      </c>
      <c r="D1087">
        <v>3.46</v>
      </c>
      <c r="E1087">
        <v>3.72</v>
      </c>
      <c r="F1087">
        <v>3.93</v>
      </c>
      <c r="G1087">
        <v>4.2699999999999996</v>
      </c>
      <c r="H1087">
        <v>4.63</v>
      </c>
      <c r="I1087">
        <v>5.27</v>
      </c>
      <c r="K1087">
        <f t="shared" si="131"/>
        <v>16.999999999999993</v>
      </c>
      <c r="L1087">
        <f t="shared" si="132"/>
        <v>20.999999999999996</v>
      </c>
      <c r="M1087">
        <f t="shared" si="133"/>
        <v>20.999999999999996</v>
      </c>
      <c r="N1087">
        <f t="shared" si="134"/>
        <v>21.000000000000043</v>
      </c>
      <c r="O1087">
        <f t="shared" si="135"/>
        <v>20.000000000000018</v>
      </c>
      <c r="P1087">
        <f t="shared" si="136"/>
        <v>16.999999999999993</v>
      </c>
      <c r="Q1087">
        <f t="shared" si="137"/>
        <v>14.999999999999947</v>
      </c>
      <c r="R1087">
        <f t="shared" si="138"/>
        <v>10.999999999999943</v>
      </c>
    </row>
    <row r="1088" spans="1:18">
      <c r="A1088" s="9">
        <v>38299</v>
      </c>
      <c r="B1088">
        <v>2.77</v>
      </c>
      <c r="C1088">
        <v>3.19</v>
      </c>
      <c r="D1088">
        <v>3.49</v>
      </c>
      <c r="E1088">
        <v>3.73</v>
      </c>
      <c r="F1088">
        <v>3.94</v>
      </c>
      <c r="G1088">
        <v>4.28</v>
      </c>
      <c r="H1088">
        <v>4.6399999999999997</v>
      </c>
      <c r="I1088">
        <v>5.29</v>
      </c>
      <c r="K1088">
        <f t="shared" si="131"/>
        <v>2.0000000000000018</v>
      </c>
      <c r="L1088">
        <f t="shared" si="132"/>
        <v>2.9999999999999805</v>
      </c>
      <c r="M1088">
        <f t="shared" si="133"/>
        <v>3.0000000000000249</v>
      </c>
      <c r="N1088">
        <f t="shared" si="134"/>
        <v>0.99999999999997868</v>
      </c>
      <c r="O1088">
        <f t="shared" si="135"/>
        <v>0.99999999999997868</v>
      </c>
      <c r="P1088">
        <f t="shared" si="136"/>
        <v>1.0000000000000675</v>
      </c>
      <c r="Q1088">
        <f t="shared" si="137"/>
        <v>0.99999999999997868</v>
      </c>
      <c r="R1088">
        <f t="shared" si="138"/>
        <v>2.0000000000000462</v>
      </c>
    </row>
    <row r="1089" spans="1:18">
      <c r="A1089" s="9">
        <v>38300</v>
      </c>
      <c r="B1089">
        <v>2.77</v>
      </c>
      <c r="C1089">
        <v>3.19</v>
      </c>
      <c r="D1089">
        <v>3.48</v>
      </c>
      <c r="E1089">
        <v>3.73</v>
      </c>
      <c r="F1089">
        <v>3.95</v>
      </c>
      <c r="G1089">
        <v>4.29</v>
      </c>
      <c r="H1089">
        <v>4.6500000000000004</v>
      </c>
      <c r="I1089">
        <v>5.31</v>
      </c>
      <c r="K1089">
        <f t="shared" si="131"/>
        <v>0</v>
      </c>
      <c r="L1089">
        <f t="shared" si="132"/>
        <v>0</v>
      </c>
      <c r="M1089">
        <f t="shared" si="133"/>
        <v>-1.0000000000000231</v>
      </c>
      <c r="N1089">
        <f t="shared" si="134"/>
        <v>0</v>
      </c>
      <c r="O1089">
        <f t="shared" si="135"/>
        <v>1.0000000000000231</v>
      </c>
      <c r="P1089">
        <f t="shared" si="136"/>
        <v>0.99999999999997868</v>
      </c>
      <c r="Q1089">
        <f t="shared" si="137"/>
        <v>1.0000000000000675</v>
      </c>
      <c r="R1089">
        <f t="shared" si="138"/>
        <v>1.9999999999999574</v>
      </c>
    </row>
    <row r="1090" spans="1:18">
      <c r="A1090" s="9">
        <v>38301</v>
      </c>
      <c r="B1090">
        <v>2.81</v>
      </c>
      <c r="C1090">
        <v>3.23</v>
      </c>
      <c r="D1090">
        <v>3.52</v>
      </c>
      <c r="E1090">
        <v>3.78</v>
      </c>
      <c r="F1090">
        <v>3.99</v>
      </c>
      <c r="G1090">
        <v>4.33</v>
      </c>
      <c r="H1090">
        <v>4.6900000000000004</v>
      </c>
      <c r="I1090">
        <v>5.34</v>
      </c>
      <c r="K1090">
        <f t="shared" si="131"/>
        <v>4.0000000000000036</v>
      </c>
      <c r="L1090">
        <f t="shared" si="132"/>
        <v>4.0000000000000036</v>
      </c>
      <c r="M1090">
        <f t="shared" si="133"/>
        <v>4.0000000000000036</v>
      </c>
      <c r="N1090">
        <f t="shared" si="134"/>
        <v>4.9999999999999822</v>
      </c>
      <c r="O1090">
        <f t="shared" si="135"/>
        <v>4.0000000000000036</v>
      </c>
      <c r="P1090">
        <f t="shared" si="136"/>
        <v>4.0000000000000036</v>
      </c>
      <c r="Q1090">
        <f t="shared" si="137"/>
        <v>4.0000000000000036</v>
      </c>
      <c r="R1090">
        <f t="shared" si="138"/>
        <v>3.0000000000000249</v>
      </c>
    </row>
    <row r="1091" spans="1:18">
      <c r="A1091" s="9">
        <v>38303</v>
      </c>
      <c r="B1091">
        <v>2.8</v>
      </c>
      <c r="C1091">
        <v>3.19</v>
      </c>
      <c r="D1091">
        <v>3.48</v>
      </c>
      <c r="E1091">
        <v>3.72</v>
      </c>
      <c r="F1091">
        <v>3.93</v>
      </c>
      <c r="G1091">
        <v>4.2699999999999996</v>
      </c>
      <c r="H1091">
        <v>4.62</v>
      </c>
      <c r="I1091">
        <v>5.28</v>
      </c>
      <c r="K1091">
        <f t="shared" si="131"/>
        <v>-1.0000000000000231</v>
      </c>
      <c r="L1091">
        <f t="shared" si="132"/>
        <v>-4.0000000000000036</v>
      </c>
      <c r="M1091">
        <f t="shared" si="133"/>
        <v>-4.0000000000000036</v>
      </c>
      <c r="N1091">
        <f t="shared" si="134"/>
        <v>-5.9999999999999609</v>
      </c>
      <c r="O1091">
        <f t="shared" si="135"/>
        <v>-6.0000000000000053</v>
      </c>
      <c r="P1091">
        <f t="shared" si="136"/>
        <v>-6.0000000000000497</v>
      </c>
      <c r="Q1091">
        <f t="shared" si="137"/>
        <v>-7.0000000000000284</v>
      </c>
      <c r="R1091">
        <f t="shared" si="138"/>
        <v>-5.9999999999999609</v>
      </c>
    </row>
    <row r="1092" spans="1:18">
      <c r="A1092" s="9">
        <v>38306</v>
      </c>
      <c r="B1092">
        <v>2.84</v>
      </c>
      <c r="C1092">
        <v>3.23</v>
      </c>
      <c r="D1092">
        <v>3.51</v>
      </c>
      <c r="E1092">
        <v>3.75</v>
      </c>
      <c r="F1092">
        <v>3.95</v>
      </c>
      <c r="G1092">
        <v>4.28</v>
      </c>
      <c r="H1092">
        <v>4.63</v>
      </c>
      <c r="I1092">
        <v>5.27</v>
      </c>
      <c r="K1092">
        <f t="shared" si="131"/>
        <v>4.0000000000000036</v>
      </c>
      <c r="L1092">
        <f t="shared" si="132"/>
        <v>4.0000000000000036</v>
      </c>
      <c r="M1092">
        <f t="shared" si="133"/>
        <v>2.9999999999999805</v>
      </c>
      <c r="N1092">
        <f t="shared" si="134"/>
        <v>2.9999999999999805</v>
      </c>
      <c r="O1092">
        <f t="shared" si="135"/>
        <v>2.0000000000000018</v>
      </c>
      <c r="P1092">
        <f t="shared" si="136"/>
        <v>1.0000000000000675</v>
      </c>
      <c r="Q1092">
        <f t="shared" si="137"/>
        <v>0.99999999999997868</v>
      </c>
      <c r="R1092">
        <f t="shared" si="138"/>
        <v>-1.0000000000000675</v>
      </c>
    </row>
    <row r="1093" spans="1:18">
      <c r="A1093" s="9">
        <v>38307</v>
      </c>
      <c r="B1093">
        <v>2.88</v>
      </c>
      <c r="C1093">
        <v>3.28</v>
      </c>
      <c r="D1093">
        <v>3.55</v>
      </c>
      <c r="E1093">
        <v>3.77</v>
      </c>
      <c r="F1093">
        <v>3.97</v>
      </c>
      <c r="G1093">
        <v>4.3</v>
      </c>
      <c r="H1093">
        <v>4.6399999999999997</v>
      </c>
      <c r="I1093">
        <v>5.27</v>
      </c>
      <c r="K1093">
        <f t="shared" ref="K1093:K1156" si="139">(B1093-B1092)*100</f>
        <v>4.0000000000000036</v>
      </c>
      <c r="L1093">
        <f t="shared" ref="L1093:L1156" si="140">(C1093-C1092)*100</f>
        <v>4.9999999999999822</v>
      </c>
      <c r="M1093">
        <f t="shared" ref="M1093:M1156" si="141">(D1093-D1092)*100</f>
        <v>4.0000000000000036</v>
      </c>
      <c r="N1093">
        <f t="shared" ref="N1093:N1156" si="142">(E1093-E1092)*100</f>
        <v>2.0000000000000018</v>
      </c>
      <c r="O1093">
        <f t="shared" ref="O1093:O1156" si="143">(F1093-F1092)*100</f>
        <v>2.0000000000000018</v>
      </c>
      <c r="P1093">
        <f t="shared" ref="P1093:P1156" si="144">(G1093-G1092)*100</f>
        <v>1.9999999999999574</v>
      </c>
      <c r="Q1093">
        <f t="shared" ref="Q1093:Q1156" si="145">(H1093-H1092)*100</f>
        <v>0.99999999999997868</v>
      </c>
      <c r="R1093">
        <f t="shared" ref="R1093:R1156" si="146">(I1093-I1092)*100</f>
        <v>0</v>
      </c>
    </row>
    <row r="1094" spans="1:18">
      <c r="A1094" s="9">
        <v>38308</v>
      </c>
      <c r="B1094">
        <v>2.86</v>
      </c>
      <c r="C1094">
        <v>3.25</v>
      </c>
      <c r="D1094">
        <v>3.51</v>
      </c>
      <c r="E1094">
        <v>3.74</v>
      </c>
      <c r="F1094">
        <v>3.94</v>
      </c>
      <c r="G1094">
        <v>4.26</v>
      </c>
      <c r="H1094">
        <v>4.6100000000000003</v>
      </c>
      <c r="I1094">
        <v>5.25</v>
      </c>
      <c r="K1094">
        <f t="shared" si="139"/>
        <v>-2.0000000000000018</v>
      </c>
      <c r="L1094">
        <f t="shared" si="140"/>
        <v>-2.9999999999999805</v>
      </c>
      <c r="M1094">
        <f t="shared" si="141"/>
        <v>-4.0000000000000036</v>
      </c>
      <c r="N1094">
        <f t="shared" si="142"/>
        <v>-2.9999999999999805</v>
      </c>
      <c r="O1094">
        <f t="shared" si="143"/>
        <v>-3.0000000000000249</v>
      </c>
      <c r="P1094">
        <f t="shared" si="144"/>
        <v>-4.0000000000000036</v>
      </c>
      <c r="Q1094">
        <f t="shared" si="145"/>
        <v>-2.9999999999999361</v>
      </c>
      <c r="R1094">
        <f t="shared" si="146"/>
        <v>-1.9999999999999574</v>
      </c>
    </row>
    <row r="1095" spans="1:18">
      <c r="A1095" s="9">
        <v>38309</v>
      </c>
      <c r="B1095">
        <v>2.87</v>
      </c>
      <c r="C1095">
        <v>3.25</v>
      </c>
      <c r="D1095">
        <v>3.5</v>
      </c>
      <c r="E1095">
        <v>3.72</v>
      </c>
      <c r="F1095">
        <v>3.91</v>
      </c>
      <c r="G1095">
        <v>4.2300000000000004</v>
      </c>
      <c r="H1095">
        <v>4.57</v>
      </c>
      <c r="I1095">
        <v>5.22</v>
      </c>
      <c r="K1095">
        <f t="shared" si="139"/>
        <v>1.0000000000000231</v>
      </c>
      <c r="L1095">
        <f t="shared" si="140"/>
        <v>0</v>
      </c>
      <c r="M1095">
        <f t="shared" si="141"/>
        <v>-0.99999999999997868</v>
      </c>
      <c r="N1095">
        <f t="shared" si="142"/>
        <v>-2.0000000000000018</v>
      </c>
      <c r="O1095">
        <f t="shared" si="143"/>
        <v>-2.9999999999999805</v>
      </c>
      <c r="P1095">
        <f t="shared" si="144"/>
        <v>-2.9999999999999361</v>
      </c>
      <c r="Q1095">
        <f t="shared" si="145"/>
        <v>-4.0000000000000036</v>
      </c>
      <c r="R1095">
        <f t="shared" si="146"/>
        <v>-3.0000000000000249</v>
      </c>
    </row>
    <row r="1096" spans="1:18">
      <c r="A1096" s="9">
        <v>38310</v>
      </c>
      <c r="B1096">
        <v>2.93</v>
      </c>
      <c r="C1096">
        <v>3.32</v>
      </c>
      <c r="D1096">
        <v>3.58</v>
      </c>
      <c r="E1096">
        <v>3.79</v>
      </c>
      <c r="F1096">
        <v>3.98</v>
      </c>
      <c r="G1096">
        <v>4.28</v>
      </c>
      <c r="H1096">
        <v>4.6100000000000003</v>
      </c>
      <c r="I1096">
        <v>5.24</v>
      </c>
      <c r="K1096">
        <f t="shared" si="139"/>
        <v>6.0000000000000053</v>
      </c>
      <c r="L1096">
        <f t="shared" si="140"/>
        <v>6.999999999999984</v>
      </c>
      <c r="M1096">
        <f t="shared" si="141"/>
        <v>8.0000000000000071</v>
      </c>
      <c r="N1096">
        <f t="shared" si="142"/>
        <v>6.999999999999984</v>
      </c>
      <c r="O1096">
        <f t="shared" si="143"/>
        <v>6.999999999999984</v>
      </c>
      <c r="P1096">
        <f t="shared" si="144"/>
        <v>4.9999999999999822</v>
      </c>
      <c r="Q1096">
        <f t="shared" si="145"/>
        <v>4.0000000000000036</v>
      </c>
      <c r="R1096">
        <f t="shared" si="146"/>
        <v>2.0000000000000462</v>
      </c>
    </row>
    <row r="1097" spans="1:18">
      <c r="A1097" s="9">
        <v>38313</v>
      </c>
      <c r="B1097">
        <v>2.93</v>
      </c>
      <c r="C1097">
        <v>3.32</v>
      </c>
      <c r="D1097">
        <v>3.57</v>
      </c>
      <c r="E1097">
        <v>3.78</v>
      </c>
      <c r="F1097">
        <v>3.96</v>
      </c>
      <c r="G1097">
        <v>4.2699999999999996</v>
      </c>
      <c r="H1097">
        <v>4.59</v>
      </c>
      <c r="I1097">
        <v>5.22</v>
      </c>
      <c r="K1097">
        <f t="shared" si="139"/>
        <v>0</v>
      </c>
      <c r="L1097">
        <f t="shared" si="140"/>
        <v>0</v>
      </c>
      <c r="M1097">
        <f t="shared" si="141"/>
        <v>-1.0000000000000231</v>
      </c>
      <c r="N1097">
        <f t="shared" si="142"/>
        <v>-1.0000000000000231</v>
      </c>
      <c r="O1097">
        <f t="shared" si="143"/>
        <v>-2.0000000000000018</v>
      </c>
      <c r="P1097">
        <f t="shared" si="144"/>
        <v>-1.0000000000000675</v>
      </c>
      <c r="Q1097">
        <f t="shared" si="145"/>
        <v>-2.0000000000000462</v>
      </c>
      <c r="R1097">
        <f t="shared" si="146"/>
        <v>-2.0000000000000462</v>
      </c>
    </row>
    <row r="1098" spans="1:18">
      <c r="A1098" s="9">
        <v>38314</v>
      </c>
      <c r="B1098">
        <v>2.94</v>
      </c>
      <c r="C1098">
        <v>3.34</v>
      </c>
      <c r="D1098">
        <v>3.58</v>
      </c>
      <c r="E1098">
        <v>3.78</v>
      </c>
      <c r="F1098">
        <v>3.97</v>
      </c>
      <c r="G1098">
        <v>4.26</v>
      </c>
      <c r="H1098">
        <v>4.57</v>
      </c>
      <c r="I1098">
        <v>5.18</v>
      </c>
      <c r="K1098">
        <f t="shared" si="139"/>
        <v>0.99999999999997868</v>
      </c>
      <c r="L1098">
        <f t="shared" si="140"/>
        <v>2.0000000000000018</v>
      </c>
      <c r="M1098">
        <f t="shared" si="141"/>
        <v>1.0000000000000231</v>
      </c>
      <c r="N1098">
        <f t="shared" si="142"/>
        <v>0</v>
      </c>
      <c r="O1098">
        <f t="shared" si="143"/>
        <v>1.0000000000000231</v>
      </c>
      <c r="P1098">
        <f t="shared" si="144"/>
        <v>-0.99999999999997868</v>
      </c>
      <c r="Q1098">
        <f t="shared" si="145"/>
        <v>-1.9999999999999574</v>
      </c>
      <c r="R1098">
        <f t="shared" si="146"/>
        <v>-4.0000000000000036</v>
      </c>
    </row>
    <row r="1099" spans="1:18">
      <c r="A1099" s="9">
        <v>38315</v>
      </c>
      <c r="B1099">
        <v>2.95</v>
      </c>
      <c r="C1099">
        <v>3.34</v>
      </c>
      <c r="D1099">
        <v>3.58</v>
      </c>
      <c r="E1099">
        <v>3.79</v>
      </c>
      <c r="F1099">
        <v>3.96</v>
      </c>
      <c r="G1099">
        <v>4.26</v>
      </c>
      <c r="H1099">
        <v>4.57</v>
      </c>
      <c r="I1099">
        <v>5.18</v>
      </c>
      <c r="K1099">
        <f t="shared" si="139"/>
        <v>1.0000000000000231</v>
      </c>
      <c r="L1099">
        <f t="shared" si="140"/>
        <v>0</v>
      </c>
      <c r="M1099">
        <f t="shared" si="141"/>
        <v>0</v>
      </c>
      <c r="N1099">
        <f t="shared" si="142"/>
        <v>1.0000000000000231</v>
      </c>
      <c r="O1099">
        <f t="shared" si="143"/>
        <v>-1.0000000000000231</v>
      </c>
      <c r="P1099">
        <f t="shared" si="144"/>
        <v>0</v>
      </c>
      <c r="Q1099">
        <f t="shared" si="145"/>
        <v>0</v>
      </c>
      <c r="R1099">
        <f t="shared" si="146"/>
        <v>0</v>
      </c>
    </row>
    <row r="1100" spans="1:18">
      <c r="A1100" s="9">
        <v>38317</v>
      </c>
      <c r="B1100">
        <v>2.97</v>
      </c>
      <c r="C1100">
        <v>3.39</v>
      </c>
      <c r="D1100">
        <v>3.64</v>
      </c>
      <c r="E1100">
        <v>3.84</v>
      </c>
      <c r="F1100">
        <v>4.0199999999999996</v>
      </c>
      <c r="G1100">
        <v>4.3099999999999996</v>
      </c>
      <c r="H1100">
        <v>4.63</v>
      </c>
      <c r="I1100">
        <v>5.24</v>
      </c>
      <c r="K1100">
        <f t="shared" si="139"/>
        <v>2.0000000000000018</v>
      </c>
      <c r="L1100">
        <f t="shared" si="140"/>
        <v>5.0000000000000266</v>
      </c>
      <c r="M1100">
        <f t="shared" si="141"/>
        <v>6.0000000000000053</v>
      </c>
      <c r="N1100">
        <f t="shared" si="142"/>
        <v>4.9999999999999822</v>
      </c>
      <c r="O1100">
        <f t="shared" si="143"/>
        <v>5.9999999999999609</v>
      </c>
      <c r="P1100">
        <f t="shared" si="144"/>
        <v>4.9999999999999822</v>
      </c>
      <c r="Q1100">
        <f t="shared" si="145"/>
        <v>5.9999999999999609</v>
      </c>
      <c r="R1100">
        <f t="shared" si="146"/>
        <v>6.0000000000000497</v>
      </c>
    </row>
    <row r="1101" spans="1:18">
      <c r="A1101" s="9">
        <v>38320</v>
      </c>
      <c r="B1101">
        <v>2.99</v>
      </c>
      <c r="C1101">
        <v>3.43</v>
      </c>
      <c r="D1101">
        <v>3.69</v>
      </c>
      <c r="E1101">
        <v>3.9</v>
      </c>
      <c r="F1101">
        <v>4.0999999999999996</v>
      </c>
      <c r="G1101">
        <v>4.3899999999999997</v>
      </c>
      <c r="H1101">
        <v>4.71</v>
      </c>
      <c r="I1101">
        <v>5.32</v>
      </c>
      <c r="K1101">
        <f t="shared" si="139"/>
        <v>2.0000000000000018</v>
      </c>
      <c r="L1101">
        <f t="shared" si="140"/>
        <v>4.0000000000000036</v>
      </c>
      <c r="M1101">
        <f t="shared" si="141"/>
        <v>4.9999999999999822</v>
      </c>
      <c r="N1101">
        <f t="shared" si="142"/>
        <v>6.0000000000000053</v>
      </c>
      <c r="O1101">
        <f t="shared" si="143"/>
        <v>8.0000000000000071</v>
      </c>
      <c r="P1101">
        <f t="shared" si="144"/>
        <v>8.0000000000000071</v>
      </c>
      <c r="Q1101">
        <f t="shared" si="145"/>
        <v>8.0000000000000071</v>
      </c>
      <c r="R1101">
        <f t="shared" si="146"/>
        <v>8.0000000000000071</v>
      </c>
    </row>
    <row r="1102" spans="1:18">
      <c r="A1102" s="9">
        <v>38321</v>
      </c>
      <c r="B1102">
        <v>2.97</v>
      </c>
      <c r="C1102">
        <v>3.4</v>
      </c>
      <c r="D1102">
        <v>3.69</v>
      </c>
      <c r="E1102">
        <v>3.91</v>
      </c>
      <c r="F1102">
        <v>4.1100000000000003</v>
      </c>
      <c r="G1102">
        <v>4.42</v>
      </c>
      <c r="H1102">
        <v>4.7699999999999996</v>
      </c>
      <c r="I1102">
        <v>5.37</v>
      </c>
      <c r="K1102">
        <f t="shared" si="139"/>
        <v>-2.0000000000000018</v>
      </c>
      <c r="L1102">
        <f t="shared" si="140"/>
        <v>-3.0000000000000249</v>
      </c>
      <c r="M1102">
        <f t="shared" si="141"/>
        <v>0</v>
      </c>
      <c r="N1102">
        <f t="shared" si="142"/>
        <v>1.0000000000000231</v>
      </c>
      <c r="O1102">
        <f t="shared" si="143"/>
        <v>1.0000000000000675</v>
      </c>
      <c r="P1102">
        <f t="shared" si="144"/>
        <v>3.0000000000000249</v>
      </c>
      <c r="Q1102">
        <f t="shared" si="145"/>
        <v>5.9999999999999609</v>
      </c>
      <c r="R1102">
        <f t="shared" si="146"/>
        <v>4.9999999999999822</v>
      </c>
    </row>
    <row r="1103" spans="1:18">
      <c r="A1103" s="9">
        <v>38322</v>
      </c>
      <c r="B1103">
        <v>2.97</v>
      </c>
      <c r="C1103">
        <v>3.38</v>
      </c>
      <c r="D1103">
        <v>3.66</v>
      </c>
      <c r="E1103">
        <v>3.9</v>
      </c>
      <c r="F1103">
        <v>4.1100000000000003</v>
      </c>
      <c r="G1103">
        <v>4.43</v>
      </c>
      <c r="H1103">
        <v>4.78</v>
      </c>
      <c r="I1103">
        <v>5.41</v>
      </c>
      <c r="K1103">
        <f t="shared" si="139"/>
        <v>0</v>
      </c>
      <c r="L1103">
        <f t="shared" si="140"/>
        <v>-2.0000000000000018</v>
      </c>
      <c r="M1103">
        <f t="shared" si="141"/>
        <v>-2.9999999999999805</v>
      </c>
      <c r="N1103">
        <f t="shared" si="142"/>
        <v>-1.0000000000000231</v>
      </c>
      <c r="O1103">
        <f t="shared" si="143"/>
        <v>0</v>
      </c>
      <c r="P1103">
        <f t="shared" si="144"/>
        <v>0.99999999999997868</v>
      </c>
      <c r="Q1103">
        <f t="shared" si="145"/>
        <v>1.0000000000000675</v>
      </c>
      <c r="R1103">
        <f t="shared" si="146"/>
        <v>4.0000000000000036</v>
      </c>
    </row>
    <row r="1104" spans="1:18">
      <c r="A1104" s="9">
        <v>38323</v>
      </c>
      <c r="B1104">
        <v>3.01</v>
      </c>
      <c r="C1104">
        <v>3.44</v>
      </c>
      <c r="D1104">
        <v>3.72</v>
      </c>
      <c r="E1104">
        <v>3.96</v>
      </c>
      <c r="F1104">
        <v>4.18</v>
      </c>
      <c r="G1104">
        <v>4.4800000000000004</v>
      </c>
      <c r="H1104">
        <v>4.82</v>
      </c>
      <c r="I1104">
        <v>5.43</v>
      </c>
      <c r="K1104">
        <f t="shared" si="139"/>
        <v>3.9999999999999591</v>
      </c>
      <c r="L1104">
        <f t="shared" si="140"/>
        <v>6.0000000000000053</v>
      </c>
      <c r="M1104">
        <f t="shared" si="141"/>
        <v>6.0000000000000053</v>
      </c>
      <c r="N1104">
        <f t="shared" si="142"/>
        <v>6.0000000000000053</v>
      </c>
      <c r="O1104">
        <f t="shared" si="143"/>
        <v>6.9999999999999396</v>
      </c>
      <c r="P1104">
        <f t="shared" si="144"/>
        <v>5.0000000000000711</v>
      </c>
      <c r="Q1104">
        <f t="shared" si="145"/>
        <v>4.0000000000000036</v>
      </c>
      <c r="R1104">
        <f t="shared" si="146"/>
        <v>1.9999999999999574</v>
      </c>
    </row>
    <row r="1105" spans="1:18">
      <c r="A1105" s="9">
        <v>38324</v>
      </c>
      <c r="B1105">
        <v>2.91</v>
      </c>
      <c r="C1105">
        <v>3.27</v>
      </c>
      <c r="D1105">
        <v>3.54</v>
      </c>
      <c r="E1105">
        <v>3.78</v>
      </c>
      <c r="F1105">
        <v>3.98</v>
      </c>
      <c r="G1105">
        <v>4.3099999999999996</v>
      </c>
      <c r="H1105">
        <v>4.67</v>
      </c>
      <c r="I1105">
        <v>5.32</v>
      </c>
      <c r="K1105">
        <f t="shared" si="139"/>
        <v>-9.9999999999999645</v>
      </c>
      <c r="L1105">
        <f t="shared" si="140"/>
        <v>-16.999999999999993</v>
      </c>
      <c r="M1105">
        <f t="shared" si="141"/>
        <v>-18.000000000000014</v>
      </c>
      <c r="N1105">
        <f t="shared" si="142"/>
        <v>-18.000000000000014</v>
      </c>
      <c r="O1105">
        <f t="shared" si="143"/>
        <v>-19.999999999999972</v>
      </c>
      <c r="P1105">
        <f t="shared" si="144"/>
        <v>-17.000000000000082</v>
      </c>
      <c r="Q1105">
        <f t="shared" si="145"/>
        <v>-15.000000000000036</v>
      </c>
      <c r="R1105">
        <f t="shared" si="146"/>
        <v>-10.999999999999943</v>
      </c>
    </row>
    <row r="1106" spans="1:18">
      <c r="A1106" s="9">
        <v>38327</v>
      </c>
      <c r="B1106">
        <v>2.93</v>
      </c>
      <c r="C1106">
        <v>3.31</v>
      </c>
      <c r="D1106">
        <v>3.57</v>
      </c>
      <c r="E1106">
        <v>3.79</v>
      </c>
      <c r="F1106">
        <v>3.99</v>
      </c>
      <c r="G1106">
        <v>4.3099999999999996</v>
      </c>
      <c r="H1106">
        <v>4.6500000000000004</v>
      </c>
      <c r="I1106">
        <v>5.29</v>
      </c>
      <c r="K1106">
        <f t="shared" si="139"/>
        <v>2.0000000000000018</v>
      </c>
      <c r="L1106">
        <f t="shared" si="140"/>
        <v>4.0000000000000036</v>
      </c>
      <c r="M1106">
        <f t="shared" si="141"/>
        <v>2.9999999999999805</v>
      </c>
      <c r="N1106">
        <f t="shared" si="142"/>
        <v>1.0000000000000231</v>
      </c>
      <c r="O1106">
        <f t="shared" si="143"/>
        <v>1.0000000000000231</v>
      </c>
      <c r="P1106">
        <f t="shared" si="144"/>
        <v>0</v>
      </c>
      <c r="Q1106">
        <f t="shared" si="145"/>
        <v>-1.9999999999999574</v>
      </c>
      <c r="R1106">
        <f t="shared" si="146"/>
        <v>-3.0000000000000249</v>
      </c>
    </row>
    <row r="1107" spans="1:18">
      <c r="A1107" s="9">
        <v>38328</v>
      </c>
      <c r="B1107">
        <v>2.94</v>
      </c>
      <c r="C1107">
        <v>3.32</v>
      </c>
      <c r="D1107">
        <v>3.58</v>
      </c>
      <c r="E1107">
        <v>3.8</v>
      </c>
      <c r="F1107">
        <v>3.99</v>
      </c>
      <c r="G1107">
        <v>4.3</v>
      </c>
      <c r="H1107">
        <v>4.6399999999999997</v>
      </c>
      <c r="I1107">
        <v>5.28</v>
      </c>
      <c r="K1107">
        <f t="shared" si="139"/>
        <v>0.99999999999997868</v>
      </c>
      <c r="L1107">
        <f t="shared" si="140"/>
        <v>0.99999999999997868</v>
      </c>
      <c r="M1107">
        <f t="shared" si="141"/>
        <v>1.0000000000000231</v>
      </c>
      <c r="N1107">
        <f t="shared" si="142"/>
        <v>0.99999999999997868</v>
      </c>
      <c r="O1107">
        <f t="shared" si="143"/>
        <v>0</v>
      </c>
      <c r="P1107">
        <f t="shared" si="144"/>
        <v>-0.99999999999997868</v>
      </c>
      <c r="Q1107">
        <f t="shared" si="145"/>
        <v>-1.0000000000000675</v>
      </c>
      <c r="R1107">
        <f t="shared" si="146"/>
        <v>-0.99999999999997868</v>
      </c>
    </row>
    <row r="1108" spans="1:18">
      <c r="A1108" s="9">
        <v>38329</v>
      </c>
      <c r="B1108">
        <v>2.93</v>
      </c>
      <c r="C1108">
        <v>3.29</v>
      </c>
      <c r="D1108">
        <v>3.53</v>
      </c>
      <c r="E1108">
        <v>3.74</v>
      </c>
      <c r="F1108">
        <v>3.92</v>
      </c>
      <c r="G1108">
        <v>4.2300000000000004</v>
      </c>
      <c r="H1108">
        <v>4.5599999999999996</v>
      </c>
      <c r="I1108">
        <v>5.2</v>
      </c>
      <c r="K1108">
        <f t="shared" si="139"/>
        <v>-0.99999999999997868</v>
      </c>
      <c r="L1108">
        <f t="shared" si="140"/>
        <v>-2.9999999999999805</v>
      </c>
      <c r="M1108">
        <f t="shared" si="141"/>
        <v>-5.0000000000000266</v>
      </c>
      <c r="N1108">
        <f t="shared" si="142"/>
        <v>-5.9999999999999609</v>
      </c>
      <c r="O1108">
        <f t="shared" si="143"/>
        <v>-7.0000000000000284</v>
      </c>
      <c r="P1108">
        <f t="shared" si="144"/>
        <v>-6.9999999999999396</v>
      </c>
      <c r="Q1108">
        <f t="shared" si="145"/>
        <v>-8.0000000000000071</v>
      </c>
      <c r="R1108">
        <f t="shared" si="146"/>
        <v>-8.0000000000000071</v>
      </c>
    </row>
    <row r="1109" spans="1:18">
      <c r="A1109" s="9">
        <v>38330</v>
      </c>
      <c r="B1109">
        <v>2.92</v>
      </c>
      <c r="C1109">
        <v>3.24</v>
      </c>
      <c r="D1109">
        <v>3.47</v>
      </c>
      <c r="E1109">
        <v>3.68</v>
      </c>
      <c r="F1109">
        <v>3.86</v>
      </c>
      <c r="G1109">
        <v>4.16</v>
      </c>
      <c r="H1109">
        <v>4.51</v>
      </c>
      <c r="I1109">
        <v>5.16</v>
      </c>
      <c r="K1109">
        <f t="shared" si="139"/>
        <v>-1.0000000000000231</v>
      </c>
      <c r="L1109">
        <f t="shared" si="140"/>
        <v>-4.9999999999999822</v>
      </c>
      <c r="M1109">
        <f t="shared" si="141"/>
        <v>-5.9999999999999609</v>
      </c>
      <c r="N1109">
        <f t="shared" si="142"/>
        <v>-6.0000000000000053</v>
      </c>
      <c r="O1109">
        <f t="shared" si="143"/>
        <v>-6.0000000000000053</v>
      </c>
      <c r="P1109">
        <f t="shared" si="144"/>
        <v>-7.0000000000000284</v>
      </c>
      <c r="Q1109">
        <f t="shared" si="145"/>
        <v>-4.9999999999999822</v>
      </c>
      <c r="R1109">
        <f t="shared" si="146"/>
        <v>-4.0000000000000036</v>
      </c>
    </row>
    <row r="1110" spans="1:18">
      <c r="A1110" s="9">
        <v>38331</v>
      </c>
      <c r="B1110">
        <v>2.95</v>
      </c>
      <c r="C1110">
        <v>3.28</v>
      </c>
      <c r="D1110">
        <v>3.51</v>
      </c>
      <c r="E1110">
        <v>3.71</v>
      </c>
      <c r="F1110">
        <v>3.89</v>
      </c>
      <c r="G1110">
        <v>4.1900000000000004</v>
      </c>
      <c r="H1110">
        <v>4.53</v>
      </c>
      <c r="I1110">
        <v>5.19</v>
      </c>
      <c r="K1110">
        <f t="shared" si="139"/>
        <v>3.0000000000000249</v>
      </c>
      <c r="L1110">
        <f t="shared" si="140"/>
        <v>3.9999999999999591</v>
      </c>
      <c r="M1110">
        <f t="shared" si="141"/>
        <v>3.9999999999999591</v>
      </c>
      <c r="N1110">
        <f t="shared" si="142"/>
        <v>2.9999999999999805</v>
      </c>
      <c r="O1110">
        <f t="shared" si="143"/>
        <v>3.0000000000000249</v>
      </c>
      <c r="P1110">
        <f t="shared" si="144"/>
        <v>3.0000000000000249</v>
      </c>
      <c r="Q1110">
        <f t="shared" si="145"/>
        <v>2.0000000000000462</v>
      </c>
      <c r="R1110">
        <f t="shared" si="146"/>
        <v>3.0000000000000249</v>
      </c>
    </row>
    <row r="1111" spans="1:18">
      <c r="A1111" s="9">
        <v>38334</v>
      </c>
      <c r="B1111">
        <v>2.99</v>
      </c>
      <c r="C1111">
        <v>3.33</v>
      </c>
      <c r="D1111">
        <v>3.55</v>
      </c>
      <c r="E1111">
        <v>3.74</v>
      </c>
      <c r="F1111">
        <v>3.91</v>
      </c>
      <c r="G1111">
        <v>4.21</v>
      </c>
      <c r="H1111">
        <v>4.55</v>
      </c>
      <c r="I1111">
        <v>5.19</v>
      </c>
      <c r="K1111">
        <f t="shared" si="139"/>
        <v>4.0000000000000036</v>
      </c>
      <c r="L1111">
        <f t="shared" si="140"/>
        <v>5.0000000000000266</v>
      </c>
      <c r="M1111">
        <f t="shared" si="141"/>
        <v>4.0000000000000036</v>
      </c>
      <c r="N1111">
        <f t="shared" si="142"/>
        <v>3.0000000000000249</v>
      </c>
      <c r="O1111">
        <f t="shared" si="143"/>
        <v>2.0000000000000018</v>
      </c>
      <c r="P1111">
        <f t="shared" si="144"/>
        <v>1.9999999999999574</v>
      </c>
      <c r="Q1111">
        <f t="shared" si="145"/>
        <v>1.9999999999999574</v>
      </c>
      <c r="R1111">
        <f t="shared" si="146"/>
        <v>0</v>
      </c>
    </row>
    <row r="1112" spans="1:18">
      <c r="A1112" s="9">
        <v>38335</v>
      </c>
      <c r="B1112">
        <v>3.02</v>
      </c>
      <c r="C1112">
        <v>3.36</v>
      </c>
      <c r="D1112">
        <v>3.58</v>
      </c>
      <c r="E1112">
        <v>3.78</v>
      </c>
      <c r="F1112">
        <v>3.95</v>
      </c>
      <c r="G1112">
        <v>4.25</v>
      </c>
      <c r="H1112">
        <v>4.59</v>
      </c>
      <c r="I1112">
        <v>5.22</v>
      </c>
      <c r="K1112">
        <f t="shared" si="139"/>
        <v>2.9999999999999805</v>
      </c>
      <c r="L1112">
        <f t="shared" si="140"/>
        <v>2.9999999999999805</v>
      </c>
      <c r="M1112">
        <f t="shared" si="141"/>
        <v>3.0000000000000249</v>
      </c>
      <c r="N1112">
        <f t="shared" si="142"/>
        <v>3.9999999999999591</v>
      </c>
      <c r="O1112">
        <f t="shared" si="143"/>
        <v>4.0000000000000036</v>
      </c>
      <c r="P1112">
        <f t="shared" si="144"/>
        <v>4.0000000000000036</v>
      </c>
      <c r="Q1112">
        <f t="shared" si="145"/>
        <v>4.0000000000000036</v>
      </c>
      <c r="R1112">
        <f t="shared" si="146"/>
        <v>2.9999999999999361</v>
      </c>
    </row>
    <row r="1113" spans="1:18">
      <c r="A1113" s="9">
        <v>38336</v>
      </c>
      <c r="B1113">
        <v>3.01</v>
      </c>
      <c r="C1113">
        <v>3.32</v>
      </c>
      <c r="D1113">
        <v>3.53</v>
      </c>
      <c r="E1113">
        <v>3.7</v>
      </c>
      <c r="F1113">
        <v>3.86</v>
      </c>
      <c r="G1113">
        <v>4.1500000000000004</v>
      </c>
      <c r="H1113">
        <v>4.4800000000000004</v>
      </c>
      <c r="I1113">
        <v>5.0999999999999996</v>
      </c>
      <c r="K1113">
        <f t="shared" si="139"/>
        <v>-1.0000000000000231</v>
      </c>
      <c r="L1113">
        <f t="shared" si="140"/>
        <v>-4.0000000000000036</v>
      </c>
      <c r="M1113">
        <f t="shared" si="141"/>
        <v>-5.0000000000000266</v>
      </c>
      <c r="N1113">
        <f t="shared" si="142"/>
        <v>-7.9999999999999627</v>
      </c>
      <c r="O1113">
        <f t="shared" si="143"/>
        <v>-9.0000000000000302</v>
      </c>
      <c r="P1113">
        <f t="shared" si="144"/>
        <v>-9.9999999999999645</v>
      </c>
      <c r="Q1113">
        <f t="shared" si="145"/>
        <v>-10.999999999999943</v>
      </c>
      <c r="R1113">
        <f t="shared" si="146"/>
        <v>-12.000000000000011</v>
      </c>
    </row>
    <row r="1114" spans="1:18">
      <c r="A1114" s="9">
        <v>38337</v>
      </c>
      <c r="B1114">
        <v>3.03</v>
      </c>
      <c r="C1114">
        <v>3.35</v>
      </c>
      <c r="D1114">
        <v>3.56</v>
      </c>
      <c r="E1114">
        <v>3.74</v>
      </c>
      <c r="F1114">
        <v>3.92</v>
      </c>
      <c r="G1114">
        <v>4.21</v>
      </c>
      <c r="H1114">
        <v>4.54</v>
      </c>
      <c r="I1114">
        <v>5.17</v>
      </c>
      <c r="K1114">
        <f t="shared" si="139"/>
        <v>2.0000000000000018</v>
      </c>
      <c r="L1114">
        <f t="shared" si="140"/>
        <v>3.0000000000000249</v>
      </c>
      <c r="M1114">
        <f t="shared" si="141"/>
        <v>3.0000000000000249</v>
      </c>
      <c r="N1114">
        <f t="shared" si="142"/>
        <v>4.0000000000000036</v>
      </c>
      <c r="O1114">
        <f t="shared" si="143"/>
        <v>6.0000000000000053</v>
      </c>
      <c r="P1114">
        <f t="shared" si="144"/>
        <v>5.9999999999999609</v>
      </c>
      <c r="Q1114">
        <f t="shared" si="145"/>
        <v>5.9999999999999609</v>
      </c>
      <c r="R1114">
        <f t="shared" si="146"/>
        <v>7.0000000000000284</v>
      </c>
    </row>
    <row r="1115" spans="1:18">
      <c r="A1115" s="9">
        <v>38338</v>
      </c>
      <c r="B1115">
        <v>3.06</v>
      </c>
      <c r="C1115">
        <v>3.39</v>
      </c>
      <c r="D1115">
        <v>3.61</v>
      </c>
      <c r="E1115">
        <v>3.79</v>
      </c>
      <c r="F1115">
        <v>3.97</v>
      </c>
      <c r="G1115">
        <v>4.26</v>
      </c>
      <c r="H1115">
        <v>4.5999999999999996</v>
      </c>
      <c r="I1115">
        <v>5.22</v>
      </c>
      <c r="K1115">
        <f t="shared" si="139"/>
        <v>3.0000000000000249</v>
      </c>
      <c r="L1115">
        <f t="shared" si="140"/>
        <v>4.0000000000000036</v>
      </c>
      <c r="M1115">
        <f t="shared" si="141"/>
        <v>4.9999999999999822</v>
      </c>
      <c r="N1115">
        <f t="shared" si="142"/>
        <v>4.9999999999999822</v>
      </c>
      <c r="O1115">
        <f t="shared" si="143"/>
        <v>5.0000000000000266</v>
      </c>
      <c r="P1115">
        <f t="shared" si="144"/>
        <v>4.9999999999999822</v>
      </c>
      <c r="Q1115">
        <f t="shared" si="145"/>
        <v>5.9999999999999609</v>
      </c>
      <c r="R1115">
        <f t="shared" si="146"/>
        <v>4.9999999999999822</v>
      </c>
    </row>
    <row r="1116" spans="1:18">
      <c r="A1116" s="9">
        <v>38341</v>
      </c>
      <c r="B1116">
        <v>3.06</v>
      </c>
      <c r="C1116">
        <v>3.4</v>
      </c>
      <c r="D1116">
        <v>3.61</v>
      </c>
      <c r="E1116">
        <v>3.79</v>
      </c>
      <c r="F1116">
        <v>3.96</v>
      </c>
      <c r="G1116">
        <v>4.25</v>
      </c>
      <c r="H1116">
        <v>4.58</v>
      </c>
      <c r="I1116">
        <v>5.2</v>
      </c>
      <c r="K1116">
        <f t="shared" si="139"/>
        <v>0</v>
      </c>
      <c r="L1116">
        <f t="shared" si="140"/>
        <v>0.99999999999997868</v>
      </c>
      <c r="M1116">
        <f t="shared" si="141"/>
        <v>0</v>
      </c>
      <c r="N1116">
        <f t="shared" si="142"/>
        <v>0</v>
      </c>
      <c r="O1116">
        <f t="shared" si="143"/>
        <v>-1.0000000000000231</v>
      </c>
      <c r="P1116">
        <f t="shared" si="144"/>
        <v>-0.99999999999997868</v>
      </c>
      <c r="Q1116">
        <f t="shared" si="145"/>
        <v>-1.9999999999999574</v>
      </c>
      <c r="R1116">
        <f t="shared" si="146"/>
        <v>-1.9999999999999574</v>
      </c>
    </row>
    <row r="1117" spans="1:18">
      <c r="A1117" s="9">
        <v>38342</v>
      </c>
      <c r="B1117">
        <v>3.1</v>
      </c>
      <c r="C1117">
        <v>3.45</v>
      </c>
      <c r="D1117">
        <v>3.65</v>
      </c>
      <c r="E1117">
        <v>3.83</v>
      </c>
      <c r="F1117">
        <v>3.99</v>
      </c>
      <c r="G1117">
        <v>4.28</v>
      </c>
      <c r="H1117">
        <v>4.5999999999999996</v>
      </c>
      <c r="I1117">
        <v>5.21</v>
      </c>
      <c r="K1117">
        <f t="shared" si="139"/>
        <v>4.0000000000000036</v>
      </c>
      <c r="L1117">
        <f t="shared" si="140"/>
        <v>5.0000000000000266</v>
      </c>
      <c r="M1117">
        <f t="shared" si="141"/>
        <v>4.0000000000000036</v>
      </c>
      <c r="N1117">
        <f t="shared" si="142"/>
        <v>4.0000000000000036</v>
      </c>
      <c r="O1117">
        <f t="shared" si="143"/>
        <v>3.0000000000000249</v>
      </c>
      <c r="P1117">
        <f t="shared" si="144"/>
        <v>3.0000000000000249</v>
      </c>
      <c r="Q1117">
        <f t="shared" si="145"/>
        <v>1.9999999999999574</v>
      </c>
      <c r="R1117">
        <f t="shared" si="146"/>
        <v>0.99999999999997868</v>
      </c>
    </row>
    <row r="1118" spans="1:18">
      <c r="A1118" s="9">
        <v>38343</v>
      </c>
      <c r="B1118">
        <v>3.1</v>
      </c>
      <c r="C1118">
        <v>3.45</v>
      </c>
      <c r="D1118">
        <v>3.65</v>
      </c>
      <c r="E1118">
        <v>3.83</v>
      </c>
      <c r="F1118">
        <v>3.99</v>
      </c>
      <c r="G1118">
        <v>4.28</v>
      </c>
      <c r="H1118">
        <v>4.62</v>
      </c>
      <c r="I1118">
        <v>5.24</v>
      </c>
      <c r="K1118">
        <f t="shared" si="139"/>
        <v>0</v>
      </c>
      <c r="L1118">
        <f t="shared" si="140"/>
        <v>0</v>
      </c>
      <c r="M1118">
        <f t="shared" si="141"/>
        <v>0</v>
      </c>
      <c r="N1118">
        <f t="shared" si="142"/>
        <v>0</v>
      </c>
      <c r="O1118">
        <f t="shared" si="143"/>
        <v>0</v>
      </c>
      <c r="P1118">
        <f t="shared" si="144"/>
        <v>0</v>
      </c>
      <c r="Q1118">
        <f t="shared" si="145"/>
        <v>2.0000000000000462</v>
      </c>
      <c r="R1118">
        <f t="shared" si="146"/>
        <v>3.0000000000000249</v>
      </c>
    </row>
    <row r="1119" spans="1:18">
      <c r="A1119" s="9">
        <v>38344</v>
      </c>
      <c r="B1119">
        <v>3.09</v>
      </c>
      <c r="C1119">
        <v>3.43</v>
      </c>
      <c r="D1119">
        <v>3.64</v>
      </c>
      <c r="E1119">
        <v>3.82</v>
      </c>
      <c r="F1119">
        <v>4</v>
      </c>
      <c r="G1119">
        <v>4.3</v>
      </c>
      <c r="H1119">
        <v>4.63</v>
      </c>
      <c r="I1119">
        <v>5.25</v>
      </c>
      <c r="K1119">
        <f t="shared" si="139"/>
        <v>-1.0000000000000231</v>
      </c>
      <c r="L1119">
        <f t="shared" si="140"/>
        <v>-2.0000000000000018</v>
      </c>
      <c r="M1119">
        <f t="shared" si="141"/>
        <v>-0.99999999999997868</v>
      </c>
      <c r="N1119">
        <f t="shared" si="142"/>
        <v>-1.0000000000000231</v>
      </c>
      <c r="O1119">
        <f t="shared" si="143"/>
        <v>0.99999999999997868</v>
      </c>
      <c r="P1119">
        <f t="shared" si="144"/>
        <v>1.9999999999999574</v>
      </c>
      <c r="Q1119">
        <f t="shared" si="145"/>
        <v>0.99999999999997868</v>
      </c>
      <c r="R1119">
        <f t="shared" si="146"/>
        <v>0.99999999999997868</v>
      </c>
    </row>
    <row r="1120" spans="1:18">
      <c r="A1120" s="9">
        <v>38348</v>
      </c>
      <c r="B1120">
        <v>3.1</v>
      </c>
      <c r="C1120">
        <v>3.45</v>
      </c>
      <c r="D1120">
        <v>3.67</v>
      </c>
      <c r="E1120">
        <v>3.87</v>
      </c>
      <c r="F1120">
        <v>4.05</v>
      </c>
      <c r="G1120">
        <v>4.3600000000000003</v>
      </c>
      <c r="H1120">
        <v>4.7</v>
      </c>
      <c r="I1120">
        <v>5.31</v>
      </c>
      <c r="K1120">
        <f t="shared" si="139"/>
        <v>1.0000000000000231</v>
      </c>
      <c r="L1120">
        <f t="shared" si="140"/>
        <v>2.0000000000000018</v>
      </c>
      <c r="M1120">
        <f t="shared" si="141"/>
        <v>2.9999999999999805</v>
      </c>
      <c r="N1120">
        <f t="shared" si="142"/>
        <v>5.0000000000000266</v>
      </c>
      <c r="O1120">
        <f t="shared" si="143"/>
        <v>4.9999999999999822</v>
      </c>
      <c r="P1120">
        <f t="shared" si="144"/>
        <v>6.0000000000000497</v>
      </c>
      <c r="Q1120">
        <f t="shared" si="145"/>
        <v>7.0000000000000284</v>
      </c>
      <c r="R1120">
        <f t="shared" si="146"/>
        <v>5.9999999999999609</v>
      </c>
    </row>
    <row r="1121" spans="1:18">
      <c r="A1121" s="9">
        <v>38349</v>
      </c>
      <c r="B1121">
        <v>3.12</v>
      </c>
      <c r="C1121">
        <v>3.48</v>
      </c>
      <c r="D1121">
        <v>3.71</v>
      </c>
      <c r="E1121">
        <v>3.91</v>
      </c>
      <c r="F1121">
        <v>4.0999999999999996</v>
      </c>
      <c r="G1121">
        <v>4.41</v>
      </c>
      <c r="H1121">
        <v>4.76</v>
      </c>
      <c r="I1121">
        <v>5.35</v>
      </c>
      <c r="K1121">
        <f t="shared" si="139"/>
        <v>2.0000000000000018</v>
      </c>
      <c r="L1121">
        <f t="shared" si="140"/>
        <v>2.9999999999999805</v>
      </c>
      <c r="M1121">
        <f t="shared" si="141"/>
        <v>4.0000000000000036</v>
      </c>
      <c r="N1121">
        <f t="shared" si="142"/>
        <v>4.0000000000000036</v>
      </c>
      <c r="O1121">
        <f t="shared" si="143"/>
        <v>4.9999999999999822</v>
      </c>
      <c r="P1121">
        <f t="shared" si="144"/>
        <v>4.9999999999999822</v>
      </c>
      <c r="Q1121">
        <f t="shared" si="145"/>
        <v>5.9999999999999609</v>
      </c>
      <c r="R1121">
        <f t="shared" si="146"/>
        <v>4.0000000000000036</v>
      </c>
    </row>
    <row r="1122" spans="1:18">
      <c r="A1122" s="9">
        <v>38350</v>
      </c>
      <c r="B1122">
        <v>3.1</v>
      </c>
      <c r="C1122">
        <v>3.46</v>
      </c>
      <c r="D1122">
        <v>3.69</v>
      </c>
      <c r="E1122">
        <v>3.88</v>
      </c>
      <c r="F1122">
        <v>4.0599999999999996</v>
      </c>
      <c r="G1122">
        <v>4.3600000000000003</v>
      </c>
      <c r="H1122">
        <v>4.7</v>
      </c>
      <c r="I1122">
        <v>5.31</v>
      </c>
      <c r="K1122">
        <f t="shared" si="139"/>
        <v>-2.0000000000000018</v>
      </c>
      <c r="L1122">
        <f t="shared" si="140"/>
        <v>-2.0000000000000018</v>
      </c>
      <c r="M1122">
        <f t="shared" si="141"/>
        <v>-2.0000000000000018</v>
      </c>
      <c r="N1122">
        <f t="shared" si="142"/>
        <v>-3.0000000000000249</v>
      </c>
      <c r="O1122">
        <f t="shared" si="143"/>
        <v>-4.0000000000000036</v>
      </c>
      <c r="P1122">
        <f t="shared" si="144"/>
        <v>-4.9999999999999822</v>
      </c>
      <c r="Q1122">
        <f t="shared" si="145"/>
        <v>-5.9999999999999609</v>
      </c>
      <c r="R1122">
        <f t="shared" si="146"/>
        <v>-4.0000000000000036</v>
      </c>
    </row>
    <row r="1123" spans="1:18">
      <c r="A1123" s="9">
        <v>38351</v>
      </c>
      <c r="B1123">
        <v>3.12</v>
      </c>
      <c r="C1123">
        <v>3.48</v>
      </c>
      <c r="D1123">
        <v>3.7</v>
      </c>
      <c r="E1123">
        <v>3.89</v>
      </c>
      <c r="F1123">
        <v>4.0599999999999996</v>
      </c>
      <c r="G1123">
        <v>4.3499999999999996</v>
      </c>
      <c r="H1123">
        <v>4.68</v>
      </c>
      <c r="I1123">
        <v>5.28</v>
      </c>
      <c r="K1123">
        <f t="shared" si="139"/>
        <v>2.0000000000000018</v>
      </c>
      <c r="L1123">
        <f t="shared" si="140"/>
        <v>2.0000000000000018</v>
      </c>
      <c r="M1123">
        <f t="shared" si="141"/>
        <v>1.0000000000000231</v>
      </c>
      <c r="N1123">
        <f t="shared" si="142"/>
        <v>1.0000000000000231</v>
      </c>
      <c r="O1123">
        <f t="shared" si="143"/>
        <v>0</v>
      </c>
      <c r="P1123">
        <f t="shared" si="144"/>
        <v>-1.0000000000000675</v>
      </c>
      <c r="Q1123">
        <f t="shared" si="145"/>
        <v>-2.0000000000000462</v>
      </c>
      <c r="R1123">
        <f t="shared" si="146"/>
        <v>-2.9999999999999361</v>
      </c>
    </row>
    <row r="1124" spans="1:18">
      <c r="A1124" s="9">
        <v>38352</v>
      </c>
      <c r="B1124">
        <v>3.09</v>
      </c>
      <c r="C1124">
        <v>3.44</v>
      </c>
      <c r="D1124">
        <v>3.67</v>
      </c>
      <c r="E1124">
        <v>3.86</v>
      </c>
      <c r="F1124">
        <v>4.03</v>
      </c>
      <c r="G1124">
        <v>4.32</v>
      </c>
      <c r="H1124">
        <v>4.6500000000000004</v>
      </c>
      <c r="I1124">
        <v>5.24</v>
      </c>
      <c r="K1124">
        <f t="shared" si="139"/>
        <v>-3.0000000000000249</v>
      </c>
      <c r="L1124">
        <f t="shared" si="140"/>
        <v>-4.0000000000000036</v>
      </c>
      <c r="M1124">
        <f t="shared" si="141"/>
        <v>-3.0000000000000249</v>
      </c>
      <c r="N1124">
        <f t="shared" si="142"/>
        <v>-3.0000000000000249</v>
      </c>
      <c r="O1124">
        <f t="shared" si="143"/>
        <v>-2.9999999999999361</v>
      </c>
      <c r="P1124">
        <f t="shared" si="144"/>
        <v>-2.9999999999999361</v>
      </c>
      <c r="Q1124">
        <f t="shared" si="145"/>
        <v>-2.9999999999999361</v>
      </c>
      <c r="R1124">
        <f t="shared" si="146"/>
        <v>-4.0000000000000036</v>
      </c>
    </row>
    <row r="1125" spans="1:18">
      <c r="A1125" s="9">
        <v>38355</v>
      </c>
      <c r="B1125">
        <v>3.11</v>
      </c>
      <c r="C1125">
        <v>3.47</v>
      </c>
      <c r="D1125">
        <v>3.69</v>
      </c>
      <c r="E1125">
        <v>3.88</v>
      </c>
      <c r="F1125">
        <v>4.05</v>
      </c>
      <c r="G1125">
        <v>4.32</v>
      </c>
      <c r="H1125">
        <v>4.6399999999999997</v>
      </c>
      <c r="I1125">
        <v>5.23</v>
      </c>
      <c r="K1125">
        <f t="shared" si="139"/>
        <v>2.0000000000000018</v>
      </c>
      <c r="L1125">
        <f t="shared" si="140"/>
        <v>3.0000000000000249</v>
      </c>
      <c r="M1125">
        <f t="shared" si="141"/>
        <v>2.0000000000000018</v>
      </c>
      <c r="N1125">
        <f t="shared" si="142"/>
        <v>2.0000000000000018</v>
      </c>
      <c r="O1125">
        <f t="shared" si="143"/>
        <v>1.9999999999999574</v>
      </c>
      <c r="P1125">
        <f t="shared" si="144"/>
        <v>0</v>
      </c>
      <c r="Q1125">
        <f t="shared" si="145"/>
        <v>-1.0000000000000675</v>
      </c>
      <c r="R1125">
        <f t="shared" si="146"/>
        <v>-0.99999999999997868</v>
      </c>
    </row>
    <row r="1126" spans="1:18">
      <c r="A1126" s="9">
        <v>38356</v>
      </c>
      <c r="B1126">
        <v>3.13</v>
      </c>
      <c r="C1126">
        <v>3.49</v>
      </c>
      <c r="D1126">
        <v>3.71</v>
      </c>
      <c r="E1126">
        <v>3.89</v>
      </c>
      <c r="F1126">
        <v>4.0599999999999996</v>
      </c>
      <c r="G1126">
        <v>4.33</v>
      </c>
      <c r="H1126">
        <v>4.6500000000000004</v>
      </c>
      <c r="I1126">
        <v>5.23</v>
      </c>
      <c r="K1126">
        <f t="shared" si="139"/>
        <v>2.0000000000000018</v>
      </c>
      <c r="L1126">
        <f t="shared" si="140"/>
        <v>2.0000000000000018</v>
      </c>
      <c r="M1126">
        <f t="shared" si="141"/>
        <v>2.0000000000000018</v>
      </c>
      <c r="N1126">
        <f t="shared" si="142"/>
        <v>1.0000000000000231</v>
      </c>
      <c r="O1126">
        <f t="shared" si="143"/>
        <v>0.99999999999997868</v>
      </c>
      <c r="P1126">
        <f t="shared" si="144"/>
        <v>0.99999999999997868</v>
      </c>
      <c r="Q1126">
        <f t="shared" si="145"/>
        <v>1.0000000000000675</v>
      </c>
      <c r="R1126">
        <f t="shared" si="146"/>
        <v>0</v>
      </c>
    </row>
    <row r="1127" spans="1:18">
      <c r="A1127" s="9">
        <v>38357</v>
      </c>
      <c r="B1127">
        <v>3.19</v>
      </c>
      <c r="C1127">
        <v>3.57</v>
      </c>
      <c r="D1127">
        <v>3.78</v>
      </c>
      <c r="E1127">
        <v>3.96</v>
      </c>
      <c r="F1127">
        <v>4.1100000000000003</v>
      </c>
      <c r="G1127">
        <v>4.38</v>
      </c>
      <c r="H1127">
        <v>4.68</v>
      </c>
      <c r="I1127">
        <v>5.25</v>
      </c>
      <c r="K1127">
        <f t="shared" si="139"/>
        <v>6.0000000000000053</v>
      </c>
      <c r="L1127">
        <f t="shared" si="140"/>
        <v>7.9999999999999627</v>
      </c>
      <c r="M1127">
        <f t="shared" si="141"/>
        <v>6.999999999999984</v>
      </c>
      <c r="N1127">
        <f t="shared" si="142"/>
        <v>6.999999999999984</v>
      </c>
      <c r="O1127">
        <f t="shared" si="143"/>
        <v>5.0000000000000711</v>
      </c>
      <c r="P1127">
        <f t="shared" si="144"/>
        <v>4.9999999999999822</v>
      </c>
      <c r="Q1127">
        <f t="shared" si="145"/>
        <v>2.9999999999999361</v>
      </c>
      <c r="R1127">
        <f t="shared" si="146"/>
        <v>1.9999999999999574</v>
      </c>
    </row>
    <row r="1128" spans="1:18">
      <c r="A1128" s="9">
        <v>38358</v>
      </c>
      <c r="B1128">
        <v>3.17</v>
      </c>
      <c r="C1128">
        <v>3.53</v>
      </c>
      <c r="D1128">
        <v>3.75</v>
      </c>
      <c r="E1128">
        <v>3.94</v>
      </c>
      <c r="F1128">
        <v>4.0999999999999996</v>
      </c>
      <c r="G1128">
        <v>4.37</v>
      </c>
      <c r="H1128">
        <v>4.67</v>
      </c>
      <c r="I1128">
        <v>5.23</v>
      </c>
      <c r="K1128">
        <f t="shared" si="139"/>
        <v>-2.0000000000000018</v>
      </c>
      <c r="L1128">
        <f t="shared" si="140"/>
        <v>-4.0000000000000036</v>
      </c>
      <c r="M1128">
        <f t="shared" si="141"/>
        <v>-2.9999999999999805</v>
      </c>
      <c r="N1128">
        <f t="shared" si="142"/>
        <v>-2.0000000000000018</v>
      </c>
      <c r="O1128">
        <f t="shared" si="143"/>
        <v>-1.0000000000000675</v>
      </c>
      <c r="P1128">
        <f t="shared" si="144"/>
        <v>-0.99999999999997868</v>
      </c>
      <c r="Q1128">
        <f t="shared" si="145"/>
        <v>-0.99999999999997868</v>
      </c>
      <c r="R1128">
        <f t="shared" si="146"/>
        <v>-1.9999999999999574</v>
      </c>
    </row>
    <row r="1129" spans="1:18">
      <c r="A1129" s="9">
        <v>38359</v>
      </c>
      <c r="B1129">
        <v>3.18</v>
      </c>
      <c r="C1129">
        <v>3.56</v>
      </c>
      <c r="D1129">
        <v>3.77</v>
      </c>
      <c r="E1129">
        <v>3.95</v>
      </c>
      <c r="F1129">
        <v>4.1100000000000003</v>
      </c>
      <c r="G1129">
        <v>4.37</v>
      </c>
      <c r="H1129">
        <v>4.66</v>
      </c>
      <c r="I1129">
        <v>5.22</v>
      </c>
      <c r="K1129">
        <f t="shared" si="139"/>
        <v>1.0000000000000231</v>
      </c>
      <c r="L1129">
        <f t="shared" si="140"/>
        <v>3.0000000000000249</v>
      </c>
      <c r="M1129">
        <f t="shared" si="141"/>
        <v>2.0000000000000018</v>
      </c>
      <c r="N1129">
        <f t="shared" si="142"/>
        <v>1.0000000000000231</v>
      </c>
      <c r="O1129">
        <f t="shared" si="143"/>
        <v>1.0000000000000675</v>
      </c>
      <c r="P1129">
        <f t="shared" si="144"/>
        <v>0</v>
      </c>
      <c r="Q1129">
        <f t="shared" si="145"/>
        <v>-0.99999999999997868</v>
      </c>
      <c r="R1129">
        <f t="shared" si="146"/>
        <v>-1.0000000000000675</v>
      </c>
    </row>
    <row r="1130" spans="1:18">
      <c r="A1130" s="9">
        <v>38362</v>
      </c>
      <c r="B1130">
        <v>3.2</v>
      </c>
      <c r="C1130">
        <v>3.58</v>
      </c>
      <c r="D1130">
        <v>3.8</v>
      </c>
      <c r="E1130">
        <v>3.98</v>
      </c>
      <c r="F1130">
        <v>4.1399999999999997</v>
      </c>
      <c r="G1130">
        <v>4.4000000000000004</v>
      </c>
      <c r="H1130">
        <v>4.68</v>
      </c>
      <c r="I1130">
        <v>5.23</v>
      </c>
      <c r="K1130">
        <f t="shared" si="139"/>
        <v>2.0000000000000018</v>
      </c>
      <c r="L1130">
        <f t="shared" si="140"/>
        <v>2.0000000000000018</v>
      </c>
      <c r="M1130">
        <f t="shared" si="141"/>
        <v>2.9999999999999805</v>
      </c>
      <c r="N1130">
        <f t="shared" si="142"/>
        <v>2.9999999999999805</v>
      </c>
      <c r="O1130">
        <f t="shared" si="143"/>
        <v>2.9999999999999361</v>
      </c>
      <c r="P1130">
        <f t="shared" si="144"/>
        <v>3.0000000000000249</v>
      </c>
      <c r="Q1130">
        <f t="shared" si="145"/>
        <v>1.9999999999999574</v>
      </c>
      <c r="R1130">
        <f t="shared" si="146"/>
        <v>1.0000000000000675</v>
      </c>
    </row>
    <row r="1131" spans="1:18">
      <c r="A1131" s="9">
        <v>38363</v>
      </c>
      <c r="B1131">
        <v>3.22</v>
      </c>
      <c r="C1131">
        <v>3.6</v>
      </c>
      <c r="D1131">
        <v>3.81</v>
      </c>
      <c r="E1131">
        <v>3.99</v>
      </c>
      <c r="F1131">
        <v>4.1399999999999997</v>
      </c>
      <c r="G1131">
        <v>4.4000000000000004</v>
      </c>
      <c r="H1131">
        <v>4.68</v>
      </c>
      <c r="I1131">
        <v>5.2</v>
      </c>
      <c r="K1131">
        <f t="shared" si="139"/>
        <v>2.0000000000000018</v>
      </c>
      <c r="L1131">
        <f t="shared" si="140"/>
        <v>2.0000000000000018</v>
      </c>
      <c r="M1131">
        <f t="shared" si="141"/>
        <v>1.0000000000000231</v>
      </c>
      <c r="N1131">
        <f t="shared" si="142"/>
        <v>1.0000000000000231</v>
      </c>
      <c r="O1131">
        <f t="shared" si="143"/>
        <v>0</v>
      </c>
      <c r="P1131">
        <f t="shared" si="144"/>
        <v>0</v>
      </c>
      <c r="Q1131">
        <f t="shared" si="145"/>
        <v>0</v>
      </c>
      <c r="R1131">
        <f t="shared" si="146"/>
        <v>-3.0000000000000249</v>
      </c>
    </row>
    <row r="1132" spans="1:18">
      <c r="A1132" s="9">
        <v>38364</v>
      </c>
      <c r="B1132">
        <v>3.21</v>
      </c>
      <c r="C1132">
        <v>3.57</v>
      </c>
      <c r="D1132">
        <v>3.78</v>
      </c>
      <c r="E1132">
        <v>3.95</v>
      </c>
      <c r="F1132">
        <v>4.1100000000000003</v>
      </c>
      <c r="G1132">
        <v>4.37</v>
      </c>
      <c r="H1132">
        <v>4.6500000000000004</v>
      </c>
      <c r="I1132">
        <v>5.17</v>
      </c>
      <c r="K1132">
        <f t="shared" si="139"/>
        <v>-1.0000000000000231</v>
      </c>
      <c r="L1132">
        <f t="shared" si="140"/>
        <v>-3.0000000000000249</v>
      </c>
      <c r="M1132">
        <f t="shared" si="141"/>
        <v>-3.0000000000000249</v>
      </c>
      <c r="N1132">
        <f t="shared" si="142"/>
        <v>-4.0000000000000036</v>
      </c>
      <c r="O1132">
        <f t="shared" si="143"/>
        <v>-2.9999999999999361</v>
      </c>
      <c r="P1132">
        <f t="shared" si="144"/>
        <v>-3.0000000000000249</v>
      </c>
      <c r="Q1132">
        <f t="shared" si="145"/>
        <v>-2.9999999999999361</v>
      </c>
      <c r="R1132">
        <f t="shared" si="146"/>
        <v>-3.0000000000000249</v>
      </c>
    </row>
    <row r="1133" spans="1:18">
      <c r="A1133" s="9">
        <v>38365</v>
      </c>
      <c r="B1133">
        <v>3.2</v>
      </c>
      <c r="C1133">
        <v>3.56</v>
      </c>
      <c r="D1133">
        <v>3.75</v>
      </c>
      <c r="E1133">
        <v>3.92</v>
      </c>
      <c r="F1133">
        <v>4.0599999999999996</v>
      </c>
      <c r="G1133">
        <v>4.3099999999999996</v>
      </c>
      <c r="H1133">
        <v>4.59</v>
      </c>
      <c r="I1133">
        <v>5.0999999999999996</v>
      </c>
      <c r="K1133">
        <f t="shared" si="139"/>
        <v>-0.99999999999997868</v>
      </c>
      <c r="L1133">
        <f t="shared" si="140"/>
        <v>-0.99999999999997868</v>
      </c>
      <c r="M1133">
        <f t="shared" si="141"/>
        <v>-2.9999999999999805</v>
      </c>
      <c r="N1133">
        <f t="shared" si="142"/>
        <v>-3.0000000000000249</v>
      </c>
      <c r="O1133">
        <f t="shared" si="143"/>
        <v>-5.0000000000000711</v>
      </c>
      <c r="P1133">
        <f t="shared" si="144"/>
        <v>-6.0000000000000497</v>
      </c>
      <c r="Q1133">
        <f t="shared" si="145"/>
        <v>-6.0000000000000497</v>
      </c>
      <c r="R1133">
        <f t="shared" si="146"/>
        <v>-7.0000000000000284</v>
      </c>
    </row>
    <row r="1134" spans="1:18">
      <c r="A1134" s="9">
        <v>38366</v>
      </c>
      <c r="B1134">
        <v>3.24</v>
      </c>
      <c r="C1134">
        <v>3.61</v>
      </c>
      <c r="D1134">
        <v>3.81</v>
      </c>
      <c r="E1134">
        <v>3.96</v>
      </c>
      <c r="F1134">
        <v>4.09</v>
      </c>
      <c r="G1134">
        <v>4.33</v>
      </c>
      <c r="H1134">
        <v>4.5999999999999996</v>
      </c>
      <c r="I1134">
        <v>5.09</v>
      </c>
      <c r="K1134">
        <f t="shared" si="139"/>
        <v>4.0000000000000036</v>
      </c>
      <c r="L1134">
        <f t="shared" si="140"/>
        <v>4.9999999999999822</v>
      </c>
      <c r="M1134">
        <f t="shared" si="141"/>
        <v>6.0000000000000053</v>
      </c>
      <c r="N1134">
        <f t="shared" si="142"/>
        <v>4.0000000000000036</v>
      </c>
      <c r="O1134">
        <f t="shared" si="143"/>
        <v>3.0000000000000249</v>
      </c>
      <c r="P1134">
        <f t="shared" si="144"/>
        <v>2.0000000000000462</v>
      </c>
      <c r="Q1134">
        <f t="shared" si="145"/>
        <v>0.99999999999997868</v>
      </c>
      <c r="R1134">
        <f t="shared" si="146"/>
        <v>-0.99999999999997868</v>
      </c>
    </row>
    <row r="1135" spans="1:18">
      <c r="A1135" s="9">
        <v>38370</v>
      </c>
      <c r="B1135">
        <v>3.25</v>
      </c>
      <c r="C1135">
        <v>3.62</v>
      </c>
      <c r="D1135">
        <v>3.83</v>
      </c>
      <c r="E1135">
        <v>3.99</v>
      </c>
      <c r="F1135">
        <v>4.12</v>
      </c>
      <c r="G1135">
        <v>4.3600000000000003</v>
      </c>
      <c r="H1135">
        <v>4.62</v>
      </c>
      <c r="I1135">
        <v>5.1100000000000003</v>
      </c>
      <c r="K1135">
        <f t="shared" si="139"/>
        <v>0.99999999999997868</v>
      </c>
      <c r="L1135">
        <f t="shared" si="140"/>
        <v>1.0000000000000231</v>
      </c>
      <c r="M1135">
        <f t="shared" si="141"/>
        <v>2.0000000000000018</v>
      </c>
      <c r="N1135">
        <f t="shared" si="142"/>
        <v>3.0000000000000249</v>
      </c>
      <c r="O1135">
        <f t="shared" si="143"/>
        <v>3.0000000000000249</v>
      </c>
      <c r="P1135">
        <f t="shared" si="144"/>
        <v>3.0000000000000249</v>
      </c>
      <c r="Q1135">
        <f t="shared" si="145"/>
        <v>2.0000000000000462</v>
      </c>
      <c r="R1135">
        <f t="shared" si="146"/>
        <v>2.0000000000000462</v>
      </c>
    </row>
    <row r="1136" spans="1:18">
      <c r="A1136" s="9">
        <v>38371</v>
      </c>
      <c r="B1136">
        <v>3.26</v>
      </c>
      <c r="C1136">
        <v>3.63</v>
      </c>
      <c r="D1136">
        <v>3.83</v>
      </c>
      <c r="E1136">
        <v>3.98</v>
      </c>
      <c r="F1136">
        <v>4.12</v>
      </c>
      <c r="G1136">
        <v>4.34</v>
      </c>
      <c r="H1136">
        <v>4.58</v>
      </c>
      <c r="I1136">
        <v>5.0599999999999996</v>
      </c>
      <c r="K1136">
        <f t="shared" si="139"/>
        <v>0.99999999999997868</v>
      </c>
      <c r="L1136">
        <f t="shared" si="140"/>
        <v>0.99999999999997868</v>
      </c>
      <c r="M1136">
        <f t="shared" si="141"/>
        <v>0</v>
      </c>
      <c r="N1136">
        <f t="shared" si="142"/>
        <v>-1.0000000000000231</v>
      </c>
      <c r="O1136">
        <f t="shared" si="143"/>
        <v>0</v>
      </c>
      <c r="P1136">
        <f t="shared" si="144"/>
        <v>-2.0000000000000462</v>
      </c>
      <c r="Q1136">
        <f t="shared" si="145"/>
        <v>-4.0000000000000036</v>
      </c>
      <c r="R1136">
        <f t="shared" si="146"/>
        <v>-5.0000000000000711</v>
      </c>
    </row>
    <row r="1137" spans="1:18">
      <c r="A1137" s="9">
        <v>38372</v>
      </c>
      <c r="B1137">
        <v>3.24</v>
      </c>
      <c r="C1137">
        <v>3.58</v>
      </c>
      <c r="D1137">
        <v>3.79</v>
      </c>
      <c r="E1137">
        <v>3.95</v>
      </c>
      <c r="F1137">
        <v>4.09</v>
      </c>
      <c r="G1137">
        <v>4.3099999999999996</v>
      </c>
      <c r="H1137">
        <v>4.58</v>
      </c>
      <c r="I1137">
        <v>5.0599999999999996</v>
      </c>
      <c r="K1137">
        <f t="shared" si="139"/>
        <v>-1.9999999999999574</v>
      </c>
      <c r="L1137">
        <f t="shared" si="140"/>
        <v>-4.9999999999999822</v>
      </c>
      <c r="M1137">
        <f t="shared" si="141"/>
        <v>-4.0000000000000036</v>
      </c>
      <c r="N1137">
        <f t="shared" si="142"/>
        <v>-2.9999999999999805</v>
      </c>
      <c r="O1137">
        <f t="shared" si="143"/>
        <v>-3.0000000000000249</v>
      </c>
      <c r="P1137">
        <f t="shared" si="144"/>
        <v>-3.0000000000000249</v>
      </c>
      <c r="Q1137">
        <f t="shared" si="145"/>
        <v>0</v>
      </c>
      <c r="R1137">
        <f t="shared" si="146"/>
        <v>0</v>
      </c>
    </row>
    <row r="1138" spans="1:18">
      <c r="A1138" s="9">
        <v>38373</v>
      </c>
      <c r="B1138">
        <v>3.22</v>
      </c>
      <c r="C1138">
        <v>3.53</v>
      </c>
      <c r="D1138">
        <v>3.74</v>
      </c>
      <c r="E1138">
        <v>3.9</v>
      </c>
      <c r="F1138">
        <v>4.04</v>
      </c>
      <c r="G1138">
        <v>4.2699999999999996</v>
      </c>
      <c r="H1138">
        <v>4.55</v>
      </c>
      <c r="I1138">
        <v>5.04</v>
      </c>
      <c r="K1138">
        <f t="shared" si="139"/>
        <v>-2.0000000000000018</v>
      </c>
      <c r="L1138">
        <f t="shared" si="140"/>
        <v>-5.0000000000000266</v>
      </c>
      <c r="M1138">
        <f t="shared" si="141"/>
        <v>-4.9999999999999822</v>
      </c>
      <c r="N1138">
        <f t="shared" si="142"/>
        <v>-5.0000000000000266</v>
      </c>
      <c r="O1138">
        <f t="shared" si="143"/>
        <v>-4.9999999999999822</v>
      </c>
      <c r="P1138">
        <f t="shared" si="144"/>
        <v>-4.0000000000000036</v>
      </c>
      <c r="Q1138">
        <f t="shared" si="145"/>
        <v>-3.0000000000000249</v>
      </c>
      <c r="R1138">
        <f t="shared" si="146"/>
        <v>-1.9999999999999574</v>
      </c>
    </row>
    <row r="1139" spans="1:18">
      <c r="A1139" s="9">
        <v>38376</v>
      </c>
      <c r="B1139">
        <v>3.21</v>
      </c>
      <c r="C1139">
        <v>3.55</v>
      </c>
      <c r="D1139">
        <v>3.75</v>
      </c>
      <c r="E1139">
        <v>3.91</v>
      </c>
      <c r="F1139">
        <v>4.04</v>
      </c>
      <c r="G1139">
        <v>4.2699999999999996</v>
      </c>
      <c r="H1139">
        <v>4.53</v>
      </c>
      <c r="I1139">
        <v>5.0199999999999996</v>
      </c>
      <c r="K1139">
        <f t="shared" si="139"/>
        <v>-1.0000000000000231</v>
      </c>
      <c r="L1139">
        <f t="shared" si="140"/>
        <v>2.0000000000000018</v>
      </c>
      <c r="M1139">
        <f t="shared" si="141"/>
        <v>0.99999999999997868</v>
      </c>
      <c r="N1139">
        <f t="shared" si="142"/>
        <v>1.0000000000000231</v>
      </c>
      <c r="O1139">
        <f t="shared" si="143"/>
        <v>0</v>
      </c>
      <c r="P1139">
        <f t="shared" si="144"/>
        <v>0</v>
      </c>
      <c r="Q1139">
        <f t="shared" si="145"/>
        <v>-1.9999999999999574</v>
      </c>
      <c r="R1139">
        <f t="shared" si="146"/>
        <v>-2.0000000000000462</v>
      </c>
    </row>
    <row r="1140" spans="1:18">
      <c r="A1140" s="9">
        <v>38377</v>
      </c>
      <c r="B1140">
        <v>3.24</v>
      </c>
      <c r="C1140">
        <v>3.58</v>
      </c>
      <c r="D1140">
        <v>3.78</v>
      </c>
      <c r="E1140">
        <v>3.94</v>
      </c>
      <c r="F1140">
        <v>4.08</v>
      </c>
      <c r="G1140">
        <v>4.3</v>
      </c>
      <c r="H1140">
        <v>4.55</v>
      </c>
      <c r="I1140">
        <v>5.03</v>
      </c>
      <c r="K1140">
        <f t="shared" si="139"/>
        <v>3.0000000000000249</v>
      </c>
      <c r="L1140">
        <f t="shared" si="140"/>
        <v>3.0000000000000249</v>
      </c>
      <c r="M1140">
        <f t="shared" si="141"/>
        <v>2.9999999999999805</v>
      </c>
      <c r="N1140">
        <f t="shared" si="142"/>
        <v>2.9999999999999805</v>
      </c>
      <c r="O1140">
        <f t="shared" si="143"/>
        <v>4.0000000000000036</v>
      </c>
      <c r="P1140">
        <f t="shared" si="144"/>
        <v>3.0000000000000249</v>
      </c>
      <c r="Q1140">
        <f t="shared" si="145"/>
        <v>1.9999999999999574</v>
      </c>
      <c r="R1140">
        <f t="shared" si="146"/>
        <v>1.0000000000000675</v>
      </c>
    </row>
    <row r="1141" spans="1:18">
      <c r="A1141" s="9">
        <v>38378</v>
      </c>
      <c r="B1141">
        <v>3.25</v>
      </c>
      <c r="C1141">
        <v>3.59</v>
      </c>
      <c r="D1141">
        <v>3.78</v>
      </c>
      <c r="E1141">
        <v>3.94</v>
      </c>
      <c r="F1141">
        <v>4.08</v>
      </c>
      <c r="G1141">
        <v>4.3099999999999996</v>
      </c>
      <c r="H1141">
        <v>4.57</v>
      </c>
      <c r="I1141">
        <v>5.05</v>
      </c>
      <c r="K1141">
        <f t="shared" si="139"/>
        <v>0.99999999999997868</v>
      </c>
      <c r="L1141">
        <f t="shared" si="140"/>
        <v>0.99999999999997868</v>
      </c>
      <c r="M1141">
        <f t="shared" si="141"/>
        <v>0</v>
      </c>
      <c r="N1141">
        <f t="shared" si="142"/>
        <v>0</v>
      </c>
      <c r="O1141">
        <f t="shared" si="143"/>
        <v>0</v>
      </c>
      <c r="P1141">
        <f t="shared" si="144"/>
        <v>0.99999999999997868</v>
      </c>
      <c r="Q1141">
        <f t="shared" si="145"/>
        <v>2.0000000000000462</v>
      </c>
      <c r="R1141">
        <f t="shared" si="146"/>
        <v>1.9999999999999574</v>
      </c>
    </row>
    <row r="1142" spans="1:18">
      <c r="A1142" s="9">
        <v>38379</v>
      </c>
      <c r="B1142">
        <v>3.27</v>
      </c>
      <c r="C1142">
        <v>3.63</v>
      </c>
      <c r="D1142">
        <v>3.83</v>
      </c>
      <c r="E1142">
        <v>3.99</v>
      </c>
      <c r="F1142">
        <v>4.12</v>
      </c>
      <c r="G1142">
        <v>4.34</v>
      </c>
      <c r="H1142">
        <v>4.59</v>
      </c>
      <c r="I1142">
        <v>5.05</v>
      </c>
      <c r="K1142">
        <f t="shared" si="139"/>
        <v>2.0000000000000018</v>
      </c>
      <c r="L1142">
        <f t="shared" si="140"/>
        <v>4.0000000000000036</v>
      </c>
      <c r="M1142">
        <f t="shared" si="141"/>
        <v>5.0000000000000266</v>
      </c>
      <c r="N1142">
        <f t="shared" si="142"/>
        <v>5.0000000000000266</v>
      </c>
      <c r="O1142">
        <f t="shared" si="143"/>
        <v>4.0000000000000036</v>
      </c>
      <c r="P1142">
        <f t="shared" si="144"/>
        <v>3.0000000000000249</v>
      </c>
      <c r="Q1142">
        <f t="shared" si="145"/>
        <v>1.9999999999999574</v>
      </c>
      <c r="R1142">
        <f t="shared" si="146"/>
        <v>0</v>
      </c>
    </row>
    <row r="1143" spans="1:18">
      <c r="A1143" s="9">
        <v>38380</v>
      </c>
      <c r="B1143">
        <v>3.26</v>
      </c>
      <c r="C1143">
        <v>3.59</v>
      </c>
      <c r="D1143">
        <v>3.79</v>
      </c>
      <c r="E1143">
        <v>3.94</v>
      </c>
      <c r="F1143">
        <v>4.07</v>
      </c>
      <c r="G1143">
        <v>4.28</v>
      </c>
      <c r="H1143">
        <v>4.5199999999999996</v>
      </c>
      <c r="I1143">
        <v>5</v>
      </c>
      <c r="K1143">
        <f t="shared" si="139"/>
        <v>-1.0000000000000231</v>
      </c>
      <c r="L1143">
        <f t="shared" si="140"/>
        <v>-4.0000000000000036</v>
      </c>
      <c r="M1143">
        <f t="shared" si="141"/>
        <v>-4.0000000000000036</v>
      </c>
      <c r="N1143">
        <f t="shared" si="142"/>
        <v>-5.0000000000000266</v>
      </c>
      <c r="O1143">
        <f t="shared" si="143"/>
        <v>-4.9999999999999822</v>
      </c>
      <c r="P1143">
        <f t="shared" si="144"/>
        <v>-5.9999999999999609</v>
      </c>
      <c r="Q1143">
        <f t="shared" si="145"/>
        <v>-7.0000000000000284</v>
      </c>
      <c r="R1143">
        <f t="shared" si="146"/>
        <v>-4.9999999999999822</v>
      </c>
    </row>
    <row r="1144" spans="1:18">
      <c r="A1144" s="9">
        <v>38383</v>
      </c>
      <c r="B1144">
        <v>3.28</v>
      </c>
      <c r="C1144">
        <v>3.63</v>
      </c>
      <c r="D1144">
        <v>3.83</v>
      </c>
      <c r="E1144">
        <v>3.98</v>
      </c>
      <c r="F1144">
        <v>4.0999999999999996</v>
      </c>
      <c r="G1144">
        <v>4.3</v>
      </c>
      <c r="H1144">
        <v>4.53</v>
      </c>
      <c r="I1144">
        <v>4.99</v>
      </c>
      <c r="K1144">
        <f t="shared" si="139"/>
        <v>2.0000000000000018</v>
      </c>
      <c r="L1144">
        <f t="shared" si="140"/>
        <v>4.0000000000000036</v>
      </c>
      <c r="M1144">
        <f t="shared" si="141"/>
        <v>4.0000000000000036</v>
      </c>
      <c r="N1144">
        <f t="shared" si="142"/>
        <v>4.0000000000000036</v>
      </c>
      <c r="O1144">
        <f t="shared" si="143"/>
        <v>2.9999999999999361</v>
      </c>
      <c r="P1144">
        <f t="shared" si="144"/>
        <v>1.9999999999999574</v>
      </c>
      <c r="Q1144">
        <f t="shared" si="145"/>
        <v>1.0000000000000675</v>
      </c>
      <c r="R1144">
        <f t="shared" si="146"/>
        <v>-0.99999999999997868</v>
      </c>
    </row>
    <row r="1145" spans="1:18">
      <c r="A1145" s="9">
        <v>38384</v>
      </c>
      <c r="B1145">
        <v>3.28</v>
      </c>
      <c r="C1145">
        <v>3.62</v>
      </c>
      <c r="D1145">
        <v>3.8</v>
      </c>
      <c r="E1145">
        <v>3.95</v>
      </c>
      <c r="F1145">
        <v>4.08</v>
      </c>
      <c r="G1145">
        <v>4.29</v>
      </c>
      <c r="H1145">
        <v>4.53</v>
      </c>
      <c r="I1145">
        <v>4.99</v>
      </c>
      <c r="K1145">
        <f t="shared" si="139"/>
        <v>0</v>
      </c>
      <c r="L1145">
        <f t="shared" si="140"/>
        <v>-0.99999999999997868</v>
      </c>
      <c r="M1145">
        <f t="shared" si="141"/>
        <v>-3.0000000000000249</v>
      </c>
      <c r="N1145">
        <f t="shared" si="142"/>
        <v>-2.9999999999999805</v>
      </c>
      <c r="O1145">
        <f t="shared" si="143"/>
        <v>-1.9999999999999574</v>
      </c>
      <c r="P1145">
        <f t="shared" si="144"/>
        <v>-0.99999999999997868</v>
      </c>
      <c r="Q1145">
        <f t="shared" si="145"/>
        <v>0</v>
      </c>
      <c r="R1145">
        <f t="shared" si="146"/>
        <v>0</v>
      </c>
    </row>
    <row r="1146" spans="1:18">
      <c r="A1146" s="9">
        <v>38385</v>
      </c>
      <c r="B1146">
        <v>3.3</v>
      </c>
      <c r="C1146">
        <v>3.64</v>
      </c>
      <c r="D1146">
        <v>3.83</v>
      </c>
      <c r="E1146">
        <v>3.98</v>
      </c>
      <c r="F1146">
        <v>4.0999999999999996</v>
      </c>
      <c r="G1146">
        <v>4.3</v>
      </c>
      <c r="H1146">
        <v>4.54</v>
      </c>
      <c r="I1146">
        <v>4.99</v>
      </c>
      <c r="K1146">
        <f t="shared" si="139"/>
        <v>2.0000000000000018</v>
      </c>
      <c r="L1146">
        <f t="shared" si="140"/>
        <v>2.0000000000000018</v>
      </c>
      <c r="M1146">
        <f t="shared" si="141"/>
        <v>3.0000000000000249</v>
      </c>
      <c r="N1146">
        <f t="shared" si="142"/>
        <v>2.9999999999999805</v>
      </c>
      <c r="O1146">
        <f t="shared" si="143"/>
        <v>1.9999999999999574</v>
      </c>
      <c r="P1146">
        <f t="shared" si="144"/>
        <v>0.99999999999997868</v>
      </c>
      <c r="Q1146">
        <f t="shared" si="145"/>
        <v>0.99999999999997868</v>
      </c>
      <c r="R1146">
        <f t="shared" si="146"/>
        <v>0</v>
      </c>
    </row>
    <row r="1147" spans="1:18">
      <c r="A1147" s="9">
        <v>38386</v>
      </c>
      <c r="B1147">
        <v>3.34</v>
      </c>
      <c r="C1147">
        <v>3.69</v>
      </c>
      <c r="D1147">
        <v>3.89</v>
      </c>
      <c r="E1147">
        <v>4.03</v>
      </c>
      <c r="F1147">
        <v>4.1500000000000004</v>
      </c>
      <c r="G1147">
        <v>4.34</v>
      </c>
      <c r="H1147">
        <v>4.5599999999999996</v>
      </c>
      <c r="I1147">
        <v>4.9800000000000004</v>
      </c>
      <c r="K1147">
        <f t="shared" si="139"/>
        <v>4.0000000000000036</v>
      </c>
      <c r="L1147">
        <f t="shared" si="140"/>
        <v>4.9999999999999822</v>
      </c>
      <c r="M1147">
        <f t="shared" si="141"/>
        <v>6.0000000000000053</v>
      </c>
      <c r="N1147">
        <f t="shared" si="142"/>
        <v>5.0000000000000266</v>
      </c>
      <c r="O1147">
        <f t="shared" si="143"/>
        <v>5.0000000000000711</v>
      </c>
      <c r="P1147">
        <f t="shared" si="144"/>
        <v>4.0000000000000036</v>
      </c>
      <c r="Q1147">
        <f t="shared" si="145"/>
        <v>1.9999999999999574</v>
      </c>
      <c r="R1147">
        <f t="shared" si="146"/>
        <v>-0.99999999999997868</v>
      </c>
    </row>
    <row r="1148" spans="1:18">
      <c r="A1148" s="9">
        <v>38387</v>
      </c>
      <c r="B1148">
        <v>3.3</v>
      </c>
      <c r="C1148">
        <v>3.63</v>
      </c>
      <c r="D1148">
        <v>3.8</v>
      </c>
      <c r="E1148">
        <v>3.94</v>
      </c>
      <c r="F1148">
        <v>4.05</v>
      </c>
      <c r="G1148">
        <v>4.24</v>
      </c>
      <c r="H1148">
        <v>4.46</v>
      </c>
      <c r="I1148">
        <v>4.87</v>
      </c>
      <c r="K1148">
        <f t="shared" si="139"/>
        <v>-4.0000000000000036</v>
      </c>
      <c r="L1148">
        <f t="shared" si="140"/>
        <v>-6.0000000000000053</v>
      </c>
      <c r="M1148">
        <f t="shared" si="141"/>
        <v>-9.0000000000000302</v>
      </c>
      <c r="N1148">
        <f t="shared" si="142"/>
        <v>-9.0000000000000302</v>
      </c>
      <c r="O1148">
        <f t="shared" si="143"/>
        <v>-10.000000000000053</v>
      </c>
      <c r="P1148">
        <f t="shared" si="144"/>
        <v>-9.9999999999999645</v>
      </c>
      <c r="Q1148">
        <f t="shared" si="145"/>
        <v>-9.9999999999999645</v>
      </c>
      <c r="R1148">
        <f t="shared" si="146"/>
        <v>-11.000000000000032</v>
      </c>
    </row>
    <row r="1149" spans="1:18">
      <c r="A1149" s="9">
        <v>38390</v>
      </c>
      <c r="B1149">
        <v>3.32</v>
      </c>
      <c r="C1149">
        <v>3.66</v>
      </c>
      <c r="D1149">
        <v>3.84</v>
      </c>
      <c r="E1149">
        <v>3.97</v>
      </c>
      <c r="F1149">
        <v>4.07</v>
      </c>
      <c r="G1149">
        <v>4.25</v>
      </c>
      <c r="H1149">
        <v>4.46</v>
      </c>
      <c r="I1149">
        <v>4.8499999999999996</v>
      </c>
      <c r="K1149">
        <f t="shared" si="139"/>
        <v>2.0000000000000018</v>
      </c>
      <c r="L1149">
        <f t="shared" si="140"/>
        <v>3.0000000000000249</v>
      </c>
      <c r="M1149">
        <f t="shared" si="141"/>
        <v>4.0000000000000036</v>
      </c>
      <c r="N1149">
        <f t="shared" si="142"/>
        <v>3.0000000000000249</v>
      </c>
      <c r="O1149">
        <f t="shared" si="143"/>
        <v>2.0000000000000462</v>
      </c>
      <c r="P1149">
        <f t="shared" si="144"/>
        <v>0.99999999999997868</v>
      </c>
      <c r="Q1149">
        <f t="shared" si="145"/>
        <v>0</v>
      </c>
      <c r="R1149">
        <f t="shared" si="146"/>
        <v>-2.0000000000000462</v>
      </c>
    </row>
    <row r="1150" spans="1:18">
      <c r="A1150" s="9">
        <v>38391</v>
      </c>
      <c r="B1150">
        <v>3.34</v>
      </c>
      <c r="C1150">
        <v>3.68</v>
      </c>
      <c r="D1150">
        <v>3.85</v>
      </c>
      <c r="E1150">
        <v>3.97</v>
      </c>
      <c r="F1150">
        <v>4.0599999999999996</v>
      </c>
      <c r="G1150">
        <v>4.22</v>
      </c>
      <c r="H1150">
        <v>4.42</v>
      </c>
      <c r="I1150">
        <v>4.78</v>
      </c>
      <c r="K1150">
        <f t="shared" si="139"/>
        <v>2.0000000000000018</v>
      </c>
      <c r="L1150">
        <f t="shared" si="140"/>
        <v>2.0000000000000018</v>
      </c>
      <c r="M1150">
        <f t="shared" si="141"/>
        <v>1.0000000000000231</v>
      </c>
      <c r="N1150">
        <f t="shared" si="142"/>
        <v>0</v>
      </c>
      <c r="O1150">
        <f t="shared" si="143"/>
        <v>-1.0000000000000675</v>
      </c>
      <c r="P1150">
        <f t="shared" si="144"/>
        <v>-3.0000000000000249</v>
      </c>
      <c r="Q1150">
        <f t="shared" si="145"/>
        <v>-4.0000000000000036</v>
      </c>
      <c r="R1150">
        <f t="shared" si="146"/>
        <v>-6.9999999999999396</v>
      </c>
    </row>
    <row r="1151" spans="1:18">
      <c r="A1151" s="9">
        <v>38392</v>
      </c>
      <c r="B1151">
        <v>3.3</v>
      </c>
      <c r="C1151">
        <v>3.63</v>
      </c>
      <c r="D1151">
        <v>3.8</v>
      </c>
      <c r="E1151">
        <v>3.92</v>
      </c>
      <c r="F1151">
        <v>4.0199999999999996</v>
      </c>
      <c r="G1151">
        <v>4.18</v>
      </c>
      <c r="H1151">
        <v>4.3899999999999997</v>
      </c>
      <c r="I1151">
        <v>4.7699999999999996</v>
      </c>
      <c r="K1151">
        <f t="shared" si="139"/>
        <v>-4.0000000000000036</v>
      </c>
      <c r="L1151">
        <f t="shared" si="140"/>
        <v>-5.0000000000000266</v>
      </c>
      <c r="M1151">
        <f t="shared" si="141"/>
        <v>-5.0000000000000266</v>
      </c>
      <c r="N1151">
        <f t="shared" si="142"/>
        <v>-5.0000000000000266</v>
      </c>
      <c r="O1151">
        <f t="shared" si="143"/>
        <v>-4.0000000000000036</v>
      </c>
      <c r="P1151">
        <f t="shared" si="144"/>
        <v>-4.0000000000000036</v>
      </c>
      <c r="Q1151">
        <f t="shared" si="145"/>
        <v>-3.0000000000000249</v>
      </c>
      <c r="R1151">
        <f t="shared" si="146"/>
        <v>-1.0000000000000675</v>
      </c>
    </row>
    <row r="1152" spans="1:18">
      <c r="A1152" s="9">
        <v>38393</v>
      </c>
      <c r="B1152">
        <v>3.31</v>
      </c>
      <c r="C1152">
        <v>3.61</v>
      </c>
      <c r="D1152">
        <v>3.77</v>
      </c>
      <c r="E1152">
        <v>3.89</v>
      </c>
      <c r="F1152">
        <v>4</v>
      </c>
      <c r="G1152">
        <v>4.18</v>
      </c>
      <c r="H1152">
        <v>4.4000000000000004</v>
      </c>
      <c r="I1152">
        <v>4.83</v>
      </c>
      <c r="K1152">
        <f t="shared" si="139"/>
        <v>1.0000000000000231</v>
      </c>
      <c r="L1152">
        <f t="shared" si="140"/>
        <v>-2.0000000000000018</v>
      </c>
      <c r="M1152">
        <f t="shared" si="141"/>
        <v>-2.9999999999999805</v>
      </c>
      <c r="N1152">
        <f t="shared" si="142"/>
        <v>-2.9999999999999805</v>
      </c>
      <c r="O1152">
        <f t="shared" si="143"/>
        <v>-1.9999999999999574</v>
      </c>
      <c r="P1152">
        <f t="shared" si="144"/>
        <v>0</v>
      </c>
      <c r="Q1152">
        <f t="shared" si="145"/>
        <v>1.0000000000000675</v>
      </c>
      <c r="R1152">
        <f t="shared" si="146"/>
        <v>6.0000000000000497</v>
      </c>
    </row>
    <row r="1153" spans="1:18">
      <c r="A1153" s="9">
        <v>38394</v>
      </c>
      <c r="B1153">
        <v>3.31</v>
      </c>
      <c r="C1153">
        <v>3.62</v>
      </c>
      <c r="D1153">
        <v>3.79</v>
      </c>
      <c r="E1153">
        <v>3.92</v>
      </c>
      <c r="F1153">
        <v>4.03</v>
      </c>
      <c r="G1153">
        <v>4.22</v>
      </c>
      <c r="H1153">
        <v>4.46</v>
      </c>
      <c r="I1153">
        <v>4.88</v>
      </c>
      <c r="K1153">
        <f t="shared" si="139"/>
        <v>0</v>
      </c>
      <c r="L1153">
        <f t="shared" si="140"/>
        <v>1.0000000000000231</v>
      </c>
      <c r="M1153">
        <f t="shared" si="141"/>
        <v>2.0000000000000018</v>
      </c>
      <c r="N1153">
        <f t="shared" si="142"/>
        <v>2.9999999999999805</v>
      </c>
      <c r="O1153">
        <f t="shared" si="143"/>
        <v>3.0000000000000249</v>
      </c>
      <c r="P1153">
        <f t="shared" si="144"/>
        <v>4.0000000000000036</v>
      </c>
      <c r="Q1153">
        <f t="shared" si="145"/>
        <v>5.9999999999999609</v>
      </c>
      <c r="R1153">
        <f t="shared" si="146"/>
        <v>4.9999999999999822</v>
      </c>
    </row>
    <row r="1154" spans="1:18">
      <c r="A1154" s="9">
        <v>38397</v>
      </c>
      <c r="B1154">
        <v>3.37</v>
      </c>
      <c r="C1154">
        <v>3.7</v>
      </c>
      <c r="D1154">
        <v>3.87</v>
      </c>
      <c r="E1154">
        <v>3.99</v>
      </c>
      <c r="F1154">
        <v>4.09</v>
      </c>
      <c r="G1154">
        <v>4.26</v>
      </c>
      <c r="H1154">
        <v>4.47</v>
      </c>
      <c r="I1154">
        <v>4.87</v>
      </c>
      <c r="K1154">
        <f t="shared" si="139"/>
        <v>6.0000000000000053</v>
      </c>
      <c r="L1154">
        <f t="shared" si="140"/>
        <v>8.0000000000000071</v>
      </c>
      <c r="M1154">
        <f t="shared" si="141"/>
        <v>8.0000000000000071</v>
      </c>
      <c r="N1154">
        <f t="shared" si="142"/>
        <v>7.0000000000000284</v>
      </c>
      <c r="O1154">
        <f t="shared" si="143"/>
        <v>5.9999999999999609</v>
      </c>
      <c r="P1154">
        <f t="shared" si="144"/>
        <v>4.0000000000000036</v>
      </c>
      <c r="Q1154">
        <f t="shared" si="145"/>
        <v>0.99999999999997868</v>
      </c>
      <c r="R1154">
        <f t="shared" si="146"/>
        <v>-0.99999999999997868</v>
      </c>
    </row>
    <row r="1155" spans="1:18">
      <c r="A1155" s="9">
        <v>38398</v>
      </c>
      <c r="B1155">
        <v>3.37</v>
      </c>
      <c r="C1155">
        <v>3.7</v>
      </c>
      <c r="D1155">
        <v>3.86</v>
      </c>
      <c r="E1155">
        <v>3.98</v>
      </c>
      <c r="F1155">
        <v>4.08</v>
      </c>
      <c r="G1155">
        <v>4.25</v>
      </c>
      <c r="H1155">
        <v>4.47</v>
      </c>
      <c r="I1155">
        <v>4.88</v>
      </c>
      <c r="K1155">
        <f t="shared" si="139"/>
        <v>0</v>
      </c>
      <c r="L1155">
        <f t="shared" si="140"/>
        <v>0</v>
      </c>
      <c r="M1155">
        <f t="shared" si="141"/>
        <v>-1.0000000000000231</v>
      </c>
      <c r="N1155">
        <f t="shared" si="142"/>
        <v>-1.0000000000000231</v>
      </c>
      <c r="O1155">
        <f t="shared" si="143"/>
        <v>-0.99999999999997868</v>
      </c>
      <c r="P1155">
        <f t="shared" si="144"/>
        <v>-0.99999999999997868</v>
      </c>
      <c r="Q1155">
        <f t="shared" si="145"/>
        <v>0</v>
      </c>
      <c r="R1155">
        <f t="shared" si="146"/>
        <v>0.99999999999997868</v>
      </c>
    </row>
    <row r="1156" spans="1:18">
      <c r="A1156" s="9">
        <v>38399</v>
      </c>
      <c r="B1156">
        <v>3.41</v>
      </c>
      <c r="C1156">
        <v>3.73</v>
      </c>
      <c r="D1156">
        <v>3.91</v>
      </c>
      <c r="E1156">
        <v>4.03</v>
      </c>
      <c r="F1156">
        <v>4.1399999999999997</v>
      </c>
      <c r="G1156">
        <v>4.32</v>
      </c>
      <c r="H1156">
        <v>4.53</v>
      </c>
      <c r="I1156">
        <v>4.9400000000000004</v>
      </c>
      <c r="K1156">
        <f t="shared" si="139"/>
        <v>4.0000000000000036</v>
      </c>
      <c r="L1156">
        <f t="shared" si="140"/>
        <v>2.9999999999999805</v>
      </c>
      <c r="M1156">
        <f t="shared" si="141"/>
        <v>5.0000000000000266</v>
      </c>
      <c r="N1156">
        <f t="shared" si="142"/>
        <v>5.0000000000000266</v>
      </c>
      <c r="O1156">
        <f t="shared" si="143"/>
        <v>5.9999999999999609</v>
      </c>
      <c r="P1156">
        <f t="shared" si="144"/>
        <v>7.0000000000000284</v>
      </c>
      <c r="Q1156">
        <f t="shared" si="145"/>
        <v>6.0000000000000497</v>
      </c>
      <c r="R1156">
        <f t="shared" si="146"/>
        <v>6.0000000000000497</v>
      </c>
    </row>
    <row r="1157" spans="1:18">
      <c r="A1157" s="9">
        <v>38400</v>
      </c>
      <c r="B1157">
        <v>3.42</v>
      </c>
      <c r="C1157">
        <v>3.75</v>
      </c>
      <c r="D1157">
        <v>3.93</v>
      </c>
      <c r="E1157">
        <v>4.0599999999999996</v>
      </c>
      <c r="F1157">
        <v>4.17</v>
      </c>
      <c r="G1157">
        <v>4.34</v>
      </c>
      <c r="H1157">
        <v>4.55</v>
      </c>
      <c r="I1157">
        <v>4.96</v>
      </c>
      <c r="K1157">
        <f t="shared" ref="K1157:K1220" si="147">(B1157-B1156)*100</f>
        <v>0.99999999999997868</v>
      </c>
      <c r="L1157">
        <f t="shared" ref="L1157:L1220" si="148">(C1157-C1156)*100</f>
        <v>2.0000000000000018</v>
      </c>
      <c r="M1157">
        <f t="shared" ref="M1157:M1220" si="149">(D1157-D1156)*100</f>
        <v>2.0000000000000018</v>
      </c>
      <c r="N1157">
        <f t="shared" ref="N1157:N1220" si="150">(E1157-E1156)*100</f>
        <v>2.9999999999999361</v>
      </c>
      <c r="O1157">
        <f t="shared" ref="O1157:O1220" si="151">(F1157-F1156)*100</f>
        <v>3.0000000000000249</v>
      </c>
      <c r="P1157">
        <f t="shared" ref="P1157:P1220" si="152">(G1157-G1156)*100</f>
        <v>1.9999999999999574</v>
      </c>
      <c r="Q1157">
        <f t="shared" ref="Q1157:Q1220" si="153">(H1157-H1156)*100</f>
        <v>1.9999999999999574</v>
      </c>
      <c r="R1157">
        <f t="shared" ref="R1157:R1220" si="154">(I1157-I1156)*100</f>
        <v>1.9999999999999574</v>
      </c>
    </row>
    <row r="1158" spans="1:18">
      <c r="A1158" s="9">
        <v>38401</v>
      </c>
      <c r="B1158">
        <v>3.45</v>
      </c>
      <c r="C1158">
        <v>3.79</v>
      </c>
      <c r="D1158">
        <v>3.97</v>
      </c>
      <c r="E1158">
        <v>4.1100000000000003</v>
      </c>
      <c r="F1158">
        <v>4.22</v>
      </c>
      <c r="G1158">
        <v>4.41</v>
      </c>
      <c r="H1158">
        <v>4.63</v>
      </c>
      <c r="I1158">
        <v>5.08</v>
      </c>
      <c r="K1158">
        <f t="shared" si="147"/>
        <v>3.0000000000000249</v>
      </c>
      <c r="L1158">
        <f t="shared" si="148"/>
        <v>4.0000000000000036</v>
      </c>
      <c r="M1158">
        <f t="shared" si="149"/>
        <v>4.0000000000000036</v>
      </c>
      <c r="N1158">
        <f t="shared" si="150"/>
        <v>5.0000000000000711</v>
      </c>
      <c r="O1158">
        <f t="shared" si="151"/>
        <v>4.9999999999999822</v>
      </c>
      <c r="P1158">
        <f t="shared" si="152"/>
        <v>7.0000000000000284</v>
      </c>
      <c r="Q1158">
        <f t="shared" si="153"/>
        <v>8.0000000000000071</v>
      </c>
      <c r="R1158">
        <f t="shared" si="154"/>
        <v>12.000000000000011</v>
      </c>
    </row>
    <row r="1159" spans="1:18">
      <c r="A1159" s="9">
        <v>38405</v>
      </c>
      <c r="B1159">
        <v>3.47</v>
      </c>
      <c r="C1159">
        <v>3.8</v>
      </c>
      <c r="D1159">
        <v>3.99</v>
      </c>
      <c r="E1159">
        <v>4.13</v>
      </c>
      <c r="F1159">
        <v>4.24</v>
      </c>
      <c r="G1159">
        <v>4.43</v>
      </c>
      <c r="H1159">
        <v>4.66</v>
      </c>
      <c r="I1159">
        <v>5.0999999999999996</v>
      </c>
      <c r="K1159">
        <f t="shared" si="147"/>
        <v>2.0000000000000018</v>
      </c>
      <c r="L1159">
        <f t="shared" si="148"/>
        <v>0.99999999999997868</v>
      </c>
      <c r="M1159">
        <f t="shared" si="149"/>
        <v>2.0000000000000018</v>
      </c>
      <c r="N1159">
        <f t="shared" si="150"/>
        <v>1.9999999999999574</v>
      </c>
      <c r="O1159">
        <f t="shared" si="151"/>
        <v>2.0000000000000462</v>
      </c>
      <c r="P1159">
        <f t="shared" si="152"/>
        <v>1.9999999999999574</v>
      </c>
      <c r="Q1159">
        <f t="shared" si="153"/>
        <v>3.0000000000000249</v>
      </c>
      <c r="R1159">
        <f t="shared" si="154"/>
        <v>1.9999999999999574</v>
      </c>
    </row>
    <row r="1160" spans="1:18">
      <c r="A1160" s="9">
        <v>38406</v>
      </c>
      <c r="B1160">
        <v>3.47</v>
      </c>
      <c r="C1160">
        <v>3.8</v>
      </c>
      <c r="D1160">
        <v>3.99</v>
      </c>
      <c r="E1160">
        <v>4.12</v>
      </c>
      <c r="F1160">
        <v>4.2300000000000004</v>
      </c>
      <c r="G1160">
        <v>4.41</v>
      </c>
      <c r="H1160">
        <v>4.62</v>
      </c>
      <c r="I1160">
        <v>5.05</v>
      </c>
      <c r="K1160">
        <f t="shared" si="147"/>
        <v>0</v>
      </c>
      <c r="L1160">
        <f t="shared" si="148"/>
        <v>0</v>
      </c>
      <c r="M1160">
        <f t="shared" si="149"/>
        <v>0</v>
      </c>
      <c r="N1160">
        <f t="shared" si="150"/>
        <v>-0.99999999999997868</v>
      </c>
      <c r="O1160">
        <f t="shared" si="151"/>
        <v>-0.99999999999997868</v>
      </c>
      <c r="P1160">
        <f t="shared" si="152"/>
        <v>-1.9999999999999574</v>
      </c>
      <c r="Q1160">
        <f t="shared" si="153"/>
        <v>-4.0000000000000036</v>
      </c>
      <c r="R1160">
        <f t="shared" si="154"/>
        <v>-4.9999999999999822</v>
      </c>
    </row>
    <row r="1161" spans="1:18">
      <c r="A1161" s="9">
        <v>38407</v>
      </c>
      <c r="B1161">
        <v>3.51</v>
      </c>
      <c r="C1161">
        <v>3.85</v>
      </c>
      <c r="D1161">
        <v>4.03</v>
      </c>
      <c r="E1161">
        <v>4.16</v>
      </c>
      <c r="F1161">
        <v>4.26</v>
      </c>
      <c r="G1161">
        <v>4.4400000000000004</v>
      </c>
      <c r="H1161">
        <v>4.6500000000000004</v>
      </c>
      <c r="I1161">
        <v>5.08</v>
      </c>
      <c r="K1161">
        <f t="shared" si="147"/>
        <v>3.9999999999999591</v>
      </c>
      <c r="L1161">
        <f t="shared" si="148"/>
        <v>5.0000000000000266</v>
      </c>
      <c r="M1161">
        <f t="shared" si="149"/>
        <v>4.0000000000000036</v>
      </c>
      <c r="N1161">
        <f t="shared" si="150"/>
        <v>4.0000000000000036</v>
      </c>
      <c r="O1161">
        <f t="shared" si="151"/>
        <v>2.9999999999999361</v>
      </c>
      <c r="P1161">
        <f t="shared" si="152"/>
        <v>3.0000000000000249</v>
      </c>
      <c r="Q1161">
        <f t="shared" si="153"/>
        <v>3.0000000000000249</v>
      </c>
      <c r="R1161">
        <f t="shared" si="154"/>
        <v>3.0000000000000249</v>
      </c>
    </row>
    <row r="1162" spans="1:18">
      <c r="A1162" s="9">
        <v>38408</v>
      </c>
      <c r="B1162">
        <v>3.54</v>
      </c>
      <c r="C1162">
        <v>3.89</v>
      </c>
      <c r="D1162">
        <v>4.08</v>
      </c>
      <c r="E1162">
        <v>4.2</v>
      </c>
      <c r="F1162">
        <v>4.3099999999999996</v>
      </c>
      <c r="G1162">
        <v>4.4800000000000004</v>
      </c>
      <c r="H1162">
        <v>4.67</v>
      </c>
      <c r="I1162">
        <v>5.08</v>
      </c>
      <c r="K1162">
        <f t="shared" si="147"/>
        <v>3.0000000000000249</v>
      </c>
      <c r="L1162">
        <f t="shared" si="148"/>
        <v>4.0000000000000036</v>
      </c>
      <c r="M1162">
        <f t="shared" si="149"/>
        <v>4.9999999999999822</v>
      </c>
      <c r="N1162">
        <f t="shared" si="150"/>
        <v>4.0000000000000036</v>
      </c>
      <c r="O1162">
        <f t="shared" si="151"/>
        <v>4.9999999999999822</v>
      </c>
      <c r="P1162">
        <f t="shared" si="152"/>
        <v>4.0000000000000036</v>
      </c>
      <c r="Q1162">
        <f t="shared" si="153"/>
        <v>1.9999999999999574</v>
      </c>
      <c r="R1162">
        <f t="shared" si="154"/>
        <v>0</v>
      </c>
    </row>
    <row r="1163" spans="1:18">
      <c r="A1163" s="9">
        <v>38411</v>
      </c>
      <c r="B1163">
        <v>3.55</v>
      </c>
      <c r="C1163">
        <v>3.91</v>
      </c>
      <c r="D1163">
        <v>4.09</v>
      </c>
      <c r="E1163">
        <v>4.21</v>
      </c>
      <c r="F1163">
        <v>4.32</v>
      </c>
      <c r="G1163">
        <v>4.4800000000000004</v>
      </c>
      <c r="H1163">
        <v>4.68</v>
      </c>
      <c r="I1163">
        <v>5.07</v>
      </c>
      <c r="K1163">
        <f t="shared" si="147"/>
        <v>0.99999999999997868</v>
      </c>
      <c r="L1163">
        <f t="shared" si="148"/>
        <v>2.0000000000000018</v>
      </c>
      <c r="M1163">
        <f t="shared" si="149"/>
        <v>0.99999999999997868</v>
      </c>
      <c r="N1163">
        <f t="shared" si="150"/>
        <v>0.99999999999997868</v>
      </c>
      <c r="O1163">
        <f t="shared" si="151"/>
        <v>1.0000000000000675</v>
      </c>
      <c r="P1163">
        <f t="shared" si="152"/>
        <v>0</v>
      </c>
      <c r="Q1163">
        <f t="shared" si="153"/>
        <v>0.99999999999997868</v>
      </c>
      <c r="R1163">
        <f t="shared" si="154"/>
        <v>-0.99999999999997868</v>
      </c>
    </row>
    <row r="1164" spans="1:18">
      <c r="A1164" s="9">
        <v>38412</v>
      </c>
      <c r="B1164">
        <v>3.57</v>
      </c>
      <c r="C1164">
        <v>3.94</v>
      </c>
      <c r="D1164">
        <v>4.1399999999999997</v>
      </c>
      <c r="E1164">
        <v>4.29</v>
      </c>
      <c r="F1164">
        <v>4.41</v>
      </c>
      <c r="G1164">
        <v>4.59</v>
      </c>
      <c r="H1164">
        <v>4.79</v>
      </c>
      <c r="I1164">
        <v>5.18</v>
      </c>
      <c r="K1164">
        <f t="shared" si="147"/>
        <v>2.0000000000000018</v>
      </c>
      <c r="L1164">
        <f t="shared" si="148"/>
        <v>2.9999999999999805</v>
      </c>
      <c r="M1164">
        <f t="shared" si="149"/>
        <v>4.9999999999999822</v>
      </c>
      <c r="N1164">
        <f t="shared" si="150"/>
        <v>8.0000000000000071</v>
      </c>
      <c r="O1164">
        <f t="shared" si="151"/>
        <v>8.9999999999999858</v>
      </c>
      <c r="P1164">
        <f t="shared" si="152"/>
        <v>10.999999999999943</v>
      </c>
      <c r="Q1164">
        <f t="shared" si="153"/>
        <v>11.000000000000032</v>
      </c>
      <c r="R1164">
        <f t="shared" si="154"/>
        <v>10.999999999999943</v>
      </c>
    </row>
    <row r="1165" spans="1:18">
      <c r="A1165" s="9">
        <v>38413</v>
      </c>
      <c r="B1165">
        <v>3.57</v>
      </c>
      <c r="C1165">
        <v>3.94</v>
      </c>
      <c r="D1165">
        <v>4.1500000000000004</v>
      </c>
      <c r="E1165">
        <v>4.3</v>
      </c>
      <c r="F1165">
        <v>4.42</v>
      </c>
      <c r="G1165">
        <v>4.5999999999999996</v>
      </c>
      <c r="H1165">
        <v>4.8</v>
      </c>
      <c r="I1165">
        <v>5.19</v>
      </c>
      <c r="K1165">
        <f t="shared" si="147"/>
        <v>0</v>
      </c>
      <c r="L1165">
        <f t="shared" si="148"/>
        <v>0</v>
      </c>
      <c r="M1165">
        <f t="shared" si="149"/>
        <v>1.0000000000000675</v>
      </c>
      <c r="N1165">
        <f t="shared" si="150"/>
        <v>0.99999999999997868</v>
      </c>
      <c r="O1165">
        <f t="shared" si="151"/>
        <v>0.99999999999997868</v>
      </c>
      <c r="P1165">
        <f t="shared" si="152"/>
        <v>0.99999999999997868</v>
      </c>
      <c r="Q1165">
        <f t="shared" si="153"/>
        <v>0.99999999999997868</v>
      </c>
      <c r="R1165">
        <f t="shared" si="154"/>
        <v>1.0000000000000675</v>
      </c>
    </row>
    <row r="1166" spans="1:18">
      <c r="A1166" s="9">
        <v>38414</v>
      </c>
      <c r="B1166">
        <v>3.57</v>
      </c>
      <c r="C1166">
        <v>3.93</v>
      </c>
      <c r="D1166">
        <v>4.13</v>
      </c>
      <c r="E1166">
        <v>4.28</v>
      </c>
      <c r="F1166">
        <v>4.4000000000000004</v>
      </c>
      <c r="G1166">
        <v>4.57</v>
      </c>
      <c r="H1166">
        <v>4.78</v>
      </c>
      <c r="I1166">
        <v>5.18</v>
      </c>
      <c r="K1166">
        <f t="shared" si="147"/>
        <v>0</v>
      </c>
      <c r="L1166">
        <f t="shared" si="148"/>
        <v>-0.99999999999997868</v>
      </c>
      <c r="M1166">
        <f t="shared" si="149"/>
        <v>-2.0000000000000462</v>
      </c>
      <c r="N1166">
        <f t="shared" si="150"/>
        <v>-1.9999999999999574</v>
      </c>
      <c r="O1166">
        <f t="shared" si="151"/>
        <v>-1.9999999999999574</v>
      </c>
      <c r="P1166">
        <f t="shared" si="152"/>
        <v>-2.9999999999999361</v>
      </c>
      <c r="Q1166">
        <f t="shared" si="153"/>
        <v>-1.9999999999999574</v>
      </c>
      <c r="R1166">
        <f t="shared" si="154"/>
        <v>-1.0000000000000675</v>
      </c>
    </row>
    <row r="1167" spans="1:18">
      <c r="A1167" s="9">
        <v>38415</v>
      </c>
      <c r="B1167">
        <v>3.57</v>
      </c>
      <c r="C1167">
        <v>3.92</v>
      </c>
      <c r="D1167">
        <v>4.12</v>
      </c>
      <c r="E1167">
        <v>4.25</v>
      </c>
      <c r="F1167">
        <v>4.3600000000000003</v>
      </c>
      <c r="G1167">
        <v>4.54</v>
      </c>
      <c r="H1167">
        <v>4.74</v>
      </c>
      <c r="I1167">
        <v>5.13</v>
      </c>
      <c r="K1167">
        <f t="shared" si="147"/>
        <v>0</v>
      </c>
      <c r="L1167">
        <f t="shared" si="148"/>
        <v>-1.0000000000000231</v>
      </c>
      <c r="M1167">
        <f t="shared" si="149"/>
        <v>-0.99999999999997868</v>
      </c>
      <c r="N1167">
        <f t="shared" si="150"/>
        <v>-3.0000000000000249</v>
      </c>
      <c r="O1167">
        <f t="shared" si="151"/>
        <v>-4.0000000000000036</v>
      </c>
      <c r="P1167">
        <f t="shared" si="152"/>
        <v>-3.0000000000000249</v>
      </c>
      <c r="Q1167">
        <f t="shared" si="153"/>
        <v>-4.0000000000000036</v>
      </c>
      <c r="R1167">
        <f t="shared" si="154"/>
        <v>-4.9999999999999822</v>
      </c>
    </row>
    <row r="1168" spans="1:18">
      <c r="A1168" s="9">
        <v>38418</v>
      </c>
      <c r="B1168">
        <v>3.57</v>
      </c>
      <c r="C1168">
        <v>3.93</v>
      </c>
      <c r="D1168">
        <v>4.12</v>
      </c>
      <c r="E1168">
        <v>4.25</v>
      </c>
      <c r="F1168">
        <v>4.3499999999999996</v>
      </c>
      <c r="G1168">
        <v>4.51</v>
      </c>
      <c r="H1168">
        <v>4.7</v>
      </c>
      <c r="I1168">
        <v>5.0599999999999996</v>
      </c>
      <c r="K1168">
        <f t="shared" si="147"/>
        <v>0</v>
      </c>
      <c r="L1168">
        <f t="shared" si="148"/>
        <v>1.0000000000000231</v>
      </c>
      <c r="M1168">
        <f t="shared" si="149"/>
        <v>0</v>
      </c>
      <c r="N1168">
        <f t="shared" si="150"/>
        <v>0</v>
      </c>
      <c r="O1168">
        <f t="shared" si="151"/>
        <v>-1.0000000000000675</v>
      </c>
      <c r="P1168">
        <f t="shared" si="152"/>
        <v>-3.0000000000000249</v>
      </c>
      <c r="Q1168">
        <f t="shared" si="153"/>
        <v>-4.0000000000000036</v>
      </c>
      <c r="R1168">
        <f t="shared" si="154"/>
        <v>-7.0000000000000284</v>
      </c>
    </row>
    <row r="1169" spans="1:18">
      <c r="A1169" s="9">
        <v>38419</v>
      </c>
      <c r="B1169">
        <v>3.61</v>
      </c>
      <c r="C1169">
        <v>3.99</v>
      </c>
      <c r="D1169">
        <v>4.1900000000000004</v>
      </c>
      <c r="E1169">
        <v>4.32</v>
      </c>
      <c r="F1169">
        <v>4.43</v>
      </c>
      <c r="G1169">
        <v>4.59</v>
      </c>
      <c r="H1169">
        <v>4.78</v>
      </c>
      <c r="I1169">
        <v>5.14</v>
      </c>
      <c r="K1169">
        <f t="shared" si="147"/>
        <v>4.0000000000000036</v>
      </c>
      <c r="L1169">
        <f t="shared" si="148"/>
        <v>6.0000000000000053</v>
      </c>
      <c r="M1169">
        <f t="shared" si="149"/>
        <v>7.0000000000000284</v>
      </c>
      <c r="N1169">
        <f t="shared" si="150"/>
        <v>7.0000000000000284</v>
      </c>
      <c r="O1169">
        <f t="shared" si="151"/>
        <v>8.0000000000000071</v>
      </c>
      <c r="P1169">
        <f t="shared" si="152"/>
        <v>8.0000000000000071</v>
      </c>
      <c r="Q1169">
        <f t="shared" si="153"/>
        <v>8.0000000000000071</v>
      </c>
      <c r="R1169">
        <f t="shared" si="154"/>
        <v>8.0000000000000071</v>
      </c>
    </row>
    <row r="1170" spans="1:18">
      <c r="A1170" s="9">
        <v>38420</v>
      </c>
      <c r="B1170">
        <v>3.63</v>
      </c>
      <c r="C1170">
        <v>4.0199999999999996</v>
      </c>
      <c r="D1170">
        <v>4.2300000000000004</v>
      </c>
      <c r="E1170">
        <v>4.38</v>
      </c>
      <c r="F1170">
        <v>4.51</v>
      </c>
      <c r="G1170">
        <v>4.68</v>
      </c>
      <c r="H1170">
        <v>4.88</v>
      </c>
      <c r="I1170">
        <v>5.25</v>
      </c>
      <c r="K1170">
        <f t="shared" si="147"/>
        <v>2.0000000000000018</v>
      </c>
      <c r="L1170">
        <f t="shared" si="148"/>
        <v>2.9999999999999361</v>
      </c>
      <c r="M1170">
        <f t="shared" si="149"/>
        <v>4.0000000000000036</v>
      </c>
      <c r="N1170">
        <f t="shared" si="150"/>
        <v>5.9999999999999609</v>
      </c>
      <c r="O1170">
        <f t="shared" si="151"/>
        <v>8.0000000000000071</v>
      </c>
      <c r="P1170">
        <f t="shared" si="152"/>
        <v>8.9999999999999858</v>
      </c>
      <c r="Q1170">
        <f t="shared" si="153"/>
        <v>9.9999999999999645</v>
      </c>
      <c r="R1170">
        <f t="shared" si="154"/>
        <v>11.000000000000032</v>
      </c>
    </row>
    <row r="1171" spans="1:18">
      <c r="A1171" s="9">
        <v>38421</v>
      </c>
      <c r="B1171">
        <v>3.66</v>
      </c>
      <c r="C1171">
        <v>4.05</v>
      </c>
      <c r="D1171">
        <v>4.28</v>
      </c>
      <c r="E1171">
        <v>4.43</v>
      </c>
      <c r="F1171">
        <v>4.55</v>
      </c>
      <c r="G1171">
        <v>4.7300000000000004</v>
      </c>
      <c r="H1171">
        <v>4.92</v>
      </c>
      <c r="I1171">
        <v>5.28</v>
      </c>
      <c r="K1171">
        <f t="shared" si="147"/>
        <v>3.0000000000000249</v>
      </c>
      <c r="L1171">
        <f t="shared" si="148"/>
        <v>3.0000000000000249</v>
      </c>
      <c r="M1171">
        <f t="shared" si="149"/>
        <v>4.9999999999999822</v>
      </c>
      <c r="N1171">
        <f t="shared" si="150"/>
        <v>4.9999999999999822</v>
      </c>
      <c r="O1171">
        <f t="shared" si="151"/>
        <v>4.0000000000000036</v>
      </c>
      <c r="P1171">
        <f t="shared" si="152"/>
        <v>5.0000000000000711</v>
      </c>
      <c r="Q1171">
        <f t="shared" si="153"/>
        <v>4.0000000000000036</v>
      </c>
      <c r="R1171">
        <f t="shared" si="154"/>
        <v>3.0000000000000249</v>
      </c>
    </row>
    <row r="1172" spans="1:18">
      <c r="A1172" s="9">
        <v>38422</v>
      </c>
      <c r="B1172">
        <v>3.68</v>
      </c>
      <c r="C1172">
        <v>4.09</v>
      </c>
      <c r="D1172">
        <v>4.32</v>
      </c>
      <c r="E1172">
        <v>4.47</v>
      </c>
      <c r="F1172">
        <v>4.59</v>
      </c>
      <c r="G1172">
        <v>4.76</v>
      </c>
      <c r="H1172">
        <v>4.95</v>
      </c>
      <c r="I1172">
        <v>5.29</v>
      </c>
      <c r="K1172">
        <f t="shared" si="147"/>
        <v>2.0000000000000018</v>
      </c>
      <c r="L1172">
        <f t="shared" si="148"/>
        <v>4.0000000000000036</v>
      </c>
      <c r="M1172">
        <f t="shared" si="149"/>
        <v>4.0000000000000036</v>
      </c>
      <c r="N1172">
        <f t="shared" si="150"/>
        <v>4.0000000000000036</v>
      </c>
      <c r="O1172">
        <f t="shared" si="151"/>
        <v>4.0000000000000036</v>
      </c>
      <c r="P1172">
        <f t="shared" si="152"/>
        <v>2.9999999999999361</v>
      </c>
      <c r="Q1172">
        <f t="shared" si="153"/>
        <v>3.0000000000000249</v>
      </c>
      <c r="R1172">
        <f t="shared" si="154"/>
        <v>0.99999999999997868</v>
      </c>
    </row>
    <row r="1173" spans="1:18">
      <c r="A1173" s="9">
        <v>38425</v>
      </c>
      <c r="B1173">
        <v>3.7</v>
      </c>
      <c r="C1173">
        <v>4.12</v>
      </c>
      <c r="D1173">
        <v>4.3499999999999996</v>
      </c>
      <c r="E1173">
        <v>4.51</v>
      </c>
      <c r="F1173">
        <v>4.63</v>
      </c>
      <c r="G1173">
        <v>4.79</v>
      </c>
      <c r="H1173">
        <v>4.97</v>
      </c>
      <c r="I1173">
        <v>5.29</v>
      </c>
      <c r="K1173">
        <f t="shared" si="147"/>
        <v>2.0000000000000018</v>
      </c>
      <c r="L1173">
        <f t="shared" si="148"/>
        <v>3.0000000000000249</v>
      </c>
      <c r="M1173">
        <f t="shared" si="149"/>
        <v>2.9999999999999361</v>
      </c>
      <c r="N1173">
        <f t="shared" si="150"/>
        <v>4.0000000000000036</v>
      </c>
      <c r="O1173">
        <f t="shared" si="151"/>
        <v>4.0000000000000036</v>
      </c>
      <c r="P1173">
        <f t="shared" si="152"/>
        <v>3.0000000000000249</v>
      </c>
      <c r="Q1173">
        <f t="shared" si="153"/>
        <v>1.9999999999999574</v>
      </c>
      <c r="R1173">
        <f t="shared" si="154"/>
        <v>0</v>
      </c>
    </row>
    <row r="1174" spans="1:18">
      <c r="A1174" s="9">
        <v>38426</v>
      </c>
      <c r="B1174">
        <v>3.7</v>
      </c>
      <c r="C1174">
        <v>4.12</v>
      </c>
      <c r="D1174">
        <v>4.33</v>
      </c>
      <c r="E1174">
        <v>4.47</v>
      </c>
      <c r="F1174">
        <v>4.58</v>
      </c>
      <c r="G1174">
        <v>4.7300000000000004</v>
      </c>
      <c r="H1174">
        <v>4.91</v>
      </c>
      <c r="I1174">
        <v>5.24</v>
      </c>
      <c r="K1174">
        <f t="shared" si="147"/>
        <v>0</v>
      </c>
      <c r="L1174">
        <f t="shared" si="148"/>
        <v>0</v>
      </c>
      <c r="M1174">
        <f t="shared" si="149"/>
        <v>-1.9999999999999574</v>
      </c>
      <c r="N1174">
        <f t="shared" si="150"/>
        <v>-4.0000000000000036</v>
      </c>
      <c r="O1174">
        <f t="shared" si="151"/>
        <v>-4.9999999999999822</v>
      </c>
      <c r="P1174">
        <f t="shared" si="152"/>
        <v>-5.9999999999999609</v>
      </c>
      <c r="Q1174">
        <f t="shared" si="153"/>
        <v>-5.9999999999999609</v>
      </c>
      <c r="R1174">
        <f t="shared" si="154"/>
        <v>-4.9999999999999822</v>
      </c>
    </row>
    <row r="1175" spans="1:18">
      <c r="A1175" s="9">
        <v>38427</v>
      </c>
      <c r="B1175">
        <v>3.68</v>
      </c>
      <c r="C1175">
        <v>4.07</v>
      </c>
      <c r="D1175">
        <v>4.28</v>
      </c>
      <c r="E1175">
        <v>4.43</v>
      </c>
      <c r="F1175">
        <v>4.54</v>
      </c>
      <c r="G1175">
        <v>4.72</v>
      </c>
      <c r="H1175">
        <v>4.92</v>
      </c>
      <c r="I1175">
        <v>5.28</v>
      </c>
      <c r="K1175">
        <f t="shared" si="147"/>
        <v>-2.0000000000000018</v>
      </c>
      <c r="L1175">
        <f t="shared" si="148"/>
        <v>-4.9999999999999822</v>
      </c>
      <c r="M1175">
        <f t="shared" si="149"/>
        <v>-4.9999999999999822</v>
      </c>
      <c r="N1175">
        <f t="shared" si="150"/>
        <v>-4.0000000000000036</v>
      </c>
      <c r="O1175">
        <f t="shared" si="151"/>
        <v>-4.0000000000000036</v>
      </c>
      <c r="P1175">
        <f t="shared" si="152"/>
        <v>-1.0000000000000675</v>
      </c>
      <c r="Q1175">
        <f t="shared" si="153"/>
        <v>0.99999999999997868</v>
      </c>
      <c r="R1175">
        <f t="shared" si="154"/>
        <v>4.0000000000000036</v>
      </c>
    </row>
    <row r="1176" spans="1:18">
      <c r="A1176" s="9">
        <v>38428</v>
      </c>
      <c r="B1176">
        <v>3.7</v>
      </c>
      <c r="C1176">
        <v>4.08</v>
      </c>
      <c r="D1176">
        <v>4.29</v>
      </c>
      <c r="E1176">
        <v>4.4400000000000004</v>
      </c>
      <c r="F1176">
        <v>4.55</v>
      </c>
      <c r="G1176">
        <v>4.72</v>
      </c>
      <c r="H1176">
        <v>4.91</v>
      </c>
      <c r="I1176">
        <v>5.26</v>
      </c>
      <c r="K1176">
        <f t="shared" si="147"/>
        <v>2.0000000000000018</v>
      </c>
      <c r="L1176">
        <f t="shared" si="148"/>
        <v>0.99999999999997868</v>
      </c>
      <c r="M1176">
        <f t="shared" si="149"/>
        <v>0.99999999999997868</v>
      </c>
      <c r="N1176">
        <f t="shared" si="150"/>
        <v>1.0000000000000675</v>
      </c>
      <c r="O1176">
        <f t="shared" si="151"/>
        <v>0.99999999999997868</v>
      </c>
      <c r="P1176">
        <f t="shared" si="152"/>
        <v>0</v>
      </c>
      <c r="Q1176">
        <f t="shared" si="153"/>
        <v>-0.99999999999997868</v>
      </c>
      <c r="R1176">
        <f t="shared" si="154"/>
        <v>-2.0000000000000462</v>
      </c>
    </row>
    <row r="1177" spans="1:18">
      <c r="A1177" s="9">
        <v>38429</v>
      </c>
      <c r="B1177">
        <v>3.72</v>
      </c>
      <c r="C1177">
        <v>4.1100000000000003</v>
      </c>
      <c r="D1177">
        <v>4.32</v>
      </c>
      <c r="E1177">
        <v>4.46</v>
      </c>
      <c r="F1177">
        <v>4.57</v>
      </c>
      <c r="G1177">
        <v>4.7300000000000004</v>
      </c>
      <c r="H1177">
        <v>4.92</v>
      </c>
      <c r="I1177">
        <v>5.27</v>
      </c>
      <c r="K1177">
        <f t="shared" si="147"/>
        <v>2.0000000000000018</v>
      </c>
      <c r="L1177">
        <f t="shared" si="148"/>
        <v>3.0000000000000249</v>
      </c>
      <c r="M1177">
        <f t="shared" si="149"/>
        <v>3.0000000000000249</v>
      </c>
      <c r="N1177">
        <f t="shared" si="150"/>
        <v>1.9999999999999574</v>
      </c>
      <c r="O1177">
        <f t="shared" si="151"/>
        <v>2.0000000000000462</v>
      </c>
      <c r="P1177">
        <f t="shared" si="152"/>
        <v>1.0000000000000675</v>
      </c>
      <c r="Q1177">
        <f t="shared" si="153"/>
        <v>0.99999999999997868</v>
      </c>
      <c r="R1177">
        <f t="shared" si="154"/>
        <v>0.99999999999997868</v>
      </c>
    </row>
    <row r="1178" spans="1:18">
      <c r="A1178" s="9">
        <v>38432</v>
      </c>
      <c r="B1178">
        <v>3.72</v>
      </c>
      <c r="C1178">
        <v>4.12</v>
      </c>
      <c r="D1178">
        <v>4.34</v>
      </c>
      <c r="E1178">
        <v>4.49</v>
      </c>
      <c r="F1178">
        <v>4.5999999999999996</v>
      </c>
      <c r="G1178">
        <v>4.76</v>
      </c>
      <c r="H1178">
        <v>4.95</v>
      </c>
      <c r="I1178">
        <v>5.31</v>
      </c>
      <c r="K1178">
        <f t="shared" si="147"/>
        <v>0</v>
      </c>
      <c r="L1178">
        <f t="shared" si="148"/>
        <v>0.99999999999997868</v>
      </c>
      <c r="M1178">
        <f t="shared" si="149"/>
        <v>1.9999999999999574</v>
      </c>
      <c r="N1178">
        <f t="shared" si="150"/>
        <v>3.0000000000000249</v>
      </c>
      <c r="O1178">
        <f t="shared" si="151"/>
        <v>2.9999999999999361</v>
      </c>
      <c r="P1178">
        <f t="shared" si="152"/>
        <v>2.9999999999999361</v>
      </c>
      <c r="Q1178">
        <f t="shared" si="153"/>
        <v>3.0000000000000249</v>
      </c>
      <c r="R1178">
        <f t="shared" si="154"/>
        <v>4.0000000000000036</v>
      </c>
    </row>
    <row r="1179" spans="1:18">
      <c r="A1179" s="9">
        <v>38433</v>
      </c>
      <c r="B1179">
        <v>3.72</v>
      </c>
      <c r="C1179">
        <v>4.1100000000000003</v>
      </c>
      <c r="D1179">
        <v>4.32</v>
      </c>
      <c r="E1179">
        <v>4.46</v>
      </c>
      <c r="F1179">
        <v>4.57</v>
      </c>
      <c r="G1179">
        <v>4.74</v>
      </c>
      <c r="H1179">
        <v>4.93</v>
      </c>
      <c r="I1179">
        <v>5.28</v>
      </c>
      <c r="K1179">
        <f t="shared" si="147"/>
        <v>0</v>
      </c>
      <c r="L1179">
        <f t="shared" si="148"/>
        <v>-0.99999999999997868</v>
      </c>
      <c r="M1179">
        <f t="shared" si="149"/>
        <v>-1.9999999999999574</v>
      </c>
      <c r="N1179">
        <f t="shared" si="150"/>
        <v>-3.0000000000000249</v>
      </c>
      <c r="O1179">
        <f t="shared" si="151"/>
        <v>-2.9999999999999361</v>
      </c>
      <c r="P1179">
        <f t="shared" si="152"/>
        <v>-1.9999999999999574</v>
      </c>
      <c r="Q1179">
        <f t="shared" si="153"/>
        <v>-2.0000000000000462</v>
      </c>
      <c r="R1179">
        <f t="shared" si="154"/>
        <v>-2.9999999999999361</v>
      </c>
    </row>
    <row r="1180" spans="1:18">
      <c r="A1180" s="9">
        <v>38434</v>
      </c>
      <c r="B1180">
        <v>3.85</v>
      </c>
      <c r="C1180">
        <v>4.29</v>
      </c>
      <c r="D1180">
        <v>4.5199999999999996</v>
      </c>
      <c r="E1180">
        <v>4.67</v>
      </c>
      <c r="F1180">
        <v>4.78</v>
      </c>
      <c r="G1180">
        <v>4.92</v>
      </c>
      <c r="H1180">
        <v>5.09</v>
      </c>
      <c r="I1180">
        <v>5.4</v>
      </c>
      <c r="K1180">
        <f t="shared" si="147"/>
        <v>12.999999999999989</v>
      </c>
      <c r="L1180">
        <f t="shared" si="148"/>
        <v>17.999999999999972</v>
      </c>
      <c r="M1180">
        <f t="shared" si="149"/>
        <v>19.999999999999929</v>
      </c>
      <c r="N1180">
        <f t="shared" si="150"/>
        <v>20.999999999999996</v>
      </c>
      <c r="O1180">
        <f t="shared" si="151"/>
        <v>20.999999999999996</v>
      </c>
      <c r="P1180">
        <f t="shared" si="152"/>
        <v>17.999999999999972</v>
      </c>
      <c r="Q1180">
        <f t="shared" si="153"/>
        <v>16.000000000000014</v>
      </c>
      <c r="R1180">
        <f t="shared" si="154"/>
        <v>12.000000000000011</v>
      </c>
    </row>
    <row r="1181" spans="1:18">
      <c r="A1181" s="9">
        <v>38435</v>
      </c>
      <c r="B1181">
        <v>3.82</v>
      </c>
      <c r="C1181">
        <v>4.26</v>
      </c>
      <c r="D1181">
        <v>4.4800000000000004</v>
      </c>
      <c r="E1181">
        <v>4.6100000000000003</v>
      </c>
      <c r="F1181">
        <v>4.72</v>
      </c>
      <c r="G1181">
        <v>4.8600000000000003</v>
      </c>
      <c r="H1181">
        <v>5.03</v>
      </c>
      <c r="I1181">
        <v>5.34</v>
      </c>
      <c r="K1181">
        <f t="shared" si="147"/>
        <v>-3.0000000000000249</v>
      </c>
      <c r="L1181">
        <f t="shared" si="148"/>
        <v>-3.0000000000000249</v>
      </c>
      <c r="M1181">
        <f t="shared" si="149"/>
        <v>-3.9999999999999147</v>
      </c>
      <c r="N1181">
        <f t="shared" si="150"/>
        <v>-5.9999999999999609</v>
      </c>
      <c r="O1181">
        <f t="shared" si="151"/>
        <v>-6.0000000000000497</v>
      </c>
      <c r="P1181">
        <f t="shared" si="152"/>
        <v>-5.9999999999999609</v>
      </c>
      <c r="Q1181">
        <f t="shared" si="153"/>
        <v>-5.9999999999999609</v>
      </c>
      <c r="R1181">
        <f t="shared" si="154"/>
        <v>-6.0000000000000497</v>
      </c>
    </row>
    <row r="1182" spans="1:18">
      <c r="A1182" s="9">
        <v>38439</v>
      </c>
      <c r="B1182">
        <v>3.86</v>
      </c>
      <c r="C1182">
        <v>4.3</v>
      </c>
      <c r="D1182">
        <v>4.53</v>
      </c>
      <c r="E1182">
        <v>4.67</v>
      </c>
      <c r="F1182">
        <v>4.7699999999999996</v>
      </c>
      <c r="G1182">
        <v>4.92</v>
      </c>
      <c r="H1182">
        <v>5.08</v>
      </c>
      <c r="I1182">
        <v>5.38</v>
      </c>
      <c r="K1182">
        <f t="shared" si="147"/>
        <v>4.0000000000000036</v>
      </c>
      <c r="L1182">
        <f t="shared" si="148"/>
        <v>4.0000000000000036</v>
      </c>
      <c r="M1182">
        <f t="shared" si="149"/>
        <v>4.9999999999999822</v>
      </c>
      <c r="N1182">
        <f t="shared" si="150"/>
        <v>5.9999999999999609</v>
      </c>
      <c r="O1182">
        <f t="shared" si="151"/>
        <v>4.9999999999999822</v>
      </c>
      <c r="P1182">
        <f t="shared" si="152"/>
        <v>5.9999999999999609</v>
      </c>
      <c r="Q1182">
        <f t="shared" si="153"/>
        <v>4.9999999999999822</v>
      </c>
      <c r="R1182">
        <f t="shared" si="154"/>
        <v>4.0000000000000036</v>
      </c>
    </row>
    <row r="1183" spans="1:18">
      <c r="A1183" s="9">
        <v>38440</v>
      </c>
      <c r="B1183">
        <v>3.85</v>
      </c>
      <c r="C1183">
        <v>4.28</v>
      </c>
      <c r="D1183">
        <v>4.5</v>
      </c>
      <c r="E1183">
        <v>4.6399999999999997</v>
      </c>
      <c r="F1183">
        <v>4.74</v>
      </c>
      <c r="G1183">
        <v>4.8899999999999997</v>
      </c>
      <c r="H1183">
        <v>5.0599999999999996</v>
      </c>
      <c r="I1183">
        <v>5.36</v>
      </c>
      <c r="K1183">
        <f t="shared" si="147"/>
        <v>-0.99999999999997868</v>
      </c>
      <c r="L1183">
        <f t="shared" si="148"/>
        <v>-1.9999999999999574</v>
      </c>
      <c r="M1183">
        <f t="shared" si="149"/>
        <v>-3.0000000000000249</v>
      </c>
      <c r="N1183">
        <f t="shared" si="150"/>
        <v>-3.0000000000000249</v>
      </c>
      <c r="O1183">
        <f t="shared" si="151"/>
        <v>-2.9999999999999361</v>
      </c>
      <c r="P1183">
        <f t="shared" si="152"/>
        <v>-3.0000000000000249</v>
      </c>
      <c r="Q1183">
        <f t="shared" si="153"/>
        <v>-2.0000000000000462</v>
      </c>
      <c r="R1183">
        <f t="shared" si="154"/>
        <v>-1.9999999999999574</v>
      </c>
    </row>
    <row r="1184" spans="1:18">
      <c r="A1184" s="9">
        <v>38441</v>
      </c>
      <c r="B1184">
        <v>3.85</v>
      </c>
      <c r="C1184">
        <v>4.2699999999999996</v>
      </c>
      <c r="D1184">
        <v>4.4800000000000004</v>
      </c>
      <c r="E1184">
        <v>4.62</v>
      </c>
      <c r="F1184">
        <v>4.72</v>
      </c>
      <c r="G1184">
        <v>4.8600000000000003</v>
      </c>
      <c r="H1184">
        <v>5.03</v>
      </c>
      <c r="I1184">
        <v>5.34</v>
      </c>
      <c r="K1184">
        <f t="shared" si="147"/>
        <v>0</v>
      </c>
      <c r="L1184">
        <f t="shared" si="148"/>
        <v>-1.0000000000000675</v>
      </c>
      <c r="M1184">
        <f t="shared" si="149"/>
        <v>-1.9999999999999574</v>
      </c>
      <c r="N1184">
        <f t="shared" si="150"/>
        <v>-1.9999999999999574</v>
      </c>
      <c r="O1184">
        <f t="shared" si="151"/>
        <v>-2.0000000000000462</v>
      </c>
      <c r="P1184">
        <f t="shared" si="152"/>
        <v>-2.9999999999999361</v>
      </c>
      <c r="Q1184">
        <f t="shared" si="153"/>
        <v>-2.9999999999999361</v>
      </c>
      <c r="R1184">
        <f t="shared" si="154"/>
        <v>-2.0000000000000462</v>
      </c>
    </row>
    <row r="1185" spans="1:18">
      <c r="A1185" s="9">
        <v>38442</v>
      </c>
      <c r="B1185">
        <v>3.82</v>
      </c>
      <c r="C1185">
        <v>4.21</v>
      </c>
      <c r="D1185">
        <v>4.42</v>
      </c>
      <c r="E1185">
        <v>4.55</v>
      </c>
      <c r="F1185">
        <v>4.6500000000000004</v>
      </c>
      <c r="G1185">
        <v>4.8</v>
      </c>
      <c r="H1185">
        <v>4.96</v>
      </c>
      <c r="I1185">
        <v>5.28</v>
      </c>
      <c r="K1185">
        <f t="shared" si="147"/>
        <v>-3.0000000000000249</v>
      </c>
      <c r="L1185">
        <f t="shared" si="148"/>
        <v>-5.9999999999999609</v>
      </c>
      <c r="M1185">
        <f t="shared" si="149"/>
        <v>-6.0000000000000497</v>
      </c>
      <c r="N1185">
        <f t="shared" si="150"/>
        <v>-7.0000000000000284</v>
      </c>
      <c r="O1185">
        <f t="shared" si="151"/>
        <v>-6.9999999999999396</v>
      </c>
      <c r="P1185">
        <f t="shared" si="152"/>
        <v>-6.0000000000000497</v>
      </c>
      <c r="Q1185">
        <f t="shared" si="153"/>
        <v>-7.0000000000000284</v>
      </c>
      <c r="R1185">
        <f t="shared" si="154"/>
        <v>-5.9999999999999609</v>
      </c>
    </row>
    <row r="1186" spans="1:18">
      <c r="A1186" s="9">
        <v>38443</v>
      </c>
      <c r="B1186">
        <v>3.82</v>
      </c>
      <c r="C1186">
        <v>4.21</v>
      </c>
      <c r="D1186">
        <v>4.42</v>
      </c>
      <c r="E1186">
        <v>4.55</v>
      </c>
      <c r="F1186">
        <v>4.6500000000000004</v>
      </c>
      <c r="G1186">
        <v>4.8</v>
      </c>
      <c r="H1186">
        <v>4.9800000000000004</v>
      </c>
      <c r="I1186">
        <v>5.29</v>
      </c>
      <c r="K1186">
        <f t="shared" si="147"/>
        <v>0</v>
      </c>
      <c r="L1186">
        <f t="shared" si="148"/>
        <v>0</v>
      </c>
      <c r="M1186">
        <f t="shared" si="149"/>
        <v>0</v>
      </c>
      <c r="N1186">
        <f t="shared" si="150"/>
        <v>0</v>
      </c>
      <c r="O1186">
        <f t="shared" si="151"/>
        <v>0</v>
      </c>
      <c r="P1186">
        <f t="shared" si="152"/>
        <v>0</v>
      </c>
      <c r="Q1186">
        <f t="shared" si="153"/>
        <v>2.0000000000000462</v>
      </c>
      <c r="R1186">
        <f t="shared" si="154"/>
        <v>0.99999999999997868</v>
      </c>
    </row>
    <row r="1187" spans="1:18">
      <c r="A1187" s="9">
        <v>38446</v>
      </c>
      <c r="B1187">
        <v>3.79</v>
      </c>
      <c r="C1187">
        <v>4.1500000000000004</v>
      </c>
      <c r="D1187">
        <v>4.3499999999999996</v>
      </c>
      <c r="E1187">
        <v>4.4800000000000004</v>
      </c>
      <c r="F1187">
        <v>4.58</v>
      </c>
      <c r="G1187">
        <v>4.74</v>
      </c>
      <c r="H1187">
        <v>4.92</v>
      </c>
      <c r="I1187">
        <v>5.24</v>
      </c>
      <c r="K1187">
        <f t="shared" si="147"/>
        <v>-2.9999999999999805</v>
      </c>
      <c r="L1187">
        <f t="shared" si="148"/>
        <v>-5.9999999999999609</v>
      </c>
      <c r="M1187">
        <f t="shared" si="149"/>
        <v>-7.0000000000000284</v>
      </c>
      <c r="N1187">
        <f t="shared" si="150"/>
        <v>-6.9999999999999396</v>
      </c>
      <c r="O1187">
        <f t="shared" si="151"/>
        <v>-7.0000000000000284</v>
      </c>
      <c r="P1187">
        <f t="shared" si="152"/>
        <v>-5.9999999999999609</v>
      </c>
      <c r="Q1187">
        <f t="shared" si="153"/>
        <v>-6.0000000000000497</v>
      </c>
      <c r="R1187">
        <f t="shared" si="154"/>
        <v>-4.9999999999999822</v>
      </c>
    </row>
    <row r="1188" spans="1:18">
      <c r="A1188" s="9">
        <v>38447</v>
      </c>
      <c r="B1188">
        <v>3.8</v>
      </c>
      <c r="C1188">
        <v>4.16</v>
      </c>
      <c r="D1188">
        <v>4.3600000000000003</v>
      </c>
      <c r="E1188">
        <v>4.49</v>
      </c>
      <c r="F1188">
        <v>4.5999999999999996</v>
      </c>
      <c r="G1188">
        <v>4.76</v>
      </c>
      <c r="H1188">
        <v>4.93</v>
      </c>
      <c r="I1188">
        <v>5.27</v>
      </c>
      <c r="K1188">
        <f t="shared" si="147"/>
        <v>0.99999999999997868</v>
      </c>
      <c r="L1188">
        <f t="shared" si="148"/>
        <v>0.99999999999997868</v>
      </c>
      <c r="M1188">
        <f t="shared" si="149"/>
        <v>1.0000000000000675</v>
      </c>
      <c r="N1188">
        <f t="shared" si="150"/>
        <v>0.99999999999997868</v>
      </c>
      <c r="O1188">
        <f t="shared" si="151"/>
        <v>1.9999999999999574</v>
      </c>
      <c r="P1188">
        <f t="shared" si="152"/>
        <v>1.9999999999999574</v>
      </c>
      <c r="Q1188">
        <f t="shared" si="153"/>
        <v>0.99999999999997868</v>
      </c>
      <c r="R1188">
        <f t="shared" si="154"/>
        <v>2.9999999999999361</v>
      </c>
    </row>
    <row r="1189" spans="1:18">
      <c r="A1189" s="9">
        <v>38448</v>
      </c>
      <c r="B1189">
        <v>3.78</v>
      </c>
      <c r="C1189">
        <v>4.1399999999999997</v>
      </c>
      <c r="D1189">
        <v>4.32</v>
      </c>
      <c r="E1189">
        <v>4.45</v>
      </c>
      <c r="F1189">
        <v>4.5599999999999996</v>
      </c>
      <c r="G1189">
        <v>4.72</v>
      </c>
      <c r="H1189">
        <v>4.9000000000000004</v>
      </c>
      <c r="I1189">
        <v>5.25</v>
      </c>
      <c r="K1189">
        <f t="shared" si="147"/>
        <v>-2.0000000000000018</v>
      </c>
      <c r="L1189">
        <f t="shared" si="148"/>
        <v>-2.0000000000000462</v>
      </c>
      <c r="M1189">
        <f t="shared" si="149"/>
        <v>-4.0000000000000036</v>
      </c>
      <c r="N1189">
        <f t="shared" si="150"/>
        <v>-4.0000000000000036</v>
      </c>
      <c r="O1189">
        <f t="shared" si="151"/>
        <v>-4.0000000000000036</v>
      </c>
      <c r="P1189">
        <f t="shared" si="152"/>
        <v>-4.0000000000000036</v>
      </c>
      <c r="Q1189">
        <f t="shared" si="153"/>
        <v>-2.9999999999999361</v>
      </c>
      <c r="R1189">
        <f t="shared" si="154"/>
        <v>-1.9999999999999574</v>
      </c>
    </row>
    <row r="1190" spans="1:18">
      <c r="A1190" s="9">
        <v>38449</v>
      </c>
      <c r="B1190">
        <v>3.76</v>
      </c>
      <c r="C1190">
        <v>4.09</v>
      </c>
      <c r="D1190">
        <v>4.28</v>
      </c>
      <c r="E1190">
        <v>4.42</v>
      </c>
      <c r="F1190">
        <v>4.5199999999999996</v>
      </c>
      <c r="G1190">
        <v>4.6900000000000004</v>
      </c>
      <c r="H1190">
        <v>4.88</v>
      </c>
      <c r="I1190">
        <v>5.24</v>
      </c>
      <c r="K1190">
        <f t="shared" si="147"/>
        <v>-2.0000000000000018</v>
      </c>
      <c r="L1190">
        <f t="shared" si="148"/>
        <v>-4.9999999999999822</v>
      </c>
      <c r="M1190">
        <f t="shared" si="149"/>
        <v>-4.0000000000000036</v>
      </c>
      <c r="N1190">
        <f t="shared" si="150"/>
        <v>-3.0000000000000249</v>
      </c>
      <c r="O1190">
        <f t="shared" si="151"/>
        <v>-4.0000000000000036</v>
      </c>
      <c r="P1190">
        <f t="shared" si="152"/>
        <v>-2.9999999999999361</v>
      </c>
      <c r="Q1190">
        <f t="shared" si="153"/>
        <v>-2.0000000000000462</v>
      </c>
      <c r="R1190">
        <f t="shared" si="154"/>
        <v>-0.99999999999997868</v>
      </c>
    </row>
    <row r="1191" spans="1:18">
      <c r="A1191" s="9">
        <v>38450</v>
      </c>
      <c r="B1191">
        <v>3.82</v>
      </c>
      <c r="C1191">
        <v>4.1900000000000004</v>
      </c>
      <c r="D1191">
        <v>4.4000000000000004</v>
      </c>
      <c r="E1191">
        <v>4.54</v>
      </c>
      <c r="F1191">
        <v>4.6500000000000004</v>
      </c>
      <c r="G1191">
        <v>4.8099999999999996</v>
      </c>
      <c r="H1191">
        <v>4.99</v>
      </c>
      <c r="I1191">
        <v>5.34</v>
      </c>
      <c r="K1191">
        <f t="shared" si="147"/>
        <v>6.0000000000000053</v>
      </c>
      <c r="L1191">
        <f t="shared" si="148"/>
        <v>10.000000000000053</v>
      </c>
      <c r="M1191">
        <f t="shared" si="149"/>
        <v>12.000000000000011</v>
      </c>
      <c r="N1191">
        <f t="shared" si="150"/>
        <v>12.000000000000011</v>
      </c>
      <c r="O1191">
        <f t="shared" si="151"/>
        <v>13.000000000000078</v>
      </c>
      <c r="P1191">
        <f t="shared" si="152"/>
        <v>11.999999999999922</v>
      </c>
      <c r="Q1191">
        <f t="shared" si="153"/>
        <v>11.000000000000032</v>
      </c>
      <c r="R1191">
        <f t="shared" si="154"/>
        <v>9.9999999999999645</v>
      </c>
    </row>
    <row r="1192" spans="1:18">
      <c r="A1192" s="9">
        <v>38453</v>
      </c>
      <c r="B1192">
        <v>3.82</v>
      </c>
      <c r="C1192">
        <v>4.1900000000000004</v>
      </c>
      <c r="D1192">
        <v>4.3899999999999997</v>
      </c>
      <c r="E1192">
        <v>4.5199999999999996</v>
      </c>
      <c r="F1192">
        <v>4.62</v>
      </c>
      <c r="G1192">
        <v>4.7699999999999996</v>
      </c>
      <c r="H1192">
        <v>4.9400000000000004</v>
      </c>
      <c r="I1192">
        <v>5.27</v>
      </c>
      <c r="K1192">
        <f t="shared" si="147"/>
        <v>0</v>
      </c>
      <c r="L1192">
        <f t="shared" si="148"/>
        <v>0</v>
      </c>
      <c r="M1192">
        <f t="shared" si="149"/>
        <v>-1.0000000000000675</v>
      </c>
      <c r="N1192">
        <f t="shared" si="150"/>
        <v>-2.0000000000000462</v>
      </c>
      <c r="O1192">
        <f t="shared" si="151"/>
        <v>-3.0000000000000249</v>
      </c>
      <c r="P1192">
        <f t="shared" si="152"/>
        <v>-4.0000000000000036</v>
      </c>
      <c r="Q1192">
        <f t="shared" si="153"/>
        <v>-4.9999999999999822</v>
      </c>
      <c r="R1192">
        <f t="shared" si="154"/>
        <v>-7.0000000000000284</v>
      </c>
    </row>
    <row r="1193" spans="1:18">
      <c r="A1193" s="9">
        <v>38454</v>
      </c>
      <c r="B1193">
        <v>3.83</v>
      </c>
      <c r="C1193">
        <v>4.18</v>
      </c>
      <c r="D1193">
        <v>4.37</v>
      </c>
      <c r="E1193">
        <v>4.5</v>
      </c>
      <c r="F1193">
        <v>4.59</v>
      </c>
      <c r="G1193">
        <v>4.75</v>
      </c>
      <c r="H1193">
        <v>4.92</v>
      </c>
      <c r="I1193">
        <v>5.25</v>
      </c>
      <c r="K1193">
        <f t="shared" si="147"/>
        <v>1.0000000000000231</v>
      </c>
      <c r="L1193">
        <f t="shared" si="148"/>
        <v>-1.0000000000000675</v>
      </c>
      <c r="M1193">
        <f t="shared" si="149"/>
        <v>-1.9999999999999574</v>
      </c>
      <c r="N1193">
        <f t="shared" si="150"/>
        <v>-1.9999999999999574</v>
      </c>
      <c r="O1193">
        <f t="shared" si="151"/>
        <v>-3.0000000000000249</v>
      </c>
      <c r="P1193">
        <f t="shared" si="152"/>
        <v>-1.9999999999999574</v>
      </c>
      <c r="Q1193">
        <f t="shared" si="153"/>
        <v>-2.0000000000000462</v>
      </c>
      <c r="R1193">
        <f t="shared" si="154"/>
        <v>-1.9999999999999574</v>
      </c>
    </row>
    <row r="1194" spans="1:18">
      <c r="A1194" s="9">
        <v>38455</v>
      </c>
      <c r="B1194">
        <v>3.77</v>
      </c>
      <c r="C1194">
        <v>4.0999999999999996</v>
      </c>
      <c r="D1194">
        <v>4.2699999999999996</v>
      </c>
      <c r="E1194">
        <v>4.3899999999999997</v>
      </c>
      <c r="F1194">
        <v>4.49</v>
      </c>
      <c r="G1194">
        <v>4.6399999999999997</v>
      </c>
      <c r="H1194">
        <v>4.82</v>
      </c>
      <c r="I1194">
        <v>5.17</v>
      </c>
      <c r="K1194">
        <f t="shared" si="147"/>
        <v>-6.0000000000000053</v>
      </c>
      <c r="L1194">
        <f t="shared" si="148"/>
        <v>-8.0000000000000071</v>
      </c>
      <c r="M1194">
        <f t="shared" si="149"/>
        <v>-10.000000000000053</v>
      </c>
      <c r="N1194">
        <f t="shared" si="150"/>
        <v>-11.000000000000032</v>
      </c>
      <c r="O1194">
        <f t="shared" si="151"/>
        <v>-9.9999999999999645</v>
      </c>
      <c r="P1194">
        <f t="shared" si="152"/>
        <v>-11.000000000000032</v>
      </c>
      <c r="Q1194">
        <f t="shared" si="153"/>
        <v>-9.9999999999999645</v>
      </c>
      <c r="R1194">
        <f t="shared" si="154"/>
        <v>-8.0000000000000071</v>
      </c>
    </row>
    <row r="1195" spans="1:18">
      <c r="A1195" s="9">
        <v>38456</v>
      </c>
      <c r="B1195">
        <v>3.73</v>
      </c>
      <c r="C1195">
        <v>4.05</v>
      </c>
      <c r="D1195">
        <v>4.2300000000000004</v>
      </c>
      <c r="E1195">
        <v>4.3600000000000003</v>
      </c>
      <c r="F1195">
        <v>4.46</v>
      </c>
      <c r="G1195">
        <v>4.62</v>
      </c>
      <c r="H1195">
        <v>4.8099999999999996</v>
      </c>
      <c r="I1195">
        <v>5.17</v>
      </c>
      <c r="K1195">
        <f t="shared" si="147"/>
        <v>-4.0000000000000036</v>
      </c>
      <c r="L1195">
        <f t="shared" si="148"/>
        <v>-4.9999999999999822</v>
      </c>
      <c r="M1195">
        <f t="shared" si="149"/>
        <v>-3.9999999999999147</v>
      </c>
      <c r="N1195">
        <f t="shared" si="150"/>
        <v>-2.9999999999999361</v>
      </c>
      <c r="O1195">
        <f t="shared" si="151"/>
        <v>-3.0000000000000249</v>
      </c>
      <c r="P1195">
        <f t="shared" si="152"/>
        <v>-1.9999999999999574</v>
      </c>
      <c r="Q1195">
        <f t="shared" si="153"/>
        <v>-1.0000000000000675</v>
      </c>
      <c r="R1195">
        <f t="shared" si="154"/>
        <v>0</v>
      </c>
    </row>
    <row r="1196" spans="1:18">
      <c r="A1196" s="9">
        <v>38457</v>
      </c>
      <c r="B1196">
        <v>3.7</v>
      </c>
      <c r="C1196">
        <v>4.01</v>
      </c>
      <c r="D1196">
        <v>4.1900000000000004</v>
      </c>
      <c r="E1196">
        <v>4.32</v>
      </c>
      <c r="F1196">
        <v>4.43</v>
      </c>
      <c r="G1196">
        <v>4.59</v>
      </c>
      <c r="H1196">
        <v>4.78</v>
      </c>
      <c r="I1196">
        <v>5.16</v>
      </c>
      <c r="K1196">
        <f t="shared" si="147"/>
        <v>-2.9999999999999805</v>
      </c>
      <c r="L1196">
        <f t="shared" si="148"/>
        <v>-4.0000000000000036</v>
      </c>
      <c r="M1196">
        <f t="shared" si="149"/>
        <v>-4.0000000000000036</v>
      </c>
      <c r="N1196">
        <f t="shared" si="150"/>
        <v>-4.0000000000000036</v>
      </c>
      <c r="O1196">
        <f t="shared" si="151"/>
        <v>-3.0000000000000249</v>
      </c>
      <c r="P1196">
        <f t="shared" si="152"/>
        <v>-3.0000000000000249</v>
      </c>
      <c r="Q1196">
        <f t="shared" si="153"/>
        <v>-2.9999999999999361</v>
      </c>
      <c r="R1196">
        <f t="shared" si="154"/>
        <v>-0.99999999999997868</v>
      </c>
    </row>
    <row r="1197" spans="1:18">
      <c r="A1197" s="9">
        <v>38460</v>
      </c>
      <c r="B1197">
        <v>3.63</v>
      </c>
      <c r="C1197">
        <v>3.92</v>
      </c>
      <c r="D1197">
        <v>4.0999999999999996</v>
      </c>
      <c r="E1197">
        <v>4.2300000000000004</v>
      </c>
      <c r="F1197">
        <v>4.33</v>
      </c>
      <c r="G1197">
        <v>4.5</v>
      </c>
      <c r="H1197">
        <v>4.7</v>
      </c>
      <c r="I1197">
        <v>5.08</v>
      </c>
      <c r="K1197">
        <f t="shared" si="147"/>
        <v>-7.0000000000000284</v>
      </c>
      <c r="L1197">
        <f t="shared" si="148"/>
        <v>-8.9999999999999858</v>
      </c>
      <c r="M1197">
        <f t="shared" si="149"/>
        <v>-9.0000000000000746</v>
      </c>
      <c r="N1197">
        <f t="shared" si="150"/>
        <v>-8.9999999999999858</v>
      </c>
      <c r="O1197">
        <f t="shared" si="151"/>
        <v>-9.9999999999999645</v>
      </c>
      <c r="P1197">
        <f t="shared" si="152"/>
        <v>-8.9999999999999858</v>
      </c>
      <c r="Q1197">
        <f t="shared" si="153"/>
        <v>-8.0000000000000071</v>
      </c>
      <c r="R1197">
        <f t="shared" si="154"/>
        <v>-8.0000000000000071</v>
      </c>
    </row>
    <row r="1198" spans="1:18">
      <c r="A1198" s="9">
        <v>38461</v>
      </c>
      <c r="B1198">
        <v>3.62</v>
      </c>
      <c r="C1198">
        <v>3.9</v>
      </c>
      <c r="D1198">
        <v>4.08</v>
      </c>
      <c r="E1198">
        <v>4.2</v>
      </c>
      <c r="F1198">
        <v>4.3</v>
      </c>
      <c r="G1198">
        <v>4.46</v>
      </c>
      <c r="H1198">
        <v>4.6500000000000004</v>
      </c>
      <c r="I1198">
        <v>5.01</v>
      </c>
      <c r="K1198">
        <f t="shared" si="147"/>
        <v>-0.99999999999997868</v>
      </c>
      <c r="L1198">
        <f t="shared" si="148"/>
        <v>-2.0000000000000018</v>
      </c>
      <c r="M1198">
        <f t="shared" si="149"/>
        <v>-1.9999999999999574</v>
      </c>
      <c r="N1198">
        <f t="shared" si="150"/>
        <v>-3.0000000000000249</v>
      </c>
      <c r="O1198">
        <f t="shared" si="151"/>
        <v>-3.0000000000000249</v>
      </c>
      <c r="P1198">
        <f t="shared" si="152"/>
        <v>-4.0000000000000036</v>
      </c>
      <c r="Q1198">
        <f t="shared" si="153"/>
        <v>-4.9999999999999822</v>
      </c>
      <c r="R1198">
        <f t="shared" si="154"/>
        <v>-7.0000000000000284</v>
      </c>
    </row>
    <row r="1199" spans="1:18">
      <c r="A1199" s="9">
        <v>38462</v>
      </c>
      <c r="B1199">
        <v>3.66</v>
      </c>
      <c r="C1199">
        <v>3.96</v>
      </c>
      <c r="D1199">
        <v>4.1399999999999997</v>
      </c>
      <c r="E1199">
        <v>4.26</v>
      </c>
      <c r="F1199">
        <v>4.3499999999999996</v>
      </c>
      <c r="G1199">
        <v>4.5199999999999996</v>
      </c>
      <c r="H1199">
        <v>4.7</v>
      </c>
      <c r="I1199">
        <v>5.0599999999999996</v>
      </c>
      <c r="K1199">
        <f t="shared" si="147"/>
        <v>4.0000000000000036</v>
      </c>
      <c r="L1199">
        <f t="shared" si="148"/>
        <v>6.0000000000000053</v>
      </c>
      <c r="M1199">
        <f t="shared" si="149"/>
        <v>5.9999999999999609</v>
      </c>
      <c r="N1199">
        <f t="shared" si="150"/>
        <v>5.9999999999999609</v>
      </c>
      <c r="O1199">
        <f t="shared" si="151"/>
        <v>4.9999999999999822</v>
      </c>
      <c r="P1199">
        <f t="shared" si="152"/>
        <v>5.9999999999999609</v>
      </c>
      <c r="Q1199">
        <f t="shared" si="153"/>
        <v>4.9999999999999822</v>
      </c>
      <c r="R1199">
        <f t="shared" si="154"/>
        <v>4.9999999999999822</v>
      </c>
    </row>
    <row r="1200" spans="1:18">
      <c r="A1200" s="9">
        <v>38463</v>
      </c>
      <c r="B1200">
        <v>3.67</v>
      </c>
      <c r="C1200">
        <v>3.97</v>
      </c>
      <c r="D1200">
        <v>4.1399999999999997</v>
      </c>
      <c r="E1200">
        <v>4.25</v>
      </c>
      <c r="F1200">
        <v>4.3499999999999996</v>
      </c>
      <c r="G1200">
        <v>4.5</v>
      </c>
      <c r="H1200">
        <v>4.6900000000000004</v>
      </c>
      <c r="I1200">
        <v>5.07</v>
      </c>
      <c r="K1200">
        <f t="shared" si="147"/>
        <v>0.99999999999997868</v>
      </c>
      <c r="L1200">
        <f t="shared" si="148"/>
        <v>1.0000000000000231</v>
      </c>
      <c r="M1200">
        <f t="shared" si="149"/>
        <v>0</v>
      </c>
      <c r="N1200">
        <f t="shared" si="150"/>
        <v>-0.99999999999997868</v>
      </c>
      <c r="O1200">
        <f t="shared" si="151"/>
        <v>0</v>
      </c>
      <c r="P1200">
        <f t="shared" si="152"/>
        <v>-1.9999999999999574</v>
      </c>
      <c r="Q1200">
        <f t="shared" si="153"/>
        <v>-0.99999999999997868</v>
      </c>
      <c r="R1200">
        <f t="shared" si="154"/>
        <v>1.0000000000000675</v>
      </c>
    </row>
    <row r="1201" spans="1:18">
      <c r="A1201" s="9">
        <v>38464</v>
      </c>
      <c r="B1201">
        <v>3.71</v>
      </c>
      <c r="C1201">
        <v>4.0199999999999996</v>
      </c>
      <c r="D1201">
        <v>4.1900000000000004</v>
      </c>
      <c r="E1201">
        <v>4.3</v>
      </c>
      <c r="F1201">
        <v>4.3899999999999997</v>
      </c>
      <c r="G1201">
        <v>4.54</v>
      </c>
      <c r="H1201">
        <v>4.71</v>
      </c>
      <c r="I1201">
        <v>5.07</v>
      </c>
      <c r="K1201">
        <f t="shared" si="147"/>
        <v>4.0000000000000036</v>
      </c>
      <c r="L1201">
        <f t="shared" si="148"/>
        <v>4.9999999999999378</v>
      </c>
      <c r="M1201">
        <f t="shared" si="149"/>
        <v>5.0000000000000711</v>
      </c>
      <c r="N1201">
        <f t="shared" si="150"/>
        <v>4.9999999999999822</v>
      </c>
      <c r="O1201">
        <f t="shared" si="151"/>
        <v>4.0000000000000036</v>
      </c>
      <c r="P1201">
        <f t="shared" si="152"/>
        <v>4.0000000000000036</v>
      </c>
      <c r="Q1201">
        <f t="shared" si="153"/>
        <v>1.9999999999999574</v>
      </c>
      <c r="R1201">
        <f t="shared" si="154"/>
        <v>0</v>
      </c>
    </row>
    <row r="1202" spans="1:18">
      <c r="A1202" s="9">
        <v>38467</v>
      </c>
      <c r="B1202">
        <v>3.73</v>
      </c>
      <c r="C1202">
        <v>4.04</v>
      </c>
      <c r="D1202">
        <v>4.2</v>
      </c>
      <c r="E1202">
        <v>4.3</v>
      </c>
      <c r="F1202">
        <v>4.38</v>
      </c>
      <c r="G1202">
        <v>4.53</v>
      </c>
      <c r="H1202">
        <v>4.7</v>
      </c>
      <c r="I1202">
        <v>5.04</v>
      </c>
      <c r="K1202">
        <f t="shared" si="147"/>
        <v>2.0000000000000018</v>
      </c>
      <c r="L1202">
        <f t="shared" si="148"/>
        <v>2.0000000000000462</v>
      </c>
      <c r="M1202">
        <f t="shared" si="149"/>
        <v>0.99999999999997868</v>
      </c>
      <c r="N1202">
        <f t="shared" si="150"/>
        <v>0</v>
      </c>
      <c r="O1202">
        <f t="shared" si="151"/>
        <v>-0.99999999999997868</v>
      </c>
      <c r="P1202">
        <f t="shared" si="152"/>
        <v>-0.99999999999997868</v>
      </c>
      <c r="Q1202">
        <f t="shared" si="153"/>
        <v>-0.99999999999997868</v>
      </c>
      <c r="R1202">
        <f t="shared" si="154"/>
        <v>-3.0000000000000249</v>
      </c>
    </row>
    <row r="1203" spans="1:18">
      <c r="A1203" s="9">
        <v>38468</v>
      </c>
      <c r="B1203">
        <v>3.75</v>
      </c>
      <c r="C1203">
        <v>4.07</v>
      </c>
      <c r="D1203">
        <v>4.2300000000000004</v>
      </c>
      <c r="E1203">
        <v>4.34</v>
      </c>
      <c r="F1203">
        <v>4.43</v>
      </c>
      <c r="G1203">
        <v>4.5599999999999996</v>
      </c>
      <c r="H1203">
        <v>4.7300000000000004</v>
      </c>
      <c r="I1203">
        <v>5.08</v>
      </c>
      <c r="K1203">
        <f t="shared" si="147"/>
        <v>2.0000000000000018</v>
      </c>
      <c r="L1203">
        <f t="shared" si="148"/>
        <v>3.0000000000000249</v>
      </c>
      <c r="M1203">
        <f t="shared" si="149"/>
        <v>3.0000000000000249</v>
      </c>
      <c r="N1203">
        <f t="shared" si="150"/>
        <v>4.0000000000000036</v>
      </c>
      <c r="O1203">
        <f t="shared" si="151"/>
        <v>4.9999999999999822</v>
      </c>
      <c r="P1203">
        <f t="shared" si="152"/>
        <v>2.9999999999999361</v>
      </c>
      <c r="Q1203">
        <f t="shared" si="153"/>
        <v>3.0000000000000249</v>
      </c>
      <c r="R1203">
        <f t="shared" si="154"/>
        <v>4.0000000000000036</v>
      </c>
    </row>
    <row r="1204" spans="1:18">
      <c r="A1204" s="9">
        <v>38469</v>
      </c>
      <c r="B1204">
        <v>3.69</v>
      </c>
      <c r="C1204">
        <v>3.98</v>
      </c>
      <c r="D1204">
        <v>4.1500000000000004</v>
      </c>
      <c r="E1204">
        <v>4.25</v>
      </c>
      <c r="F1204">
        <v>4.34</v>
      </c>
      <c r="G1204">
        <v>4.49</v>
      </c>
      <c r="H1204">
        <v>4.66</v>
      </c>
      <c r="I1204">
        <v>5.0199999999999996</v>
      </c>
      <c r="K1204">
        <f t="shared" si="147"/>
        <v>-6.0000000000000053</v>
      </c>
      <c r="L1204">
        <f t="shared" si="148"/>
        <v>-9.0000000000000302</v>
      </c>
      <c r="M1204">
        <f t="shared" si="149"/>
        <v>-8.0000000000000071</v>
      </c>
      <c r="N1204">
        <f t="shared" si="150"/>
        <v>-8.9999999999999858</v>
      </c>
      <c r="O1204">
        <f t="shared" si="151"/>
        <v>-8.9999999999999858</v>
      </c>
      <c r="P1204">
        <f t="shared" si="152"/>
        <v>-6.9999999999999396</v>
      </c>
      <c r="Q1204">
        <f t="shared" si="153"/>
        <v>-7.0000000000000284</v>
      </c>
      <c r="R1204">
        <f t="shared" si="154"/>
        <v>-6.0000000000000497</v>
      </c>
    </row>
    <row r="1205" spans="1:18">
      <c r="A1205" s="9">
        <v>38470</v>
      </c>
      <c r="B1205">
        <v>3.69</v>
      </c>
      <c r="C1205">
        <v>3.98</v>
      </c>
      <c r="D1205">
        <v>4.13</v>
      </c>
      <c r="E1205">
        <v>4.24</v>
      </c>
      <c r="F1205">
        <v>4.33</v>
      </c>
      <c r="G1205">
        <v>4.4800000000000004</v>
      </c>
      <c r="H1205">
        <v>4.66</v>
      </c>
      <c r="I1205">
        <v>5.03</v>
      </c>
      <c r="K1205">
        <f t="shared" si="147"/>
        <v>0</v>
      </c>
      <c r="L1205">
        <f t="shared" si="148"/>
        <v>0</v>
      </c>
      <c r="M1205">
        <f t="shared" si="149"/>
        <v>-2.0000000000000462</v>
      </c>
      <c r="N1205">
        <f t="shared" si="150"/>
        <v>-0.99999999999997868</v>
      </c>
      <c r="O1205">
        <f t="shared" si="151"/>
        <v>-0.99999999999997868</v>
      </c>
      <c r="P1205">
        <f t="shared" si="152"/>
        <v>-0.99999999999997868</v>
      </c>
      <c r="Q1205">
        <f t="shared" si="153"/>
        <v>0</v>
      </c>
      <c r="R1205">
        <f t="shared" si="154"/>
        <v>1.0000000000000675</v>
      </c>
    </row>
    <row r="1206" spans="1:18">
      <c r="A1206" s="9">
        <v>38471</v>
      </c>
      <c r="B1206">
        <v>3.7</v>
      </c>
      <c r="C1206">
        <v>3.97</v>
      </c>
      <c r="D1206">
        <v>4.1100000000000003</v>
      </c>
      <c r="E1206">
        <v>4.21</v>
      </c>
      <c r="F1206">
        <v>4.29</v>
      </c>
      <c r="G1206">
        <v>4.43</v>
      </c>
      <c r="H1206">
        <v>4.5999999999999996</v>
      </c>
      <c r="I1206">
        <v>4.95</v>
      </c>
      <c r="K1206">
        <f t="shared" si="147"/>
        <v>1.0000000000000231</v>
      </c>
      <c r="L1206">
        <f t="shared" si="148"/>
        <v>-0.99999999999997868</v>
      </c>
      <c r="M1206">
        <f t="shared" si="149"/>
        <v>-1.9999999999999574</v>
      </c>
      <c r="N1206">
        <f t="shared" si="150"/>
        <v>-3.0000000000000249</v>
      </c>
      <c r="O1206">
        <f t="shared" si="151"/>
        <v>-4.0000000000000036</v>
      </c>
      <c r="P1206">
        <f t="shared" si="152"/>
        <v>-5.0000000000000711</v>
      </c>
      <c r="Q1206">
        <f t="shared" si="153"/>
        <v>-6.0000000000000497</v>
      </c>
      <c r="R1206">
        <f t="shared" si="154"/>
        <v>-8.0000000000000071</v>
      </c>
    </row>
    <row r="1207" spans="1:18">
      <c r="A1207" s="9">
        <v>38474</v>
      </c>
      <c r="B1207">
        <v>3.74</v>
      </c>
      <c r="C1207">
        <v>4.03</v>
      </c>
      <c r="D1207">
        <v>4.18</v>
      </c>
      <c r="E1207">
        <v>4.28</v>
      </c>
      <c r="F1207">
        <v>4.37</v>
      </c>
      <c r="G1207">
        <v>4.5</v>
      </c>
      <c r="H1207">
        <v>4.67</v>
      </c>
      <c r="I1207">
        <v>5.0199999999999996</v>
      </c>
      <c r="K1207">
        <f t="shared" si="147"/>
        <v>4.0000000000000036</v>
      </c>
      <c r="L1207">
        <f t="shared" si="148"/>
        <v>6.0000000000000053</v>
      </c>
      <c r="M1207">
        <f t="shared" si="149"/>
        <v>6.9999999999999396</v>
      </c>
      <c r="N1207">
        <f t="shared" si="150"/>
        <v>7.0000000000000284</v>
      </c>
      <c r="O1207">
        <f t="shared" si="151"/>
        <v>8.0000000000000071</v>
      </c>
      <c r="P1207">
        <f t="shared" si="152"/>
        <v>7.0000000000000284</v>
      </c>
      <c r="Q1207">
        <f t="shared" si="153"/>
        <v>7.0000000000000284</v>
      </c>
      <c r="R1207">
        <f t="shared" si="154"/>
        <v>6.9999999999999396</v>
      </c>
    </row>
    <row r="1208" spans="1:18">
      <c r="A1208" s="9">
        <v>38475</v>
      </c>
      <c r="B1208">
        <v>3.73</v>
      </c>
      <c r="C1208">
        <v>4.01</v>
      </c>
      <c r="D1208">
        <v>4.16</v>
      </c>
      <c r="E1208">
        <v>4.25</v>
      </c>
      <c r="F1208">
        <v>4.33</v>
      </c>
      <c r="G1208">
        <v>4.47</v>
      </c>
      <c r="H1208">
        <v>4.6399999999999997</v>
      </c>
      <c r="I1208">
        <v>4.99</v>
      </c>
      <c r="K1208">
        <f t="shared" si="147"/>
        <v>-1.0000000000000231</v>
      </c>
      <c r="L1208">
        <f t="shared" si="148"/>
        <v>-2.0000000000000462</v>
      </c>
      <c r="M1208">
        <f t="shared" si="149"/>
        <v>-1.9999999999999574</v>
      </c>
      <c r="N1208">
        <f t="shared" si="150"/>
        <v>-3.0000000000000249</v>
      </c>
      <c r="O1208">
        <f t="shared" si="151"/>
        <v>-4.0000000000000036</v>
      </c>
      <c r="P1208">
        <f t="shared" si="152"/>
        <v>-3.0000000000000249</v>
      </c>
      <c r="Q1208">
        <f t="shared" si="153"/>
        <v>-3.0000000000000249</v>
      </c>
      <c r="R1208">
        <f t="shared" si="154"/>
        <v>-2.9999999999999361</v>
      </c>
    </row>
    <row r="1209" spans="1:18">
      <c r="A1209" s="9">
        <v>38476</v>
      </c>
      <c r="B1209">
        <v>3.73</v>
      </c>
      <c r="C1209">
        <v>4</v>
      </c>
      <c r="D1209">
        <v>4.16</v>
      </c>
      <c r="E1209">
        <v>4.26</v>
      </c>
      <c r="F1209">
        <v>4.34</v>
      </c>
      <c r="G1209">
        <v>4.49</v>
      </c>
      <c r="H1209">
        <v>4.67</v>
      </c>
      <c r="I1209">
        <v>5.0599999999999996</v>
      </c>
      <c r="K1209">
        <f t="shared" si="147"/>
        <v>0</v>
      </c>
      <c r="L1209">
        <f t="shared" si="148"/>
        <v>-0.99999999999997868</v>
      </c>
      <c r="M1209">
        <f t="shared" si="149"/>
        <v>0</v>
      </c>
      <c r="N1209">
        <f t="shared" si="150"/>
        <v>0.99999999999997868</v>
      </c>
      <c r="O1209">
        <f t="shared" si="151"/>
        <v>0.99999999999997868</v>
      </c>
      <c r="P1209">
        <f t="shared" si="152"/>
        <v>2.0000000000000462</v>
      </c>
      <c r="Q1209">
        <f t="shared" si="153"/>
        <v>3.0000000000000249</v>
      </c>
      <c r="R1209">
        <f t="shared" si="154"/>
        <v>6.9999999999999396</v>
      </c>
    </row>
    <row r="1210" spans="1:18">
      <c r="A1210" s="9">
        <v>38477</v>
      </c>
      <c r="B1210">
        <v>3.69</v>
      </c>
      <c r="C1210">
        <v>3.95</v>
      </c>
      <c r="D1210">
        <v>4.0999999999999996</v>
      </c>
      <c r="E1210">
        <v>4.2</v>
      </c>
      <c r="F1210">
        <v>4.28</v>
      </c>
      <c r="G1210">
        <v>4.43</v>
      </c>
      <c r="H1210">
        <v>4.62</v>
      </c>
      <c r="I1210">
        <v>5.03</v>
      </c>
      <c r="K1210">
        <f t="shared" si="147"/>
        <v>-4.0000000000000036</v>
      </c>
      <c r="L1210">
        <f t="shared" si="148"/>
        <v>-4.9999999999999822</v>
      </c>
      <c r="M1210">
        <f t="shared" si="149"/>
        <v>-6.0000000000000497</v>
      </c>
      <c r="N1210">
        <f t="shared" si="150"/>
        <v>-5.9999999999999609</v>
      </c>
      <c r="O1210">
        <f t="shared" si="151"/>
        <v>-5.9999999999999609</v>
      </c>
      <c r="P1210">
        <f t="shared" si="152"/>
        <v>-6.0000000000000497</v>
      </c>
      <c r="Q1210">
        <f t="shared" si="153"/>
        <v>-4.9999999999999822</v>
      </c>
      <c r="R1210">
        <f t="shared" si="154"/>
        <v>-2.9999999999999361</v>
      </c>
    </row>
    <row r="1211" spans="1:18">
      <c r="A1211" s="9">
        <v>38478</v>
      </c>
      <c r="B1211">
        <v>3.77</v>
      </c>
      <c r="C1211">
        <v>4.07</v>
      </c>
      <c r="D1211">
        <v>4.21</v>
      </c>
      <c r="E1211">
        <v>4.3</v>
      </c>
      <c r="F1211">
        <v>4.38</v>
      </c>
      <c r="G1211">
        <v>4.5199999999999996</v>
      </c>
      <c r="H1211">
        <v>4.6900000000000004</v>
      </c>
      <c r="I1211">
        <v>5.07</v>
      </c>
      <c r="K1211">
        <f t="shared" si="147"/>
        <v>8.0000000000000071</v>
      </c>
      <c r="L1211">
        <f t="shared" si="148"/>
        <v>12.000000000000011</v>
      </c>
      <c r="M1211">
        <f t="shared" si="149"/>
        <v>11.000000000000032</v>
      </c>
      <c r="N1211">
        <f t="shared" si="150"/>
        <v>9.9999999999999645</v>
      </c>
      <c r="O1211">
        <f t="shared" si="151"/>
        <v>9.9999999999999645</v>
      </c>
      <c r="P1211">
        <f t="shared" si="152"/>
        <v>8.9999999999999858</v>
      </c>
      <c r="Q1211">
        <f t="shared" si="153"/>
        <v>7.0000000000000284</v>
      </c>
      <c r="R1211">
        <f t="shared" si="154"/>
        <v>4.0000000000000036</v>
      </c>
    </row>
    <row r="1212" spans="1:18">
      <c r="A1212" s="9">
        <v>38481</v>
      </c>
      <c r="B1212">
        <v>3.82</v>
      </c>
      <c r="C1212">
        <v>4.1100000000000003</v>
      </c>
      <c r="D1212">
        <v>4.25</v>
      </c>
      <c r="E1212">
        <v>4.34</v>
      </c>
      <c r="F1212">
        <v>4.42</v>
      </c>
      <c r="G1212">
        <v>4.55</v>
      </c>
      <c r="H1212">
        <v>4.71</v>
      </c>
      <c r="I1212">
        <v>5.05</v>
      </c>
      <c r="K1212">
        <f t="shared" si="147"/>
        <v>4.9999999999999822</v>
      </c>
      <c r="L1212">
        <f t="shared" si="148"/>
        <v>4.0000000000000036</v>
      </c>
      <c r="M1212">
        <f t="shared" si="149"/>
        <v>4.0000000000000036</v>
      </c>
      <c r="N1212">
        <f t="shared" si="150"/>
        <v>4.0000000000000036</v>
      </c>
      <c r="O1212">
        <f t="shared" si="151"/>
        <v>4.0000000000000036</v>
      </c>
      <c r="P1212">
        <f t="shared" si="152"/>
        <v>3.0000000000000249</v>
      </c>
      <c r="Q1212">
        <f t="shared" si="153"/>
        <v>1.9999999999999574</v>
      </c>
      <c r="R1212">
        <f t="shared" si="154"/>
        <v>-2.0000000000000462</v>
      </c>
    </row>
    <row r="1213" spans="1:18">
      <c r="A1213" s="9">
        <v>38482</v>
      </c>
      <c r="B1213">
        <v>3.8</v>
      </c>
      <c r="C1213">
        <v>4.08</v>
      </c>
      <c r="D1213">
        <v>4.22</v>
      </c>
      <c r="E1213">
        <v>4.32</v>
      </c>
      <c r="F1213">
        <v>4.4000000000000004</v>
      </c>
      <c r="G1213">
        <v>4.53</v>
      </c>
      <c r="H1213">
        <v>4.68</v>
      </c>
      <c r="I1213">
        <v>5.03</v>
      </c>
      <c r="K1213">
        <f t="shared" si="147"/>
        <v>-2.0000000000000018</v>
      </c>
      <c r="L1213">
        <f t="shared" si="148"/>
        <v>-3.0000000000000249</v>
      </c>
      <c r="M1213">
        <f t="shared" si="149"/>
        <v>-3.0000000000000249</v>
      </c>
      <c r="N1213">
        <f t="shared" si="150"/>
        <v>-1.9999999999999574</v>
      </c>
      <c r="O1213">
        <f t="shared" si="151"/>
        <v>-1.9999999999999574</v>
      </c>
      <c r="P1213">
        <f t="shared" si="152"/>
        <v>-1.9999999999999574</v>
      </c>
      <c r="Q1213">
        <f t="shared" si="153"/>
        <v>-3.0000000000000249</v>
      </c>
      <c r="R1213">
        <f t="shared" si="154"/>
        <v>-1.9999999999999574</v>
      </c>
    </row>
    <row r="1214" spans="1:18">
      <c r="A1214" s="9">
        <v>38483</v>
      </c>
      <c r="B1214">
        <v>3.76</v>
      </c>
      <c r="C1214">
        <v>4.0199999999999996</v>
      </c>
      <c r="D1214">
        <v>4.16</v>
      </c>
      <c r="E1214">
        <v>4.25</v>
      </c>
      <c r="F1214">
        <v>4.33</v>
      </c>
      <c r="G1214">
        <v>4.46</v>
      </c>
      <c r="H1214">
        <v>4.62</v>
      </c>
      <c r="I1214">
        <v>4.97</v>
      </c>
      <c r="K1214">
        <f t="shared" si="147"/>
        <v>-4.0000000000000036</v>
      </c>
      <c r="L1214">
        <f t="shared" si="148"/>
        <v>-6.0000000000000497</v>
      </c>
      <c r="M1214">
        <f t="shared" si="149"/>
        <v>-5.9999999999999609</v>
      </c>
      <c r="N1214">
        <f t="shared" si="150"/>
        <v>-7.0000000000000284</v>
      </c>
      <c r="O1214">
        <f t="shared" si="151"/>
        <v>-7.0000000000000284</v>
      </c>
      <c r="P1214">
        <f t="shared" si="152"/>
        <v>-7.0000000000000284</v>
      </c>
      <c r="Q1214">
        <f t="shared" si="153"/>
        <v>-5.9999999999999609</v>
      </c>
      <c r="R1214">
        <f t="shared" si="154"/>
        <v>-6.0000000000000497</v>
      </c>
    </row>
    <row r="1215" spans="1:18">
      <c r="A1215" s="9">
        <v>38484</v>
      </c>
      <c r="B1215">
        <v>3.79</v>
      </c>
      <c r="C1215">
        <v>4.0599999999999996</v>
      </c>
      <c r="D1215">
        <v>4.2</v>
      </c>
      <c r="E1215">
        <v>4.3</v>
      </c>
      <c r="F1215">
        <v>4.38</v>
      </c>
      <c r="G1215">
        <v>4.51</v>
      </c>
      <c r="H1215">
        <v>4.67</v>
      </c>
      <c r="I1215">
        <v>5.01</v>
      </c>
      <c r="K1215">
        <f t="shared" si="147"/>
        <v>3.0000000000000249</v>
      </c>
      <c r="L1215">
        <f t="shared" si="148"/>
        <v>4.0000000000000036</v>
      </c>
      <c r="M1215">
        <f t="shared" si="149"/>
        <v>4.0000000000000036</v>
      </c>
      <c r="N1215">
        <f t="shared" si="150"/>
        <v>4.9999999999999822</v>
      </c>
      <c r="O1215">
        <f t="shared" si="151"/>
        <v>4.9999999999999822</v>
      </c>
      <c r="P1215">
        <f t="shared" si="152"/>
        <v>4.9999999999999822</v>
      </c>
      <c r="Q1215">
        <f t="shared" si="153"/>
        <v>4.9999999999999822</v>
      </c>
      <c r="R1215">
        <f t="shared" si="154"/>
        <v>4.0000000000000036</v>
      </c>
    </row>
    <row r="1216" spans="1:18">
      <c r="A1216" s="9">
        <v>38485</v>
      </c>
      <c r="B1216">
        <v>3.76</v>
      </c>
      <c r="C1216">
        <v>4</v>
      </c>
      <c r="D1216">
        <v>4.13</v>
      </c>
      <c r="E1216">
        <v>4.22</v>
      </c>
      <c r="F1216">
        <v>4.29</v>
      </c>
      <c r="G1216">
        <v>4.43</v>
      </c>
      <c r="H1216">
        <v>4.59</v>
      </c>
      <c r="I1216">
        <v>4.95</v>
      </c>
      <c r="K1216">
        <f t="shared" si="147"/>
        <v>-3.0000000000000249</v>
      </c>
      <c r="L1216">
        <f t="shared" si="148"/>
        <v>-5.9999999999999609</v>
      </c>
      <c r="M1216">
        <f t="shared" si="149"/>
        <v>-7.0000000000000284</v>
      </c>
      <c r="N1216">
        <f t="shared" si="150"/>
        <v>-8.0000000000000071</v>
      </c>
      <c r="O1216">
        <f t="shared" si="151"/>
        <v>-8.9999999999999858</v>
      </c>
      <c r="P1216">
        <f t="shared" si="152"/>
        <v>-8.0000000000000071</v>
      </c>
      <c r="Q1216">
        <f t="shared" si="153"/>
        <v>-8.0000000000000071</v>
      </c>
      <c r="R1216">
        <f t="shared" si="154"/>
        <v>-5.9999999999999609</v>
      </c>
    </row>
    <row r="1217" spans="1:18">
      <c r="A1217" s="9">
        <v>38488</v>
      </c>
      <c r="B1217">
        <v>3.73</v>
      </c>
      <c r="C1217">
        <v>3.97</v>
      </c>
      <c r="D1217">
        <v>4.0999999999999996</v>
      </c>
      <c r="E1217">
        <v>4.1900000000000004</v>
      </c>
      <c r="F1217">
        <v>4.2699999999999996</v>
      </c>
      <c r="G1217">
        <v>4.41</v>
      </c>
      <c r="H1217">
        <v>4.59</v>
      </c>
      <c r="I1217">
        <v>4.95</v>
      </c>
      <c r="K1217">
        <f t="shared" si="147"/>
        <v>-2.9999999999999805</v>
      </c>
      <c r="L1217">
        <f t="shared" si="148"/>
        <v>-2.9999999999999805</v>
      </c>
      <c r="M1217">
        <f t="shared" si="149"/>
        <v>-3.0000000000000249</v>
      </c>
      <c r="N1217">
        <f t="shared" si="150"/>
        <v>-2.9999999999999361</v>
      </c>
      <c r="O1217">
        <f t="shared" si="151"/>
        <v>-2.0000000000000462</v>
      </c>
      <c r="P1217">
        <f t="shared" si="152"/>
        <v>-1.9999999999999574</v>
      </c>
      <c r="Q1217">
        <f t="shared" si="153"/>
        <v>0</v>
      </c>
      <c r="R1217">
        <f t="shared" si="154"/>
        <v>0</v>
      </c>
    </row>
    <row r="1218" spans="1:18">
      <c r="A1218" s="9">
        <v>38489</v>
      </c>
      <c r="B1218">
        <v>3.73</v>
      </c>
      <c r="C1218">
        <v>3.96</v>
      </c>
      <c r="D1218">
        <v>4.09</v>
      </c>
      <c r="E1218">
        <v>4.18</v>
      </c>
      <c r="F1218">
        <v>4.26</v>
      </c>
      <c r="G1218">
        <v>4.4000000000000004</v>
      </c>
      <c r="H1218">
        <v>4.57</v>
      </c>
      <c r="I1218">
        <v>4.93</v>
      </c>
      <c r="K1218">
        <f t="shared" si="147"/>
        <v>0</v>
      </c>
      <c r="L1218">
        <f t="shared" si="148"/>
        <v>-1.0000000000000231</v>
      </c>
      <c r="M1218">
        <f t="shared" si="149"/>
        <v>-0.99999999999997868</v>
      </c>
      <c r="N1218">
        <f t="shared" si="150"/>
        <v>-1.0000000000000675</v>
      </c>
      <c r="O1218">
        <f t="shared" si="151"/>
        <v>-0.99999999999997868</v>
      </c>
      <c r="P1218">
        <f t="shared" si="152"/>
        <v>-0.99999999999997868</v>
      </c>
      <c r="Q1218">
        <f t="shared" si="153"/>
        <v>-1.9999999999999574</v>
      </c>
      <c r="R1218">
        <f t="shared" si="154"/>
        <v>-2.0000000000000462</v>
      </c>
    </row>
    <row r="1219" spans="1:18">
      <c r="A1219" s="9">
        <v>38490</v>
      </c>
      <c r="B1219">
        <v>3.72</v>
      </c>
      <c r="C1219">
        <v>3.94</v>
      </c>
      <c r="D1219">
        <v>4.05</v>
      </c>
      <c r="E1219">
        <v>4.1399999999999997</v>
      </c>
      <c r="F1219">
        <v>4.21</v>
      </c>
      <c r="G1219">
        <v>4.3499999999999996</v>
      </c>
      <c r="H1219">
        <v>4.51</v>
      </c>
      <c r="I1219">
        <v>4.87</v>
      </c>
      <c r="K1219">
        <f t="shared" si="147"/>
        <v>-0.99999999999997868</v>
      </c>
      <c r="L1219">
        <f t="shared" si="148"/>
        <v>-2.0000000000000018</v>
      </c>
      <c r="M1219">
        <f t="shared" si="149"/>
        <v>-4.0000000000000036</v>
      </c>
      <c r="N1219">
        <f t="shared" si="150"/>
        <v>-4.0000000000000036</v>
      </c>
      <c r="O1219">
        <f t="shared" si="151"/>
        <v>-4.9999999999999822</v>
      </c>
      <c r="P1219">
        <f t="shared" si="152"/>
        <v>-5.0000000000000711</v>
      </c>
      <c r="Q1219">
        <f t="shared" si="153"/>
        <v>-6.0000000000000497</v>
      </c>
      <c r="R1219">
        <f t="shared" si="154"/>
        <v>-5.9999999999999609</v>
      </c>
    </row>
    <row r="1220" spans="1:18">
      <c r="A1220" s="9">
        <v>38491</v>
      </c>
      <c r="B1220">
        <v>3.76</v>
      </c>
      <c r="C1220">
        <v>3.98</v>
      </c>
      <c r="D1220">
        <v>4.0999999999999996</v>
      </c>
      <c r="E1220">
        <v>4.18</v>
      </c>
      <c r="F1220">
        <v>4.25</v>
      </c>
      <c r="G1220">
        <v>4.37</v>
      </c>
      <c r="H1220">
        <v>4.53</v>
      </c>
      <c r="I1220">
        <v>4.88</v>
      </c>
      <c r="K1220">
        <f t="shared" si="147"/>
        <v>3.9999999999999591</v>
      </c>
      <c r="L1220">
        <f t="shared" si="148"/>
        <v>4.0000000000000036</v>
      </c>
      <c r="M1220">
        <f t="shared" si="149"/>
        <v>4.9999999999999822</v>
      </c>
      <c r="N1220">
        <f t="shared" si="150"/>
        <v>4.0000000000000036</v>
      </c>
      <c r="O1220">
        <f t="shared" si="151"/>
        <v>4.0000000000000036</v>
      </c>
      <c r="P1220">
        <f t="shared" si="152"/>
        <v>2.0000000000000462</v>
      </c>
      <c r="Q1220">
        <f t="shared" si="153"/>
        <v>2.0000000000000462</v>
      </c>
      <c r="R1220">
        <f t="shared" si="154"/>
        <v>0.99999999999997868</v>
      </c>
    </row>
    <row r="1221" spans="1:18">
      <c r="A1221" s="9">
        <v>38492</v>
      </c>
      <c r="B1221">
        <v>3.79</v>
      </c>
      <c r="C1221">
        <v>4.0199999999999996</v>
      </c>
      <c r="D1221">
        <v>4.1399999999999997</v>
      </c>
      <c r="E1221">
        <v>4.2300000000000004</v>
      </c>
      <c r="F1221">
        <v>4.3</v>
      </c>
      <c r="G1221">
        <v>4.42</v>
      </c>
      <c r="H1221">
        <v>4.57</v>
      </c>
      <c r="I1221">
        <v>4.9000000000000004</v>
      </c>
      <c r="K1221">
        <f t="shared" ref="K1221:K1284" si="155">(B1221-B1220)*100</f>
        <v>3.0000000000000249</v>
      </c>
      <c r="L1221">
        <f t="shared" ref="L1221:L1284" si="156">(C1221-C1220)*100</f>
        <v>3.9999999999999591</v>
      </c>
      <c r="M1221">
        <f t="shared" ref="M1221:M1284" si="157">(D1221-D1220)*100</f>
        <v>4.0000000000000036</v>
      </c>
      <c r="N1221">
        <f t="shared" ref="N1221:N1284" si="158">(E1221-E1220)*100</f>
        <v>5.0000000000000711</v>
      </c>
      <c r="O1221">
        <f t="shared" ref="O1221:O1284" si="159">(F1221-F1220)*100</f>
        <v>4.9999999999999822</v>
      </c>
      <c r="P1221">
        <f t="shared" ref="P1221:P1284" si="160">(G1221-G1220)*100</f>
        <v>4.9999999999999822</v>
      </c>
      <c r="Q1221">
        <f t="shared" ref="Q1221:Q1284" si="161">(H1221-H1220)*100</f>
        <v>4.0000000000000036</v>
      </c>
      <c r="R1221">
        <f t="shared" ref="R1221:R1284" si="162">(I1221-I1220)*100</f>
        <v>2.0000000000000462</v>
      </c>
    </row>
    <row r="1222" spans="1:18">
      <c r="A1222" s="9">
        <v>38495</v>
      </c>
      <c r="B1222">
        <v>3.78</v>
      </c>
      <c r="C1222">
        <v>4.01</v>
      </c>
      <c r="D1222">
        <v>4.13</v>
      </c>
      <c r="E1222">
        <v>4.2</v>
      </c>
      <c r="F1222">
        <v>4.2699999999999996</v>
      </c>
      <c r="G1222">
        <v>4.38</v>
      </c>
      <c r="H1222">
        <v>4.53</v>
      </c>
      <c r="I1222">
        <v>4.8600000000000003</v>
      </c>
      <c r="K1222">
        <f t="shared" si="155"/>
        <v>-1.0000000000000231</v>
      </c>
      <c r="L1222">
        <f t="shared" si="156"/>
        <v>-0.99999999999997868</v>
      </c>
      <c r="M1222">
        <f t="shared" si="157"/>
        <v>-0.99999999999997868</v>
      </c>
      <c r="N1222">
        <f t="shared" si="158"/>
        <v>-3.0000000000000249</v>
      </c>
      <c r="O1222">
        <f t="shared" si="159"/>
        <v>-3.0000000000000249</v>
      </c>
      <c r="P1222">
        <f t="shared" si="160"/>
        <v>-4.0000000000000036</v>
      </c>
      <c r="Q1222">
        <f t="shared" si="161"/>
        <v>-4.0000000000000036</v>
      </c>
      <c r="R1222">
        <f t="shared" si="162"/>
        <v>-4.0000000000000036</v>
      </c>
    </row>
    <row r="1223" spans="1:18">
      <c r="A1223" s="9">
        <v>38496</v>
      </c>
      <c r="B1223">
        <v>3.77</v>
      </c>
      <c r="C1223">
        <v>3.98</v>
      </c>
      <c r="D1223">
        <v>4.09</v>
      </c>
      <c r="E1223">
        <v>4.16</v>
      </c>
      <c r="F1223">
        <v>4.22</v>
      </c>
      <c r="G1223">
        <v>4.33</v>
      </c>
      <c r="H1223">
        <v>4.4800000000000004</v>
      </c>
      <c r="I1223">
        <v>4.8099999999999996</v>
      </c>
      <c r="K1223">
        <f t="shared" si="155"/>
        <v>-0.99999999999997868</v>
      </c>
      <c r="L1223">
        <f t="shared" si="156"/>
        <v>-2.9999999999999805</v>
      </c>
      <c r="M1223">
        <f t="shared" si="157"/>
        <v>-4.0000000000000036</v>
      </c>
      <c r="N1223">
        <f t="shared" si="158"/>
        <v>-4.0000000000000036</v>
      </c>
      <c r="O1223">
        <f t="shared" si="159"/>
        <v>-4.9999999999999822</v>
      </c>
      <c r="P1223">
        <f t="shared" si="160"/>
        <v>-4.9999999999999822</v>
      </c>
      <c r="Q1223">
        <f t="shared" si="161"/>
        <v>-4.9999999999999822</v>
      </c>
      <c r="R1223">
        <f t="shared" si="162"/>
        <v>-5.0000000000000711</v>
      </c>
    </row>
    <row r="1224" spans="1:18">
      <c r="A1224" s="9">
        <v>38497</v>
      </c>
      <c r="B1224">
        <v>3.76</v>
      </c>
      <c r="C1224">
        <v>3.96</v>
      </c>
      <c r="D1224">
        <v>4.07</v>
      </c>
      <c r="E1224">
        <v>4.1399999999999997</v>
      </c>
      <c r="F1224">
        <v>4.2</v>
      </c>
      <c r="G1224">
        <v>4.3</v>
      </c>
      <c r="H1224">
        <v>4.4400000000000004</v>
      </c>
      <c r="I1224">
        <v>4.79</v>
      </c>
      <c r="K1224">
        <f t="shared" si="155"/>
        <v>-1.0000000000000231</v>
      </c>
      <c r="L1224">
        <f t="shared" si="156"/>
        <v>-2.0000000000000018</v>
      </c>
      <c r="M1224">
        <f t="shared" si="157"/>
        <v>-1.9999999999999574</v>
      </c>
      <c r="N1224">
        <f t="shared" si="158"/>
        <v>-2.0000000000000462</v>
      </c>
      <c r="O1224">
        <f t="shared" si="159"/>
        <v>-1.9999999999999574</v>
      </c>
      <c r="P1224">
        <f t="shared" si="160"/>
        <v>-3.0000000000000249</v>
      </c>
      <c r="Q1224">
        <f t="shared" si="161"/>
        <v>-4.0000000000000036</v>
      </c>
      <c r="R1224">
        <f t="shared" si="162"/>
        <v>-1.9999999999999574</v>
      </c>
    </row>
    <row r="1225" spans="1:18">
      <c r="A1225" s="9">
        <v>38498</v>
      </c>
      <c r="B1225">
        <v>3.79</v>
      </c>
      <c r="C1225">
        <v>4</v>
      </c>
      <c r="D1225">
        <v>4.0999999999999996</v>
      </c>
      <c r="E1225">
        <v>4.17</v>
      </c>
      <c r="F1225">
        <v>4.24</v>
      </c>
      <c r="G1225">
        <v>4.3499999999999996</v>
      </c>
      <c r="H1225">
        <v>4.5</v>
      </c>
      <c r="I1225">
        <v>4.8499999999999996</v>
      </c>
      <c r="K1225">
        <f t="shared" si="155"/>
        <v>3.0000000000000249</v>
      </c>
      <c r="L1225">
        <f t="shared" si="156"/>
        <v>4.0000000000000036</v>
      </c>
      <c r="M1225">
        <f t="shared" si="157"/>
        <v>2.9999999999999361</v>
      </c>
      <c r="N1225">
        <f t="shared" si="158"/>
        <v>3.0000000000000249</v>
      </c>
      <c r="O1225">
        <f t="shared" si="159"/>
        <v>4.0000000000000036</v>
      </c>
      <c r="P1225">
        <f t="shared" si="160"/>
        <v>4.9999999999999822</v>
      </c>
      <c r="Q1225">
        <f t="shared" si="161"/>
        <v>5.9999999999999609</v>
      </c>
      <c r="R1225">
        <f t="shared" si="162"/>
        <v>5.9999999999999609</v>
      </c>
    </row>
    <row r="1226" spans="1:18">
      <c r="A1226" s="9">
        <v>38499</v>
      </c>
      <c r="B1226">
        <v>3.81</v>
      </c>
      <c r="C1226">
        <v>4.01</v>
      </c>
      <c r="D1226">
        <v>4.1100000000000003</v>
      </c>
      <c r="E1226">
        <v>4.18</v>
      </c>
      <c r="F1226">
        <v>4.24</v>
      </c>
      <c r="G1226">
        <v>4.3600000000000003</v>
      </c>
      <c r="H1226">
        <v>4.51</v>
      </c>
      <c r="I1226">
        <v>4.8600000000000003</v>
      </c>
      <c r="K1226">
        <f t="shared" si="155"/>
        <v>2.0000000000000018</v>
      </c>
      <c r="L1226">
        <f t="shared" si="156"/>
        <v>0.99999999999997868</v>
      </c>
      <c r="M1226">
        <f t="shared" si="157"/>
        <v>1.0000000000000675</v>
      </c>
      <c r="N1226">
        <f t="shared" si="158"/>
        <v>0.99999999999997868</v>
      </c>
      <c r="O1226">
        <f t="shared" si="159"/>
        <v>0</v>
      </c>
      <c r="P1226">
        <f t="shared" si="160"/>
        <v>1.0000000000000675</v>
      </c>
      <c r="Q1226">
        <f t="shared" si="161"/>
        <v>0.99999999999997868</v>
      </c>
      <c r="R1226">
        <f t="shared" si="162"/>
        <v>1.0000000000000675</v>
      </c>
    </row>
    <row r="1227" spans="1:18">
      <c r="A1227" s="9">
        <v>38503</v>
      </c>
      <c r="B1227">
        <v>3.77</v>
      </c>
      <c r="C1227">
        <v>3.95</v>
      </c>
      <c r="D1227">
        <v>4.04</v>
      </c>
      <c r="E1227">
        <v>4.0999999999999996</v>
      </c>
      <c r="F1227">
        <v>4.16</v>
      </c>
      <c r="G1227">
        <v>4.2699999999999996</v>
      </c>
      <c r="H1227">
        <v>4.42</v>
      </c>
      <c r="I1227">
        <v>4.7699999999999996</v>
      </c>
      <c r="K1227">
        <f t="shared" si="155"/>
        <v>-4.0000000000000036</v>
      </c>
      <c r="L1227">
        <f t="shared" si="156"/>
        <v>-5.9999999999999609</v>
      </c>
      <c r="M1227">
        <f t="shared" si="157"/>
        <v>-7.0000000000000284</v>
      </c>
      <c r="N1227">
        <f t="shared" si="158"/>
        <v>-8.0000000000000071</v>
      </c>
      <c r="O1227">
        <f t="shared" si="159"/>
        <v>-8.0000000000000071</v>
      </c>
      <c r="P1227">
        <f t="shared" si="160"/>
        <v>-9.0000000000000746</v>
      </c>
      <c r="Q1227">
        <f t="shared" si="161"/>
        <v>-8.9999999999999858</v>
      </c>
      <c r="R1227">
        <f t="shared" si="162"/>
        <v>-9.0000000000000746</v>
      </c>
    </row>
    <row r="1228" spans="1:18">
      <c r="A1228" s="9">
        <v>38504</v>
      </c>
      <c r="B1228">
        <v>3.66</v>
      </c>
      <c r="C1228">
        <v>3.78</v>
      </c>
      <c r="D1228">
        <v>3.87</v>
      </c>
      <c r="E1228">
        <v>3.94</v>
      </c>
      <c r="F1228">
        <v>4</v>
      </c>
      <c r="G1228">
        <v>4.12</v>
      </c>
      <c r="H1228">
        <v>4.3</v>
      </c>
      <c r="I1228">
        <v>4.67</v>
      </c>
      <c r="K1228">
        <f t="shared" si="155"/>
        <v>-10.999999999999988</v>
      </c>
      <c r="L1228">
        <f t="shared" si="156"/>
        <v>-17.000000000000036</v>
      </c>
      <c r="M1228">
        <f t="shared" si="157"/>
        <v>-16.999999999999993</v>
      </c>
      <c r="N1228">
        <f t="shared" si="158"/>
        <v>-15.99999999999997</v>
      </c>
      <c r="O1228">
        <f t="shared" si="159"/>
        <v>-16.000000000000014</v>
      </c>
      <c r="P1228">
        <f t="shared" si="160"/>
        <v>-14.999999999999947</v>
      </c>
      <c r="Q1228">
        <f t="shared" si="161"/>
        <v>-12.000000000000011</v>
      </c>
      <c r="R1228">
        <f t="shared" si="162"/>
        <v>-9.9999999999999645</v>
      </c>
    </row>
    <row r="1229" spans="1:18">
      <c r="A1229" s="9">
        <v>38505</v>
      </c>
      <c r="B1229">
        <v>3.72</v>
      </c>
      <c r="C1229">
        <v>3.86</v>
      </c>
      <c r="D1229">
        <v>3.94</v>
      </c>
      <c r="E1229">
        <v>4</v>
      </c>
      <c r="F1229">
        <v>4.05</v>
      </c>
      <c r="G1229">
        <v>4.16</v>
      </c>
      <c r="H1229">
        <v>4.3099999999999996</v>
      </c>
      <c r="I1229">
        <v>4.6500000000000004</v>
      </c>
      <c r="K1229">
        <f t="shared" si="155"/>
        <v>6.0000000000000053</v>
      </c>
      <c r="L1229">
        <f t="shared" si="156"/>
        <v>8.0000000000000071</v>
      </c>
      <c r="M1229">
        <f t="shared" si="157"/>
        <v>6.999999999999984</v>
      </c>
      <c r="N1229">
        <f t="shared" si="158"/>
        <v>6.0000000000000053</v>
      </c>
      <c r="O1229">
        <f t="shared" si="159"/>
        <v>4.9999999999999822</v>
      </c>
      <c r="P1229">
        <f t="shared" si="160"/>
        <v>4.0000000000000036</v>
      </c>
      <c r="Q1229">
        <f t="shared" si="161"/>
        <v>0.99999999999997868</v>
      </c>
      <c r="R1229">
        <f t="shared" si="162"/>
        <v>-1.9999999999999574</v>
      </c>
    </row>
    <row r="1230" spans="1:18">
      <c r="A1230" s="9">
        <v>38506</v>
      </c>
      <c r="B1230">
        <v>3.72</v>
      </c>
      <c r="C1230">
        <v>3.87</v>
      </c>
      <c r="D1230">
        <v>3.95</v>
      </c>
      <c r="E1230">
        <v>4.01</v>
      </c>
      <c r="F1230">
        <v>4.0599999999999996</v>
      </c>
      <c r="G1230">
        <v>4.16</v>
      </c>
      <c r="H1230">
        <v>4.3</v>
      </c>
      <c r="I1230">
        <v>4.63</v>
      </c>
      <c r="K1230">
        <f t="shared" si="155"/>
        <v>0</v>
      </c>
      <c r="L1230">
        <f t="shared" si="156"/>
        <v>1.0000000000000231</v>
      </c>
      <c r="M1230">
        <f t="shared" si="157"/>
        <v>1.0000000000000231</v>
      </c>
      <c r="N1230">
        <f t="shared" si="158"/>
        <v>0.99999999999997868</v>
      </c>
      <c r="O1230">
        <f t="shared" si="159"/>
        <v>0.99999999999997868</v>
      </c>
      <c r="P1230">
        <f t="shared" si="160"/>
        <v>0</v>
      </c>
      <c r="Q1230">
        <f t="shared" si="161"/>
        <v>-0.99999999999997868</v>
      </c>
      <c r="R1230">
        <f t="shared" si="162"/>
        <v>-2.0000000000000462</v>
      </c>
    </row>
    <row r="1231" spans="1:18">
      <c r="A1231" s="9">
        <v>38509</v>
      </c>
      <c r="B1231">
        <v>3.76</v>
      </c>
      <c r="C1231">
        <v>3.92</v>
      </c>
      <c r="D1231">
        <v>4.01</v>
      </c>
      <c r="E1231">
        <v>4.08</v>
      </c>
      <c r="F1231">
        <v>4.1500000000000004</v>
      </c>
      <c r="G1231">
        <v>4.25</v>
      </c>
      <c r="H1231">
        <v>4.3899999999999997</v>
      </c>
      <c r="I1231">
        <v>4.7</v>
      </c>
      <c r="K1231">
        <f t="shared" si="155"/>
        <v>3.9999999999999591</v>
      </c>
      <c r="L1231">
        <f t="shared" si="156"/>
        <v>4.9999999999999822</v>
      </c>
      <c r="M1231">
        <f t="shared" si="157"/>
        <v>5.9999999999999609</v>
      </c>
      <c r="N1231">
        <f t="shared" si="158"/>
        <v>7.0000000000000284</v>
      </c>
      <c r="O1231">
        <f t="shared" si="159"/>
        <v>9.0000000000000746</v>
      </c>
      <c r="P1231">
        <f t="shared" si="160"/>
        <v>8.9999999999999858</v>
      </c>
      <c r="Q1231">
        <f t="shared" si="161"/>
        <v>8.9999999999999858</v>
      </c>
      <c r="R1231">
        <f t="shared" si="162"/>
        <v>7.0000000000000284</v>
      </c>
    </row>
    <row r="1232" spans="1:18">
      <c r="A1232" s="9">
        <v>38510</v>
      </c>
      <c r="B1232">
        <v>3.75</v>
      </c>
      <c r="C1232">
        <v>3.91</v>
      </c>
      <c r="D1232">
        <v>3.99</v>
      </c>
      <c r="E1232">
        <v>4.05</v>
      </c>
      <c r="F1232">
        <v>4.1100000000000003</v>
      </c>
      <c r="G1232">
        <v>4.21</v>
      </c>
      <c r="H1232">
        <v>4.34</v>
      </c>
      <c r="I1232">
        <v>4.6500000000000004</v>
      </c>
      <c r="K1232">
        <f t="shared" si="155"/>
        <v>-0.99999999999997868</v>
      </c>
      <c r="L1232">
        <f t="shared" si="156"/>
        <v>-0.99999999999997868</v>
      </c>
      <c r="M1232">
        <f t="shared" si="157"/>
        <v>-1.9999999999999574</v>
      </c>
      <c r="N1232">
        <f t="shared" si="158"/>
        <v>-3.0000000000000249</v>
      </c>
      <c r="O1232">
        <f t="shared" si="159"/>
        <v>-4.0000000000000036</v>
      </c>
      <c r="P1232">
        <f t="shared" si="160"/>
        <v>-4.0000000000000036</v>
      </c>
      <c r="Q1232">
        <f t="shared" si="161"/>
        <v>-4.9999999999999822</v>
      </c>
      <c r="R1232">
        <f t="shared" si="162"/>
        <v>-4.9999999999999822</v>
      </c>
    </row>
    <row r="1233" spans="1:18">
      <c r="A1233" s="9">
        <v>38511</v>
      </c>
      <c r="B1233">
        <v>3.76</v>
      </c>
      <c r="C1233">
        <v>3.92</v>
      </c>
      <c r="D1233">
        <v>3.99</v>
      </c>
      <c r="E1233">
        <v>4.05</v>
      </c>
      <c r="F1233">
        <v>4.0999999999999996</v>
      </c>
      <c r="G1233">
        <v>4.1900000000000004</v>
      </c>
      <c r="H1233">
        <v>4.32</v>
      </c>
      <c r="I1233">
        <v>4.63</v>
      </c>
      <c r="K1233">
        <f t="shared" si="155"/>
        <v>0.99999999999997868</v>
      </c>
      <c r="L1233">
        <f t="shared" si="156"/>
        <v>0.99999999999997868</v>
      </c>
      <c r="M1233">
        <f t="shared" si="157"/>
        <v>0</v>
      </c>
      <c r="N1233">
        <f t="shared" si="158"/>
        <v>0</v>
      </c>
      <c r="O1233">
        <f t="shared" si="159"/>
        <v>-1.0000000000000675</v>
      </c>
      <c r="P1233">
        <f t="shared" si="160"/>
        <v>-1.9999999999999574</v>
      </c>
      <c r="Q1233">
        <f t="shared" si="161"/>
        <v>-1.9999999999999574</v>
      </c>
      <c r="R1233">
        <f t="shared" si="162"/>
        <v>-2.0000000000000462</v>
      </c>
    </row>
    <row r="1234" spans="1:18">
      <c r="A1234" s="9">
        <v>38512</v>
      </c>
      <c r="B1234">
        <v>3.81</v>
      </c>
      <c r="C1234">
        <v>3.98</v>
      </c>
      <c r="D1234">
        <v>4.0599999999999996</v>
      </c>
      <c r="E1234">
        <v>4.1100000000000003</v>
      </c>
      <c r="F1234">
        <v>4.17</v>
      </c>
      <c r="G1234">
        <v>4.25</v>
      </c>
      <c r="H1234">
        <v>4.38</v>
      </c>
      <c r="I1234">
        <v>4.6900000000000004</v>
      </c>
      <c r="K1234">
        <f t="shared" si="155"/>
        <v>5.0000000000000266</v>
      </c>
      <c r="L1234">
        <f t="shared" si="156"/>
        <v>6.0000000000000053</v>
      </c>
      <c r="M1234">
        <f t="shared" si="157"/>
        <v>6.9999999999999396</v>
      </c>
      <c r="N1234">
        <f t="shared" si="158"/>
        <v>6.0000000000000497</v>
      </c>
      <c r="O1234">
        <f t="shared" si="159"/>
        <v>7.0000000000000284</v>
      </c>
      <c r="P1234">
        <f t="shared" si="160"/>
        <v>5.9999999999999609</v>
      </c>
      <c r="Q1234">
        <f t="shared" si="161"/>
        <v>5.9999999999999609</v>
      </c>
      <c r="R1234">
        <f t="shared" si="162"/>
        <v>6.0000000000000497</v>
      </c>
    </row>
    <row r="1235" spans="1:18">
      <c r="A1235" s="9">
        <v>38513</v>
      </c>
      <c r="B1235">
        <v>3.85</v>
      </c>
      <c r="C1235">
        <v>4.0199999999999996</v>
      </c>
      <c r="D1235">
        <v>4.1100000000000003</v>
      </c>
      <c r="E1235">
        <v>4.16</v>
      </c>
      <c r="F1235">
        <v>4.21</v>
      </c>
      <c r="G1235">
        <v>4.3</v>
      </c>
      <c r="H1235">
        <v>4.42</v>
      </c>
      <c r="I1235">
        <v>4.7300000000000004</v>
      </c>
      <c r="K1235">
        <f t="shared" si="155"/>
        <v>4.0000000000000036</v>
      </c>
      <c r="L1235">
        <f t="shared" si="156"/>
        <v>3.9999999999999591</v>
      </c>
      <c r="M1235">
        <f t="shared" si="157"/>
        <v>5.0000000000000711</v>
      </c>
      <c r="N1235">
        <f t="shared" si="158"/>
        <v>4.9999999999999822</v>
      </c>
      <c r="O1235">
        <f t="shared" si="159"/>
        <v>4.0000000000000036</v>
      </c>
      <c r="P1235">
        <f t="shared" si="160"/>
        <v>4.9999999999999822</v>
      </c>
      <c r="Q1235">
        <f t="shared" si="161"/>
        <v>4.0000000000000036</v>
      </c>
      <c r="R1235">
        <f t="shared" si="162"/>
        <v>4.0000000000000036</v>
      </c>
    </row>
    <row r="1236" spans="1:18">
      <c r="A1236" s="9">
        <v>38516</v>
      </c>
      <c r="B1236">
        <v>3.86</v>
      </c>
      <c r="C1236">
        <v>4.05</v>
      </c>
      <c r="D1236">
        <v>4.1500000000000004</v>
      </c>
      <c r="E1236">
        <v>4.21</v>
      </c>
      <c r="F1236">
        <v>4.28</v>
      </c>
      <c r="G1236">
        <v>4.37</v>
      </c>
      <c r="H1236">
        <v>4.49</v>
      </c>
      <c r="I1236">
        <v>4.8</v>
      </c>
      <c r="K1236">
        <f t="shared" si="155"/>
        <v>0.99999999999997868</v>
      </c>
      <c r="L1236">
        <f t="shared" si="156"/>
        <v>3.0000000000000249</v>
      </c>
      <c r="M1236">
        <f t="shared" si="157"/>
        <v>4.0000000000000036</v>
      </c>
      <c r="N1236">
        <f t="shared" si="158"/>
        <v>4.9999999999999822</v>
      </c>
      <c r="O1236">
        <f t="shared" si="159"/>
        <v>7.0000000000000284</v>
      </c>
      <c r="P1236">
        <f t="shared" si="160"/>
        <v>7.0000000000000284</v>
      </c>
      <c r="Q1236">
        <f t="shared" si="161"/>
        <v>7.0000000000000284</v>
      </c>
      <c r="R1236">
        <f t="shared" si="162"/>
        <v>6.9999999999999396</v>
      </c>
    </row>
    <row r="1237" spans="1:18">
      <c r="A1237" s="9">
        <v>38517</v>
      </c>
      <c r="B1237">
        <v>3.86</v>
      </c>
      <c r="C1237">
        <v>4.04</v>
      </c>
      <c r="D1237">
        <v>4.1500000000000004</v>
      </c>
      <c r="E1237">
        <v>4.22</v>
      </c>
      <c r="F1237">
        <v>4.29</v>
      </c>
      <c r="G1237">
        <v>4.38</v>
      </c>
      <c r="H1237">
        <v>4.5199999999999996</v>
      </c>
      <c r="I1237">
        <v>4.84</v>
      </c>
      <c r="K1237">
        <f t="shared" si="155"/>
        <v>0</v>
      </c>
      <c r="L1237">
        <f t="shared" si="156"/>
        <v>-0.99999999999997868</v>
      </c>
      <c r="M1237">
        <f t="shared" si="157"/>
        <v>0</v>
      </c>
      <c r="N1237">
        <f t="shared" si="158"/>
        <v>0.99999999999997868</v>
      </c>
      <c r="O1237">
        <f t="shared" si="159"/>
        <v>0.99999999999997868</v>
      </c>
      <c r="P1237">
        <f t="shared" si="160"/>
        <v>0.99999999999997868</v>
      </c>
      <c r="Q1237">
        <f t="shared" si="161"/>
        <v>2.9999999999999361</v>
      </c>
      <c r="R1237">
        <f t="shared" si="162"/>
        <v>4.0000000000000036</v>
      </c>
    </row>
    <row r="1238" spans="1:18">
      <c r="A1238" s="9">
        <v>38518</v>
      </c>
      <c r="B1238">
        <v>3.87</v>
      </c>
      <c r="C1238">
        <v>4.07</v>
      </c>
      <c r="D1238">
        <v>4.17</v>
      </c>
      <c r="E1238">
        <v>4.24</v>
      </c>
      <c r="F1238">
        <v>4.3</v>
      </c>
      <c r="G1238">
        <v>4.4000000000000004</v>
      </c>
      <c r="H1238">
        <v>4.55</v>
      </c>
      <c r="I1238">
        <v>4.88</v>
      </c>
      <c r="K1238">
        <f t="shared" si="155"/>
        <v>1.0000000000000231</v>
      </c>
      <c r="L1238">
        <f t="shared" si="156"/>
        <v>3.0000000000000249</v>
      </c>
      <c r="M1238">
        <f t="shared" si="157"/>
        <v>1.9999999999999574</v>
      </c>
      <c r="N1238">
        <f t="shared" si="158"/>
        <v>2.0000000000000462</v>
      </c>
      <c r="O1238">
        <f t="shared" si="159"/>
        <v>0.99999999999997868</v>
      </c>
      <c r="P1238">
        <f t="shared" si="160"/>
        <v>2.0000000000000462</v>
      </c>
      <c r="Q1238">
        <f t="shared" si="161"/>
        <v>3.0000000000000249</v>
      </c>
      <c r="R1238">
        <f t="shared" si="162"/>
        <v>4.0000000000000036</v>
      </c>
    </row>
    <row r="1239" spans="1:18">
      <c r="A1239" s="9">
        <v>38519</v>
      </c>
      <c r="B1239">
        <v>3.89</v>
      </c>
      <c r="C1239">
        <v>4.09</v>
      </c>
      <c r="D1239">
        <v>4.1900000000000004</v>
      </c>
      <c r="E1239">
        <v>4.26</v>
      </c>
      <c r="F1239">
        <v>4.32</v>
      </c>
      <c r="G1239">
        <v>4.41</v>
      </c>
      <c r="H1239">
        <v>4.54</v>
      </c>
      <c r="I1239">
        <v>4.8600000000000003</v>
      </c>
      <c r="K1239">
        <f t="shared" si="155"/>
        <v>2.0000000000000018</v>
      </c>
      <c r="L1239">
        <f t="shared" si="156"/>
        <v>1.9999999999999574</v>
      </c>
      <c r="M1239">
        <f t="shared" si="157"/>
        <v>2.0000000000000462</v>
      </c>
      <c r="N1239">
        <f t="shared" si="158"/>
        <v>1.9999999999999574</v>
      </c>
      <c r="O1239">
        <f t="shared" si="159"/>
        <v>2.0000000000000462</v>
      </c>
      <c r="P1239">
        <f t="shared" si="160"/>
        <v>0.99999999999997868</v>
      </c>
      <c r="Q1239">
        <f t="shared" si="161"/>
        <v>-0.99999999999997868</v>
      </c>
      <c r="R1239">
        <f t="shared" si="162"/>
        <v>-1.9999999999999574</v>
      </c>
    </row>
    <row r="1240" spans="1:18">
      <c r="A1240" s="9">
        <v>38520</v>
      </c>
      <c r="B1240">
        <v>3.87</v>
      </c>
      <c r="C1240">
        <v>4.05</v>
      </c>
      <c r="D1240">
        <v>4.1399999999999997</v>
      </c>
      <c r="E1240">
        <v>4.2</v>
      </c>
      <c r="F1240">
        <v>4.26</v>
      </c>
      <c r="G1240">
        <v>4.3600000000000003</v>
      </c>
      <c r="H1240">
        <v>4.49</v>
      </c>
      <c r="I1240">
        <v>4.8</v>
      </c>
      <c r="K1240">
        <f t="shared" si="155"/>
        <v>-2.0000000000000018</v>
      </c>
      <c r="L1240">
        <f t="shared" si="156"/>
        <v>-4.0000000000000036</v>
      </c>
      <c r="M1240">
        <f t="shared" si="157"/>
        <v>-5.0000000000000711</v>
      </c>
      <c r="N1240">
        <f t="shared" si="158"/>
        <v>-5.9999999999999609</v>
      </c>
      <c r="O1240">
        <f t="shared" si="159"/>
        <v>-6.0000000000000497</v>
      </c>
      <c r="P1240">
        <f t="shared" si="160"/>
        <v>-4.9999999999999822</v>
      </c>
      <c r="Q1240">
        <f t="shared" si="161"/>
        <v>-4.9999999999999822</v>
      </c>
      <c r="R1240">
        <f t="shared" si="162"/>
        <v>-6.0000000000000497</v>
      </c>
    </row>
    <row r="1241" spans="1:18">
      <c r="A1241" s="9">
        <v>38523</v>
      </c>
      <c r="B1241">
        <v>3.89</v>
      </c>
      <c r="C1241">
        <v>4.08</v>
      </c>
      <c r="D1241">
        <v>4.18</v>
      </c>
      <c r="E1241">
        <v>4.24</v>
      </c>
      <c r="F1241">
        <v>4.3</v>
      </c>
      <c r="G1241">
        <v>4.4000000000000004</v>
      </c>
      <c r="H1241">
        <v>4.53</v>
      </c>
      <c r="I1241">
        <v>4.84</v>
      </c>
      <c r="K1241">
        <f t="shared" si="155"/>
        <v>2.0000000000000018</v>
      </c>
      <c r="L1241">
        <f t="shared" si="156"/>
        <v>3.0000000000000249</v>
      </c>
      <c r="M1241">
        <f t="shared" si="157"/>
        <v>4.0000000000000036</v>
      </c>
      <c r="N1241">
        <f t="shared" si="158"/>
        <v>4.0000000000000036</v>
      </c>
      <c r="O1241">
        <f t="shared" si="159"/>
        <v>4.0000000000000036</v>
      </c>
      <c r="P1241">
        <f t="shared" si="160"/>
        <v>4.0000000000000036</v>
      </c>
      <c r="Q1241">
        <f t="shared" si="161"/>
        <v>4.0000000000000036</v>
      </c>
      <c r="R1241">
        <f t="shared" si="162"/>
        <v>4.0000000000000036</v>
      </c>
    </row>
    <row r="1242" spans="1:18">
      <c r="A1242" s="9">
        <v>38524</v>
      </c>
      <c r="B1242">
        <v>3.88</v>
      </c>
      <c r="C1242">
        <v>4.04</v>
      </c>
      <c r="D1242">
        <v>4.13</v>
      </c>
      <c r="E1242">
        <v>4.1900000000000004</v>
      </c>
      <c r="F1242">
        <v>4.24</v>
      </c>
      <c r="G1242">
        <v>4.33</v>
      </c>
      <c r="H1242">
        <v>4.46</v>
      </c>
      <c r="I1242">
        <v>4.76</v>
      </c>
      <c r="K1242">
        <f t="shared" si="155"/>
        <v>-1.0000000000000231</v>
      </c>
      <c r="L1242">
        <f t="shared" si="156"/>
        <v>-4.0000000000000036</v>
      </c>
      <c r="M1242">
        <f t="shared" si="157"/>
        <v>-4.9999999999999822</v>
      </c>
      <c r="N1242">
        <f t="shared" si="158"/>
        <v>-4.9999999999999822</v>
      </c>
      <c r="O1242">
        <f t="shared" si="159"/>
        <v>-5.9999999999999609</v>
      </c>
      <c r="P1242">
        <f t="shared" si="160"/>
        <v>-7.0000000000000284</v>
      </c>
      <c r="Q1242">
        <f t="shared" si="161"/>
        <v>-7.0000000000000284</v>
      </c>
      <c r="R1242">
        <f t="shared" si="162"/>
        <v>-8.0000000000000071</v>
      </c>
    </row>
    <row r="1243" spans="1:18">
      <c r="A1243" s="9">
        <v>38525</v>
      </c>
      <c r="B1243">
        <v>3.85</v>
      </c>
      <c r="C1243">
        <v>3.99</v>
      </c>
      <c r="D1243">
        <v>4.0599999999999996</v>
      </c>
      <c r="E1243">
        <v>4.12</v>
      </c>
      <c r="F1243">
        <v>4.17</v>
      </c>
      <c r="G1243">
        <v>4.26</v>
      </c>
      <c r="H1243">
        <v>4.3899999999999997</v>
      </c>
      <c r="I1243">
        <v>4.7</v>
      </c>
      <c r="K1243">
        <f t="shared" si="155"/>
        <v>-2.9999999999999805</v>
      </c>
      <c r="L1243">
        <f t="shared" si="156"/>
        <v>-4.9999999999999822</v>
      </c>
      <c r="M1243">
        <f t="shared" si="157"/>
        <v>-7.0000000000000284</v>
      </c>
      <c r="N1243">
        <f t="shared" si="158"/>
        <v>-7.0000000000000284</v>
      </c>
      <c r="O1243">
        <f t="shared" si="159"/>
        <v>-7.0000000000000284</v>
      </c>
      <c r="P1243">
        <f t="shared" si="160"/>
        <v>-7.0000000000000284</v>
      </c>
      <c r="Q1243">
        <f t="shared" si="161"/>
        <v>-7.0000000000000284</v>
      </c>
      <c r="R1243">
        <f t="shared" si="162"/>
        <v>-5.9999999999999609</v>
      </c>
    </row>
    <row r="1244" spans="1:18">
      <c r="A1244" s="9">
        <v>38526</v>
      </c>
      <c r="B1244">
        <v>3.84</v>
      </c>
      <c r="C1244">
        <v>3.97</v>
      </c>
      <c r="D1244">
        <v>4.03</v>
      </c>
      <c r="E1244">
        <v>4.09</v>
      </c>
      <c r="F1244">
        <v>4.1399999999999997</v>
      </c>
      <c r="G1244">
        <v>4.2300000000000004</v>
      </c>
      <c r="H1244">
        <v>4.3600000000000003</v>
      </c>
      <c r="I1244">
        <v>4.6900000000000004</v>
      </c>
      <c r="K1244">
        <f t="shared" si="155"/>
        <v>-1.0000000000000231</v>
      </c>
      <c r="L1244">
        <f t="shared" si="156"/>
        <v>-2.0000000000000018</v>
      </c>
      <c r="M1244">
        <f t="shared" si="157"/>
        <v>-2.9999999999999361</v>
      </c>
      <c r="N1244">
        <f t="shared" si="158"/>
        <v>-3.0000000000000249</v>
      </c>
      <c r="O1244">
        <f t="shared" si="159"/>
        <v>-3.0000000000000249</v>
      </c>
      <c r="P1244">
        <f t="shared" si="160"/>
        <v>-2.9999999999999361</v>
      </c>
      <c r="Q1244">
        <f t="shared" si="161"/>
        <v>-2.9999999999999361</v>
      </c>
      <c r="R1244">
        <f t="shared" si="162"/>
        <v>-0.99999999999997868</v>
      </c>
    </row>
    <row r="1245" spans="1:18">
      <c r="A1245" s="9">
        <v>38527</v>
      </c>
      <c r="B1245">
        <v>3.83</v>
      </c>
      <c r="C1245">
        <v>3.93</v>
      </c>
      <c r="D1245">
        <v>4</v>
      </c>
      <c r="E1245">
        <v>4.05</v>
      </c>
      <c r="F1245">
        <v>4.0999999999999996</v>
      </c>
      <c r="G1245">
        <v>4.2</v>
      </c>
      <c r="H1245">
        <v>4.33</v>
      </c>
      <c r="I1245">
        <v>4.6500000000000004</v>
      </c>
      <c r="K1245">
        <f t="shared" si="155"/>
        <v>-0.99999999999997868</v>
      </c>
      <c r="L1245">
        <f t="shared" si="156"/>
        <v>-4.0000000000000036</v>
      </c>
      <c r="M1245">
        <f t="shared" si="157"/>
        <v>-3.0000000000000249</v>
      </c>
      <c r="N1245">
        <f t="shared" si="158"/>
        <v>-4.0000000000000036</v>
      </c>
      <c r="O1245">
        <f t="shared" si="159"/>
        <v>-4.0000000000000036</v>
      </c>
      <c r="P1245">
        <f t="shared" si="160"/>
        <v>-3.0000000000000249</v>
      </c>
      <c r="Q1245">
        <f t="shared" si="161"/>
        <v>-3.0000000000000249</v>
      </c>
      <c r="R1245">
        <f t="shared" si="162"/>
        <v>-4.0000000000000036</v>
      </c>
    </row>
    <row r="1246" spans="1:18">
      <c r="A1246" s="9">
        <v>38530</v>
      </c>
      <c r="B1246">
        <v>3.82</v>
      </c>
      <c r="C1246">
        <v>3.92</v>
      </c>
      <c r="D1246">
        <v>3.98</v>
      </c>
      <c r="E1246">
        <v>4.03</v>
      </c>
      <c r="F1246">
        <v>4.08</v>
      </c>
      <c r="G1246">
        <v>4.17</v>
      </c>
      <c r="H1246">
        <v>4.3</v>
      </c>
      <c r="I1246">
        <v>4.62</v>
      </c>
      <c r="K1246">
        <f t="shared" si="155"/>
        <v>-1.0000000000000231</v>
      </c>
      <c r="L1246">
        <f t="shared" si="156"/>
        <v>-1.0000000000000231</v>
      </c>
      <c r="M1246">
        <f t="shared" si="157"/>
        <v>-2.0000000000000018</v>
      </c>
      <c r="N1246">
        <f t="shared" si="158"/>
        <v>-1.9999999999999574</v>
      </c>
      <c r="O1246">
        <f t="shared" si="159"/>
        <v>-1.9999999999999574</v>
      </c>
      <c r="P1246">
        <f t="shared" si="160"/>
        <v>-3.0000000000000249</v>
      </c>
      <c r="Q1246">
        <f t="shared" si="161"/>
        <v>-3.0000000000000249</v>
      </c>
      <c r="R1246">
        <f t="shared" si="162"/>
        <v>-3.0000000000000249</v>
      </c>
    </row>
    <row r="1247" spans="1:18">
      <c r="A1247" s="9">
        <v>38531</v>
      </c>
      <c r="B1247">
        <v>3.86</v>
      </c>
      <c r="C1247">
        <v>3.98</v>
      </c>
      <c r="D1247">
        <v>4.04</v>
      </c>
      <c r="E1247">
        <v>4.09</v>
      </c>
      <c r="F1247">
        <v>4.1500000000000004</v>
      </c>
      <c r="G1247">
        <v>4.24</v>
      </c>
      <c r="H1247">
        <v>4.3600000000000003</v>
      </c>
      <c r="I1247">
        <v>4.66</v>
      </c>
      <c r="K1247">
        <f t="shared" si="155"/>
        <v>4.0000000000000036</v>
      </c>
      <c r="L1247">
        <f t="shared" si="156"/>
        <v>6.0000000000000053</v>
      </c>
      <c r="M1247">
        <f t="shared" si="157"/>
        <v>6.0000000000000053</v>
      </c>
      <c r="N1247">
        <f t="shared" si="158"/>
        <v>5.9999999999999609</v>
      </c>
      <c r="O1247">
        <f t="shared" si="159"/>
        <v>7.0000000000000284</v>
      </c>
      <c r="P1247">
        <f t="shared" si="160"/>
        <v>7.0000000000000284</v>
      </c>
      <c r="Q1247">
        <f t="shared" si="161"/>
        <v>6.0000000000000497</v>
      </c>
      <c r="R1247">
        <f t="shared" si="162"/>
        <v>4.0000000000000036</v>
      </c>
    </row>
    <row r="1248" spans="1:18">
      <c r="A1248" s="9">
        <v>38532</v>
      </c>
      <c r="B1248">
        <v>3.86</v>
      </c>
      <c r="C1248">
        <v>3.96</v>
      </c>
      <c r="D1248">
        <v>4.03</v>
      </c>
      <c r="E1248">
        <v>4.08</v>
      </c>
      <c r="F1248">
        <v>4.13</v>
      </c>
      <c r="G1248">
        <v>4.2300000000000004</v>
      </c>
      <c r="H1248">
        <v>4.3499999999999996</v>
      </c>
      <c r="I1248">
        <v>4.6500000000000004</v>
      </c>
      <c r="K1248">
        <f t="shared" si="155"/>
        <v>0</v>
      </c>
      <c r="L1248">
        <f t="shared" si="156"/>
        <v>-2.0000000000000018</v>
      </c>
      <c r="M1248">
        <f t="shared" si="157"/>
        <v>-0.99999999999997868</v>
      </c>
      <c r="N1248">
        <f t="shared" si="158"/>
        <v>-0.99999999999997868</v>
      </c>
      <c r="O1248">
        <f t="shared" si="159"/>
        <v>-2.0000000000000462</v>
      </c>
      <c r="P1248">
        <f t="shared" si="160"/>
        <v>-0.99999999999997868</v>
      </c>
      <c r="Q1248">
        <f t="shared" si="161"/>
        <v>-1.0000000000000675</v>
      </c>
      <c r="R1248">
        <f t="shared" si="162"/>
        <v>-0.99999999999997868</v>
      </c>
    </row>
    <row r="1249" spans="1:18">
      <c r="A1249" s="9">
        <v>38533</v>
      </c>
      <c r="B1249">
        <v>3.87</v>
      </c>
      <c r="C1249">
        <v>3.98</v>
      </c>
      <c r="D1249">
        <v>4.05</v>
      </c>
      <c r="E1249">
        <v>4.0999999999999996</v>
      </c>
      <c r="F1249">
        <v>4.1500000000000004</v>
      </c>
      <c r="G1249">
        <v>4.25</v>
      </c>
      <c r="H1249">
        <v>4.38</v>
      </c>
      <c r="I1249">
        <v>4.6900000000000004</v>
      </c>
      <c r="K1249">
        <f t="shared" si="155"/>
        <v>1.0000000000000231</v>
      </c>
      <c r="L1249">
        <f t="shared" si="156"/>
        <v>2.0000000000000018</v>
      </c>
      <c r="M1249">
        <f t="shared" si="157"/>
        <v>1.9999999999999574</v>
      </c>
      <c r="N1249">
        <f t="shared" si="158"/>
        <v>1.9999999999999574</v>
      </c>
      <c r="O1249">
        <f t="shared" si="159"/>
        <v>2.0000000000000462</v>
      </c>
      <c r="P1249">
        <f t="shared" si="160"/>
        <v>1.9999999999999574</v>
      </c>
      <c r="Q1249">
        <f t="shared" si="161"/>
        <v>3.0000000000000249</v>
      </c>
      <c r="R1249">
        <f t="shared" si="162"/>
        <v>4.0000000000000036</v>
      </c>
    </row>
    <row r="1250" spans="1:18">
      <c r="A1250" s="9">
        <v>38534</v>
      </c>
      <c r="B1250">
        <v>3.96</v>
      </c>
      <c r="C1250">
        <v>4.0599999999999996</v>
      </c>
      <c r="D1250">
        <v>4.12</v>
      </c>
      <c r="E1250">
        <v>4.17</v>
      </c>
      <c r="F1250">
        <v>4.2300000000000004</v>
      </c>
      <c r="G1250">
        <v>4.32</v>
      </c>
      <c r="H1250">
        <v>4.4400000000000004</v>
      </c>
      <c r="I1250">
        <v>4.74</v>
      </c>
      <c r="K1250">
        <f t="shared" si="155"/>
        <v>8.9999999999999858</v>
      </c>
      <c r="L1250">
        <f t="shared" si="156"/>
        <v>7.9999999999999627</v>
      </c>
      <c r="M1250">
        <f t="shared" si="157"/>
        <v>7.0000000000000284</v>
      </c>
      <c r="N1250">
        <f t="shared" si="158"/>
        <v>7.0000000000000284</v>
      </c>
      <c r="O1250">
        <f t="shared" si="159"/>
        <v>8.0000000000000071</v>
      </c>
      <c r="P1250">
        <f t="shared" si="160"/>
        <v>7.0000000000000284</v>
      </c>
      <c r="Q1250">
        <f t="shared" si="161"/>
        <v>6.0000000000000497</v>
      </c>
      <c r="R1250">
        <f t="shared" si="162"/>
        <v>4.9999999999999822</v>
      </c>
    </row>
    <row r="1251" spans="1:18">
      <c r="A1251" s="9">
        <v>38538</v>
      </c>
      <c r="B1251">
        <v>4</v>
      </c>
      <c r="C1251">
        <v>4.13</v>
      </c>
      <c r="D1251">
        <v>4.2</v>
      </c>
      <c r="E1251">
        <v>4.26</v>
      </c>
      <c r="F1251">
        <v>4.3099999999999996</v>
      </c>
      <c r="G1251">
        <v>4.4000000000000004</v>
      </c>
      <c r="H1251">
        <v>4.5199999999999996</v>
      </c>
      <c r="I1251">
        <v>4.8099999999999996</v>
      </c>
      <c r="K1251">
        <f t="shared" si="155"/>
        <v>4.0000000000000036</v>
      </c>
      <c r="L1251">
        <f t="shared" si="156"/>
        <v>7.0000000000000284</v>
      </c>
      <c r="M1251">
        <f t="shared" si="157"/>
        <v>8.0000000000000071</v>
      </c>
      <c r="N1251">
        <f t="shared" si="158"/>
        <v>8.9999999999999858</v>
      </c>
      <c r="O1251">
        <f t="shared" si="159"/>
        <v>7.9999999999999183</v>
      </c>
      <c r="P1251">
        <f t="shared" si="160"/>
        <v>8.0000000000000071</v>
      </c>
      <c r="Q1251">
        <f t="shared" si="161"/>
        <v>7.9999999999999183</v>
      </c>
      <c r="R1251">
        <f t="shared" si="162"/>
        <v>6.9999999999999396</v>
      </c>
    </row>
    <row r="1252" spans="1:18">
      <c r="A1252" s="9">
        <v>38539</v>
      </c>
      <c r="B1252">
        <v>4</v>
      </c>
      <c r="C1252">
        <v>4.13</v>
      </c>
      <c r="D1252">
        <v>4.2</v>
      </c>
      <c r="E1252">
        <v>4.25</v>
      </c>
      <c r="F1252">
        <v>4.3</v>
      </c>
      <c r="G1252">
        <v>4.38</v>
      </c>
      <c r="H1252">
        <v>4.5</v>
      </c>
      <c r="I1252">
        <v>4.79</v>
      </c>
      <c r="K1252">
        <f t="shared" si="155"/>
        <v>0</v>
      </c>
      <c r="L1252">
        <f t="shared" si="156"/>
        <v>0</v>
      </c>
      <c r="M1252">
        <f t="shared" si="157"/>
        <v>0</v>
      </c>
      <c r="N1252">
        <f t="shared" si="158"/>
        <v>-0.99999999999997868</v>
      </c>
      <c r="O1252">
        <f t="shared" si="159"/>
        <v>-0.99999999999997868</v>
      </c>
      <c r="P1252">
        <f t="shared" si="160"/>
        <v>-2.0000000000000462</v>
      </c>
      <c r="Q1252">
        <f t="shared" si="161"/>
        <v>-1.9999999999999574</v>
      </c>
      <c r="R1252">
        <f t="shared" si="162"/>
        <v>-1.9999999999999574</v>
      </c>
    </row>
    <row r="1253" spans="1:18">
      <c r="A1253" s="9">
        <v>38540</v>
      </c>
      <c r="B1253">
        <v>3.96</v>
      </c>
      <c r="C1253">
        <v>4.07</v>
      </c>
      <c r="D1253">
        <v>4.13</v>
      </c>
      <c r="E1253">
        <v>4.1900000000000004</v>
      </c>
      <c r="F1253">
        <v>4.24</v>
      </c>
      <c r="G1253">
        <v>4.33</v>
      </c>
      <c r="H1253">
        <v>4.46</v>
      </c>
      <c r="I1253">
        <v>4.74</v>
      </c>
      <c r="K1253">
        <f t="shared" si="155"/>
        <v>-4.0000000000000036</v>
      </c>
      <c r="L1253">
        <f t="shared" si="156"/>
        <v>-5.9999999999999609</v>
      </c>
      <c r="M1253">
        <f t="shared" si="157"/>
        <v>-7.0000000000000284</v>
      </c>
      <c r="N1253">
        <f t="shared" si="158"/>
        <v>-5.9999999999999609</v>
      </c>
      <c r="O1253">
        <f t="shared" si="159"/>
        <v>-5.9999999999999609</v>
      </c>
      <c r="P1253">
        <f t="shared" si="160"/>
        <v>-4.9999999999999822</v>
      </c>
      <c r="Q1253">
        <f t="shared" si="161"/>
        <v>-4.0000000000000036</v>
      </c>
      <c r="R1253">
        <f t="shared" si="162"/>
        <v>-4.9999999999999822</v>
      </c>
    </row>
    <row r="1254" spans="1:18">
      <c r="A1254" s="9">
        <v>38541</v>
      </c>
      <c r="B1254">
        <v>4</v>
      </c>
      <c r="C1254">
        <v>4.12</v>
      </c>
      <c r="D1254">
        <v>4.1900000000000004</v>
      </c>
      <c r="E1254">
        <v>4.24</v>
      </c>
      <c r="F1254">
        <v>4.29</v>
      </c>
      <c r="G1254">
        <v>4.38</v>
      </c>
      <c r="H1254">
        <v>4.49</v>
      </c>
      <c r="I1254">
        <v>4.78</v>
      </c>
      <c r="K1254">
        <f t="shared" si="155"/>
        <v>4.0000000000000036</v>
      </c>
      <c r="L1254">
        <f t="shared" si="156"/>
        <v>4.9999999999999822</v>
      </c>
      <c r="M1254">
        <f t="shared" si="157"/>
        <v>6.0000000000000497</v>
      </c>
      <c r="N1254">
        <f t="shared" si="158"/>
        <v>4.9999999999999822</v>
      </c>
      <c r="O1254">
        <f t="shared" si="159"/>
        <v>4.9999999999999822</v>
      </c>
      <c r="P1254">
        <f t="shared" si="160"/>
        <v>4.9999999999999822</v>
      </c>
      <c r="Q1254">
        <f t="shared" si="161"/>
        <v>3.0000000000000249</v>
      </c>
      <c r="R1254">
        <f t="shared" si="162"/>
        <v>4.0000000000000036</v>
      </c>
    </row>
    <row r="1255" spans="1:18">
      <c r="A1255" s="9">
        <v>38544</v>
      </c>
      <c r="B1255">
        <v>4.04</v>
      </c>
      <c r="C1255">
        <v>4.18</v>
      </c>
      <c r="D1255">
        <v>4.25</v>
      </c>
      <c r="E1255">
        <v>4.3099999999999996</v>
      </c>
      <c r="F1255">
        <v>4.37</v>
      </c>
      <c r="G1255">
        <v>4.45</v>
      </c>
      <c r="H1255">
        <v>4.57</v>
      </c>
      <c r="I1255">
        <v>4.84</v>
      </c>
      <c r="K1255">
        <f t="shared" si="155"/>
        <v>4.0000000000000036</v>
      </c>
      <c r="L1255">
        <f t="shared" si="156"/>
        <v>5.9999999999999609</v>
      </c>
      <c r="M1255">
        <f t="shared" si="157"/>
        <v>5.9999999999999609</v>
      </c>
      <c r="N1255">
        <f t="shared" si="158"/>
        <v>6.9999999999999396</v>
      </c>
      <c r="O1255">
        <f t="shared" si="159"/>
        <v>8.0000000000000071</v>
      </c>
      <c r="P1255">
        <f t="shared" si="160"/>
        <v>7.0000000000000284</v>
      </c>
      <c r="Q1255">
        <f t="shared" si="161"/>
        <v>8.0000000000000071</v>
      </c>
      <c r="R1255">
        <f t="shared" si="162"/>
        <v>5.9999999999999609</v>
      </c>
    </row>
    <row r="1256" spans="1:18">
      <c r="A1256" s="9">
        <v>38545</v>
      </c>
      <c r="B1256">
        <v>4.03</v>
      </c>
      <c r="C1256">
        <v>4.17</v>
      </c>
      <c r="D1256">
        <v>4.25</v>
      </c>
      <c r="E1256">
        <v>4.3</v>
      </c>
      <c r="F1256">
        <v>4.3499999999999996</v>
      </c>
      <c r="G1256">
        <v>4.4400000000000004</v>
      </c>
      <c r="H1256">
        <v>4.55</v>
      </c>
      <c r="I1256">
        <v>4.84</v>
      </c>
      <c r="K1256">
        <f t="shared" si="155"/>
        <v>-0.99999999999997868</v>
      </c>
      <c r="L1256">
        <f t="shared" si="156"/>
        <v>-0.99999999999997868</v>
      </c>
      <c r="M1256">
        <f t="shared" si="157"/>
        <v>0</v>
      </c>
      <c r="N1256">
        <f t="shared" si="158"/>
        <v>-0.99999999999997868</v>
      </c>
      <c r="O1256">
        <f t="shared" si="159"/>
        <v>-2.0000000000000462</v>
      </c>
      <c r="P1256">
        <f t="shared" si="160"/>
        <v>-0.99999999999997868</v>
      </c>
      <c r="Q1256">
        <f t="shared" si="161"/>
        <v>-2.0000000000000462</v>
      </c>
      <c r="R1256">
        <f t="shared" si="162"/>
        <v>0</v>
      </c>
    </row>
    <row r="1257" spans="1:18">
      <c r="A1257" s="9">
        <v>38546</v>
      </c>
      <c r="B1257">
        <v>4.0599999999999996</v>
      </c>
      <c r="C1257">
        <v>4.1900000000000004</v>
      </c>
      <c r="D1257">
        <v>4.2699999999999996</v>
      </c>
      <c r="E1257">
        <v>4.33</v>
      </c>
      <c r="F1257">
        <v>4.38</v>
      </c>
      <c r="G1257">
        <v>4.47</v>
      </c>
      <c r="H1257">
        <v>4.58</v>
      </c>
      <c r="I1257">
        <v>4.87</v>
      </c>
      <c r="K1257">
        <f t="shared" si="155"/>
        <v>2.9999999999999361</v>
      </c>
      <c r="L1257">
        <f t="shared" si="156"/>
        <v>2.0000000000000462</v>
      </c>
      <c r="M1257">
        <f t="shared" si="157"/>
        <v>1.9999999999999574</v>
      </c>
      <c r="N1257">
        <f t="shared" si="158"/>
        <v>3.0000000000000249</v>
      </c>
      <c r="O1257">
        <f t="shared" si="159"/>
        <v>3.0000000000000249</v>
      </c>
      <c r="P1257">
        <f t="shared" si="160"/>
        <v>2.9999999999999361</v>
      </c>
      <c r="Q1257">
        <f t="shared" si="161"/>
        <v>3.0000000000000249</v>
      </c>
      <c r="R1257">
        <f t="shared" si="162"/>
        <v>3.0000000000000249</v>
      </c>
    </row>
    <row r="1258" spans="1:18">
      <c r="A1258" s="9">
        <v>38547</v>
      </c>
      <c r="B1258">
        <v>4.07</v>
      </c>
      <c r="C1258">
        <v>4.2</v>
      </c>
      <c r="D1258">
        <v>4.28</v>
      </c>
      <c r="E1258">
        <v>4.33</v>
      </c>
      <c r="F1258">
        <v>4.3899999999999997</v>
      </c>
      <c r="G1258">
        <v>4.4800000000000004</v>
      </c>
      <c r="H1258">
        <v>4.59</v>
      </c>
      <c r="I1258">
        <v>4.87</v>
      </c>
      <c r="K1258">
        <f t="shared" si="155"/>
        <v>1.0000000000000675</v>
      </c>
      <c r="L1258">
        <f t="shared" si="156"/>
        <v>0.99999999999997868</v>
      </c>
      <c r="M1258">
        <f t="shared" si="157"/>
        <v>1.0000000000000675</v>
      </c>
      <c r="N1258">
        <f t="shared" si="158"/>
        <v>0</v>
      </c>
      <c r="O1258">
        <f t="shared" si="159"/>
        <v>0.99999999999997868</v>
      </c>
      <c r="P1258">
        <f t="shared" si="160"/>
        <v>1.0000000000000675</v>
      </c>
      <c r="Q1258">
        <f t="shared" si="161"/>
        <v>0.99999999999997868</v>
      </c>
      <c r="R1258">
        <f t="shared" si="162"/>
        <v>0</v>
      </c>
    </row>
    <row r="1259" spans="1:18">
      <c r="A1259" s="9">
        <v>38548</v>
      </c>
      <c r="B1259">
        <v>4.07</v>
      </c>
      <c r="C1259">
        <v>4.21</v>
      </c>
      <c r="D1259">
        <v>4.29</v>
      </c>
      <c r="E1259">
        <v>4.3499999999999996</v>
      </c>
      <c r="F1259">
        <v>4.41</v>
      </c>
      <c r="G1259">
        <v>4.49</v>
      </c>
      <c r="H1259">
        <v>4.6100000000000003</v>
      </c>
      <c r="I1259">
        <v>4.88</v>
      </c>
      <c r="K1259">
        <f t="shared" si="155"/>
        <v>0</v>
      </c>
      <c r="L1259">
        <f t="shared" si="156"/>
        <v>0.99999999999997868</v>
      </c>
      <c r="M1259">
        <f t="shared" si="157"/>
        <v>0.99999999999997868</v>
      </c>
      <c r="N1259">
        <f t="shared" si="158"/>
        <v>1.9999999999999574</v>
      </c>
      <c r="O1259">
        <f t="shared" si="159"/>
        <v>2.0000000000000462</v>
      </c>
      <c r="P1259">
        <f t="shared" si="160"/>
        <v>0.99999999999997868</v>
      </c>
      <c r="Q1259">
        <f t="shared" si="161"/>
        <v>2.0000000000000462</v>
      </c>
      <c r="R1259">
        <f t="shared" si="162"/>
        <v>0.99999999999997868</v>
      </c>
    </row>
    <row r="1260" spans="1:18">
      <c r="A1260" s="9">
        <v>38551</v>
      </c>
      <c r="B1260">
        <v>4.09</v>
      </c>
      <c r="C1260">
        <v>4.24</v>
      </c>
      <c r="D1260">
        <v>4.3099999999999996</v>
      </c>
      <c r="E1260">
        <v>4.37</v>
      </c>
      <c r="F1260">
        <v>4.42</v>
      </c>
      <c r="G1260">
        <v>4.5</v>
      </c>
      <c r="H1260">
        <v>4.62</v>
      </c>
      <c r="I1260">
        <v>4.88</v>
      </c>
      <c r="K1260">
        <f t="shared" si="155"/>
        <v>1.9999999999999574</v>
      </c>
      <c r="L1260">
        <f t="shared" si="156"/>
        <v>3.0000000000000249</v>
      </c>
      <c r="M1260">
        <f t="shared" si="157"/>
        <v>1.9999999999999574</v>
      </c>
      <c r="N1260">
        <f t="shared" si="158"/>
        <v>2.0000000000000462</v>
      </c>
      <c r="O1260">
        <f t="shared" si="159"/>
        <v>0.99999999999997868</v>
      </c>
      <c r="P1260">
        <f t="shared" si="160"/>
        <v>0.99999999999997868</v>
      </c>
      <c r="Q1260">
        <f t="shared" si="161"/>
        <v>0.99999999999997868</v>
      </c>
      <c r="R1260">
        <f t="shared" si="162"/>
        <v>0</v>
      </c>
    </row>
    <row r="1261" spans="1:18">
      <c r="A1261" s="9">
        <v>38552</v>
      </c>
      <c r="B1261">
        <v>4.0999999999999996</v>
      </c>
      <c r="C1261">
        <v>4.24</v>
      </c>
      <c r="D1261">
        <v>4.32</v>
      </c>
      <c r="E1261">
        <v>4.3899999999999997</v>
      </c>
      <c r="F1261">
        <v>4.4400000000000004</v>
      </c>
      <c r="G1261">
        <v>4.53</v>
      </c>
      <c r="H1261">
        <v>4.6399999999999997</v>
      </c>
      <c r="I1261">
        <v>4.93</v>
      </c>
      <c r="K1261">
        <f t="shared" si="155"/>
        <v>0.99999999999997868</v>
      </c>
      <c r="L1261">
        <f t="shared" si="156"/>
        <v>0</v>
      </c>
      <c r="M1261">
        <f t="shared" si="157"/>
        <v>1.0000000000000675</v>
      </c>
      <c r="N1261">
        <f t="shared" si="158"/>
        <v>1.9999999999999574</v>
      </c>
      <c r="O1261">
        <f t="shared" si="159"/>
        <v>2.0000000000000462</v>
      </c>
      <c r="P1261">
        <f t="shared" si="160"/>
        <v>3.0000000000000249</v>
      </c>
      <c r="Q1261">
        <f t="shared" si="161"/>
        <v>1.9999999999999574</v>
      </c>
      <c r="R1261">
        <f t="shared" si="162"/>
        <v>4.9999999999999822</v>
      </c>
    </row>
    <row r="1262" spans="1:18">
      <c r="A1262" s="9">
        <v>38553</v>
      </c>
      <c r="B1262">
        <v>4.12</v>
      </c>
      <c r="C1262">
        <v>4.28</v>
      </c>
      <c r="D1262">
        <v>4.3600000000000003</v>
      </c>
      <c r="E1262">
        <v>4.42</v>
      </c>
      <c r="F1262">
        <v>4.4800000000000004</v>
      </c>
      <c r="G1262">
        <v>4.5599999999999996</v>
      </c>
      <c r="H1262">
        <v>4.67</v>
      </c>
      <c r="I1262">
        <v>4.9400000000000004</v>
      </c>
      <c r="K1262">
        <f t="shared" si="155"/>
        <v>2.0000000000000462</v>
      </c>
      <c r="L1262">
        <f t="shared" si="156"/>
        <v>4.0000000000000036</v>
      </c>
      <c r="M1262">
        <f t="shared" si="157"/>
        <v>4.0000000000000036</v>
      </c>
      <c r="N1262">
        <f t="shared" si="158"/>
        <v>3.0000000000000249</v>
      </c>
      <c r="O1262">
        <f t="shared" si="159"/>
        <v>4.0000000000000036</v>
      </c>
      <c r="P1262">
        <f t="shared" si="160"/>
        <v>2.9999999999999361</v>
      </c>
      <c r="Q1262">
        <f t="shared" si="161"/>
        <v>3.0000000000000249</v>
      </c>
      <c r="R1262">
        <f t="shared" si="162"/>
        <v>1.0000000000000675</v>
      </c>
    </row>
    <row r="1263" spans="1:18">
      <c r="A1263" s="9">
        <v>38554</v>
      </c>
      <c r="B1263">
        <v>4.13</v>
      </c>
      <c r="C1263">
        <v>4.3</v>
      </c>
      <c r="D1263">
        <v>4.3899999999999997</v>
      </c>
      <c r="E1263">
        <v>4.45</v>
      </c>
      <c r="F1263">
        <v>4.5</v>
      </c>
      <c r="G1263">
        <v>4.59</v>
      </c>
      <c r="H1263">
        <v>4.7</v>
      </c>
      <c r="I1263">
        <v>4.97</v>
      </c>
      <c r="K1263">
        <f t="shared" si="155"/>
        <v>0.99999999999997868</v>
      </c>
      <c r="L1263">
        <f t="shared" si="156"/>
        <v>1.9999999999999574</v>
      </c>
      <c r="M1263">
        <f t="shared" si="157"/>
        <v>2.9999999999999361</v>
      </c>
      <c r="N1263">
        <f t="shared" si="158"/>
        <v>3.0000000000000249</v>
      </c>
      <c r="O1263">
        <f t="shared" si="159"/>
        <v>1.9999999999999574</v>
      </c>
      <c r="P1263">
        <f t="shared" si="160"/>
        <v>3.0000000000000249</v>
      </c>
      <c r="Q1263">
        <f t="shared" si="161"/>
        <v>3.0000000000000249</v>
      </c>
      <c r="R1263">
        <f t="shared" si="162"/>
        <v>2.9999999999999361</v>
      </c>
    </row>
    <row r="1264" spans="1:18">
      <c r="A1264" s="9">
        <v>38555</v>
      </c>
      <c r="B1264">
        <v>4.1100000000000003</v>
      </c>
      <c r="C1264">
        <v>4.28</v>
      </c>
      <c r="D1264">
        <v>4.3600000000000003</v>
      </c>
      <c r="E1264">
        <v>4.41</v>
      </c>
      <c r="F1264">
        <v>4.47</v>
      </c>
      <c r="G1264">
        <v>4.55</v>
      </c>
      <c r="H1264">
        <v>4.66</v>
      </c>
      <c r="I1264">
        <v>4.93</v>
      </c>
      <c r="K1264">
        <f t="shared" si="155"/>
        <v>-1.9999999999999574</v>
      </c>
      <c r="L1264">
        <f t="shared" si="156"/>
        <v>-1.9999999999999574</v>
      </c>
      <c r="M1264">
        <f t="shared" si="157"/>
        <v>-2.9999999999999361</v>
      </c>
      <c r="N1264">
        <f t="shared" si="158"/>
        <v>-4.0000000000000036</v>
      </c>
      <c r="O1264">
        <f t="shared" si="159"/>
        <v>-3.0000000000000249</v>
      </c>
      <c r="P1264">
        <f t="shared" si="160"/>
        <v>-4.0000000000000036</v>
      </c>
      <c r="Q1264">
        <f t="shared" si="161"/>
        <v>-4.0000000000000036</v>
      </c>
      <c r="R1264">
        <f t="shared" si="162"/>
        <v>-4.0000000000000036</v>
      </c>
    </row>
    <row r="1265" spans="1:18">
      <c r="A1265" s="9">
        <v>38558</v>
      </c>
      <c r="B1265">
        <v>4.13</v>
      </c>
      <c r="C1265">
        <v>4.3</v>
      </c>
      <c r="D1265">
        <v>4.38</v>
      </c>
      <c r="E1265">
        <v>4.43</v>
      </c>
      <c r="F1265">
        <v>4.4800000000000004</v>
      </c>
      <c r="G1265">
        <v>4.5599999999999996</v>
      </c>
      <c r="H1265">
        <v>4.67</v>
      </c>
      <c r="I1265">
        <v>4.92</v>
      </c>
      <c r="K1265">
        <f t="shared" si="155"/>
        <v>1.9999999999999574</v>
      </c>
      <c r="L1265">
        <f t="shared" si="156"/>
        <v>1.9999999999999574</v>
      </c>
      <c r="M1265">
        <f t="shared" si="157"/>
        <v>1.9999999999999574</v>
      </c>
      <c r="N1265">
        <f t="shared" si="158"/>
        <v>1.9999999999999574</v>
      </c>
      <c r="O1265">
        <f t="shared" si="159"/>
        <v>1.0000000000000675</v>
      </c>
      <c r="P1265">
        <f t="shared" si="160"/>
        <v>0.99999999999997868</v>
      </c>
      <c r="Q1265">
        <f t="shared" si="161"/>
        <v>0.99999999999997868</v>
      </c>
      <c r="R1265">
        <f t="shared" si="162"/>
        <v>-0.99999999999997868</v>
      </c>
    </row>
    <row r="1266" spans="1:18">
      <c r="A1266" s="9">
        <v>38559</v>
      </c>
      <c r="B1266">
        <v>4.1399999999999997</v>
      </c>
      <c r="C1266">
        <v>4.32</v>
      </c>
      <c r="D1266">
        <v>4.4000000000000004</v>
      </c>
      <c r="E1266">
        <v>4.46</v>
      </c>
      <c r="F1266">
        <v>4.5</v>
      </c>
      <c r="G1266">
        <v>4.58</v>
      </c>
      <c r="H1266">
        <v>4.6900000000000004</v>
      </c>
      <c r="I1266">
        <v>4.9400000000000004</v>
      </c>
      <c r="K1266">
        <f t="shared" si="155"/>
        <v>0.99999999999997868</v>
      </c>
      <c r="L1266">
        <f t="shared" si="156"/>
        <v>2.0000000000000462</v>
      </c>
      <c r="M1266">
        <f t="shared" si="157"/>
        <v>2.0000000000000462</v>
      </c>
      <c r="N1266">
        <f t="shared" si="158"/>
        <v>3.0000000000000249</v>
      </c>
      <c r="O1266">
        <f t="shared" si="159"/>
        <v>1.9999999999999574</v>
      </c>
      <c r="P1266">
        <f t="shared" si="160"/>
        <v>2.0000000000000462</v>
      </c>
      <c r="Q1266">
        <f t="shared" si="161"/>
        <v>2.0000000000000462</v>
      </c>
      <c r="R1266">
        <f t="shared" si="162"/>
        <v>2.0000000000000462</v>
      </c>
    </row>
    <row r="1267" spans="1:18">
      <c r="A1267" s="9">
        <v>38560</v>
      </c>
      <c r="B1267">
        <v>4.18</v>
      </c>
      <c r="C1267">
        <v>4.34</v>
      </c>
      <c r="D1267">
        <v>4.42</v>
      </c>
      <c r="E1267">
        <v>4.47</v>
      </c>
      <c r="F1267">
        <v>4.51</v>
      </c>
      <c r="G1267">
        <v>4.59</v>
      </c>
      <c r="H1267">
        <v>4.6900000000000004</v>
      </c>
      <c r="I1267">
        <v>4.95</v>
      </c>
      <c r="K1267">
        <f t="shared" si="155"/>
        <v>4.0000000000000036</v>
      </c>
      <c r="L1267">
        <f t="shared" si="156"/>
        <v>1.9999999999999574</v>
      </c>
      <c r="M1267">
        <f t="shared" si="157"/>
        <v>1.9999999999999574</v>
      </c>
      <c r="N1267">
        <f t="shared" si="158"/>
        <v>0.99999999999997868</v>
      </c>
      <c r="O1267">
        <f t="shared" si="159"/>
        <v>0.99999999999997868</v>
      </c>
      <c r="P1267">
        <f t="shared" si="160"/>
        <v>0.99999999999997868</v>
      </c>
      <c r="Q1267">
        <f t="shared" si="161"/>
        <v>0</v>
      </c>
      <c r="R1267">
        <f t="shared" si="162"/>
        <v>0.99999999999997868</v>
      </c>
    </row>
    <row r="1268" spans="1:18">
      <c r="A1268" s="9">
        <v>38561</v>
      </c>
      <c r="B1268">
        <v>4.18</v>
      </c>
      <c r="C1268">
        <v>4.3499999999999996</v>
      </c>
      <c r="D1268">
        <v>4.42</v>
      </c>
      <c r="E1268">
        <v>4.47</v>
      </c>
      <c r="F1268">
        <v>4.51</v>
      </c>
      <c r="G1268">
        <v>4.58</v>
      </c>
      <c r="H1268">
        <v>4.67</v>
      </c>
      <c r="I1268">
        <v>4.91</v>
      </c>
      <c r="K1268">
        <f t="shared" si="155"/>
        <v>0</v>
      </c>
      <c r="L1268">
        <f t="shared" si="156"/>
        <v>0.99999999999997868</v>
      </c>
      <c r="M1268">
        <f t="shared" si="157"/>
        <v>0</v>
      </c>
      <c r="N1268">
        <f t="shared" si="158"/>
        <v>0</v>
      </c>
      <c r="O1268">
        <f t="shared" si="159"/>
        <v>0</v>
      </c>
      <c r="P1268">
        <f t="shared" si="160"/>
        <v>-0.99999999999997868</v>
      </c>
      <c r="Q1268">
        <f t="shared" si="161"/>
        <v>-2.0000000000000462</v>
      </c>
      <c r="R1268">
        <f t="shared" si="162"/>
        <v>-4.0000000000000036</v>
      </c>
    </row>
    <row r="1269" spans="1:18">
      <c r="A1269" s="9">
        <v>38562</v>
      </c>
      <c r="B1269">
        <v>4.2</v>
      </c>
      <c r="C1269">
        <v>4.38</v>
      </c>
      <c r="D1269">
        <v>4.46</v>
      </c>
      <c r="E1269">
        <v>4.51</v>
      </c>
      <c r="F1269">
        <v>4.55</v>
      </c>
      <c r="G1269">
        <v>4.62</v>
      </c>
      <c r="H1269">
        <v>4.72</v>
      </c>
      <c r="I1269">
        <v>4.96</v>
      </c>
      <c r="K1269">
        <f t="shared" si="155"/>
        <v>2.0000000000000462</v>
      </c>
      <c r="L1269">
        <f t="shared" si="156"/>
        <v>3.0000000000000249</v>
      </c>
      <c r="M1269">
        <f t="shared" si="157"/>
        <v>4.0000000000000036</v>
      </c>
      <c r="N1269">
        <f t="shared" si="158"/>
        <v>4.0000000000000036</v>
      </c>
      <c r="O1269">
        <f t="shared" si="159"/>
        <v>4.0000000000000036</v>
      </c>
      <c r="P1269">
        <f t="shared" si="160"/>
        <v>4.0000000000000036</v>
      </c>
      <c r="Q1269">
        <f t="shared" si="161"/>
        <v>4.9999999999999822</v>
      </c>
      <c r="R1269">
        <f t="shared" si="162"/>
        <v>4.9999999999999822</v>
      </c>
    </row>
    <row r="1270" spans="1:18">
      <c r="A1270" s="9">
        <v>38565</v>
      </c>
      <c r="B1270">
        <v>4.2300000000000004</v>
      </c>
      <c r="C1270">
        <v>4.41</v>
      </c>
      <c r="D1270">
        <v>4.49</v>
      </c>
      <c r="E1270">
        <v>4.5599999999999996</v>
      </c>
      <c r="F1270">
        <v>4.6100000000000003</v>
      </c>
      <c r="G1270">
        <v>4.68</v>
      </c>
      <c r="H1270">
        <v>4.78</v>
      </c>
      <c r="I1270">
        <v>5.01</v>
      </c>
      <c r="K1270">
        <f t="shared" si="155"/>
        <v>3.0000000000000249</v>
      </c>
      <c r="L1270">
        <f t="shared" si="156"/>
        <v>3.0000000000000249</v>
      </c>
      <c r="M1270">
        <f t="shared" si="157"/>
        <v>3.0000000000000249</v>
      </c>
      <c r="N1270">
        <f t="shared" si="158"/>
        <v>4.9999999999999822</v>
      </c>
      <c r="O1270">
        <f t="shared" si="159"/>
        <v>6.0000000000000497</v>
      </c>
      <c r="P1270">
        <f t="shared" si="160"/>
        <v>5.9999999999999609</v>
      </c>
      <c r="Q1270">
        <f t="shared" si="161"/>
        <v>6.0000000000000497</v>
      </c>
      <c r="R1270">
        <f t="shared" si="162"/>
        <v>4.9999999999999822</v>
      </c>
    </row>
    <row r="1271" spans="1:18">
      <c r="A1271" s="9">
        <v>38566</v>
      </c>
      <c r="B1271">
        <v>4.22</v>
      </c>
      <c r="C1271">
        <v>4.41</v>
      </c>
      <c r="D1271">
        <v>4.49</v>
      </c>
      <c r="E1271">
        <v>4.54</v>
      </c>
      <c r="F1271">
        <v>4.59</v>
      </c>
      <c r="G1271">
        <v>4.66</v>
      </c>
      <c r="H1271">
        <v>4.7699999999999996</v>
      </c>
      <c r="I1271">
        <v>5.01</v>
      </c>
      <c r="K1271">
        <f t="shared" si="155"/>
        <v>-1.0000000000000675</v>
      </c>
      <c r="L1271">
        <f t="shared" si="156"/>
        <v>0</v>
      </c>
      <c r="M1271">
        <f t="shared" si="157"/>
        <v>0</v>
      </c>
      <c r="N1271">
        <f t="shared" si="158"/>
        <v>-1.9999999999999574</v>
      </c>
      <c r="O1271">
        <f t="shared" si="159"/>
        <v>-2.0000000000000462</v>
      </c>
      <c r="P1271">
        <f t="shared" si="160"/>
        <v>-1.9999999999999574</v>
      </c>
      <c r="Q1271">
        <f t="shared" si="161"/>
        <v>-1.0000000000000675</v>
      </c>
      <c r="R1271">
        <f t="shared" si="162"/>
        <v>0</v>
      </c>
    </row>
    <row r="1272" spans="1:18">
      <c r="A1272" s="9">
        <v>38567</v>
      </c>
      <c r="B1272">
        <v>4.2300000000000004</v>
      </c>
      <c r="C1272">
        <v>4.4000000000000004</v>
      </c>
      <c r="D1272">
        <v>4.4800000000000004</v>
      </c>
      <c r="E1272">
        <v>4.53</v>
      </c>
      <c r="F1272">
        <v>4.57</v>
      </c>
      <c r="G1272">
        <v>4.6500000000000004</v>
      </c>
      <c r="H1272">
        <v>4.75</v>
      </c>
      <c r="I1272">
        <v>4.99</v>
      </c>
      <c r="K1272">
        <f t="shared" si="155"/>
        <v>1.0000000000000675</v>
      </c>
      <c r="L1272">
        <f t="shared" si="156"/>
        <v>-0.99999999999997868</v>
      </c>
      <c r="M1272">
        <f t="shared" si="157"/>
        <v>-0.99999999999997868</v>
      </c>
      <c r="N1272">
        <f t="shared" si="158"/>
        <v>-0.99999999999997868</v>
      </c>
      <c r="O1272">
        <f t="shared" si="159"/>
        <v>-1.9999999999999574</v>
      </c>
      <c r="P1272">
        <f t="shared" si="160"/>
        <v>-0.99999999999997868</v>
      </c>
      <c r="Q1272">
        <f t="shared" si="161"/>
        <v>-1.9999999999999574</v>
      </c>
      <c r="R1272">
        <f t="shared" si="162"/>
        <v>-1.9999999999999574</v>
      </c>
    </row>
    <row r="1273" spans="1:18">
      <c r="A1273" s="9">
        <v>38568</v>
      </c>
      <c r="B1273">
        <v>4.22</v>
      </c>
      <c r="C1273">
        <v>4.3899999999999997</v>
      </c>
      <c r="D1273">
        <v>4.47</v>
      </c>
      <c r="E1273">
        <v>4.5199999999999996</v>
      </c>
      <c r="F1273">
        <v>4.57</v>
      </c>
      <c r="G1273">
        <v>4.6399999999999997</v>
      </c>
      <c r="H1273">
        <v>4.74</v>
      </c>
      <c r="I1273">
        <v>4.9800000000000004</v>
      </c>
      <c r="K1273">
        <f t="shared" si="155"/>
        <v>-1.0000000000000675</v>
      </c>
      <c r="L1273">
        <f t="shared" si="156"/>
        <v>-1.0000000000000675</v>
      </c>
      <c r="M1273">
        <f t="shared" si="157"/>
        <v>-1.0000000000000675</v>
      </c>
      <c r="N1273">
        <f t="shared" si="158"/>
        <v>-1.0000000000000675</v>
      </c>
      <c r="O1273">
        <f t="shared" si="159"/>
        <v>0</v>
      </c>
      <c r="P1273">
        <f t="shared" si="160"/>
        <v>-1.0000000000000675</v>
      </c>
      <c r="Q1273">
        <f t="shared" si="161"/>
        <v>-0.99999999999997868</v>
      </c>
      <c r="R1273">
        <f t="shared" si="162"/>
        <v>-0.99999999999997868</v>
      </c>
    </row>
    <row r="1274" spans="1:18">
      <c r="A1274" s="9">
        <v>38569</v>
      </c>
      <c r="B1274">
        <v>4.2699999999999996</v>
      </c>
      <c r="C1274">
        <v>4.4800000000000004</v>
      </c>
      <c r="D1274">
        <v>4.57</v>
      </c>
      <c r="E1274">
        <v>4.62</v>
      </c>
      <c r="F1274">
        <v>4.67</v>
      </c>
      <c r="G1274">
        <v>4.74</v>
      </c>
      <c r="H1274">
        <v>4.83</v>
      </c>
      <c r="I1274">
        <v>5.05</v>
      </c>
      <c r="K1274">
        <f t="shared" si="155"/>
        <v>4.9999999999999822</v>
      </c>
      <c r="L1274">
        <f t="shared" si="156"/>
        <v>9.0000000000000746</v>
      </c>
      <c r="M1274">
        <f t="shared" si="157"/>
        <v>10.000000000000053</v>
      </c>
      <c r="N1274">
        <f t="shared" si="158"/>
        <v>10.000000000000053</v>
      </c>
      <c r="O1274">
        <f t="shared" si="159"/>
        <v>9.9999999999999645</v>
      </c>
      <c r="P1274">
        <f t="shared" si="160"/>
        <v>10.000000000000053</v>
      </c>
      <c r="Q1274">
        <f t="shared" si="161"/>
        <v>8.9999999999999858</v>
      </c>
      <c r="R1274">
        <f t="shared" si="162"/>
        <v>6.9999999999999396</v>
      </c>
    </row>
    <row r="1275" spans="1:18">
      <c r="A1275" s="9">
        <v>38572</v>
      </c>
      <c r="B1275">
        <v>4.3</v>
      </c>
      <c r="C1275">
        <v>4.51</v>
      </c>
      <c r="D1275">
        <v>4.6100000000000003</v>
      </c>
      <c r="E1275">
        <v>4.66</v>
      </c>
      <c r="F1275">
        <v>4.7</v>
      </c>
      <c r="G1275">
        <v>4.76</v>
      </c>
      <c r="H1275">
        <v>4.8499999999999996</v>
      </c>
      <c r="I1275">
        <v>5.0599999999999996</v>
      </c>
      <c r="K1275">
        <f t="shared" si="155"/>
        <v>3.0000000000000249</v>
      </c>
      <c r="L1275">
        <f t="shared" si="156"/>
        <v>2.9999999999999361</v>
      </c>
      <c r="M1275">
        <f t="shared" si="157"/>
        <v>4.0000000000000036</v>
      </c>
      <c r="N1275">
        <f t="shared" si="158"/>
        <v>4.0000000000000036</v>
      </c>
      <c r="O1275">
        <f t="shared" si="159"/>
        <v>3.0000000000000249</v>
      </c>
      <c r="P1275">
        <f t="shared" si="160"/>
        <v>1.9999999999999574</v>
      </c>
      <c r="Q1275">
        <f t="shared" si="161"/>
        <v>1.9999999999999574</v>
      </c>
      <c r="R1275">
        <f t="shared" si="162"/>
        <v>0.99999999999997868</v>
      </c>
    </row>
    <row r="1276" spans="1:18">
      <c r="A1276" s="9">
        <v>38573</v>
      </c>
      <c r="B1276">
        <v>4.3099999999999996</v>
      </c>
      <c r="C1276">
        <v>4.53</v>
      </c>
      <c r="D1276">
        <v>4.62</v>
      </c>
      <c r="E1276">
        <v>4.68</v>
      </c>
      <c r="F1276">
        <v>4.7300000000000004</v>
      </c>
      <c r="G1276">
        <v>4.79</v>
      </c>
      <c r="H1276">
        <v>4.88</v>
      </c>
      <c r="I1276">
        <v>5.09</v>
      </c>
      <c r="K1276">
        <f t="shared" si="155"/>
        <v>0.99999999999997868</v>
      </c>
      <c r="L1276">
        <f t="shared" si="156"/>
        <v>2.0000000000000462</v>
      </c>
      <c r="M1276">
        <f t="shared" si="157"/>
        <v>0.99999999999997868</v>
      </c>
      <c r="N1276">
        <f t="shared" si="158"/>
        <v>1.9999999999999574</v>
      </c>
      <c r="O1276">
        <f t="shared" si="159"/>
        <v>3.0000000000000249</v>
      </c>
      <c r="P1276">
        <f t="shared" si="160"/>
        <v>3.0000000000000249</v>
      </c>
      <c r="Q1276">
        <f t="shared" si="161"/>
        <v>3.0000000000000249</v>
      </c>
      <c r="R1276">
        <f t="shared" si="162"/>
        <v>3.0000000000000249</v>
      </c>
    </row>
    <row r="1277" spans="1:18">
      <c r="A1277" s="9">
        <v>38574</v>
      </c>
      <c r="B1277">
        <v>4.29</v>
      </c>
      <c r="C1277">
        <v>4.4800000000000004</v>
      </c>
      <c r="D1277">
        <v>4.57</v>
      </c>
      <c r="E1277">
        <v>4.62</v>
      </c>
      <c r="F1277">
        <v>4.66</v>
      </c>
      <c r="G1277">
        <v>4.7300000000000004</v>
      </c>
      <c r="H1277">
        <v>4.82</v>
      </c>
      <c r="I1277">
        <v>5.04</v>
      </c>
      <c r="K1277">
        <f t="shared" si="155"/>
        <v>-1.9999999999999574</v>
      </c>
      <c r="L1277">
        <f t="shared" si="156"/>
        <v>-4.9999999999999822</v>
      </c>
      <c r="M1277">
        <f t="shared" si="157"/>
        <v>-4.9999999999999822</v>
      </c>
      <c r="N1277">
        <f t="shared" si="158"/>
        <v>-5.9999999999999609</v>
      </c>
      <c r="O1277">
        <f t="shared" si="159"/>
        <v>-7.0000000000000284</v>
      </c>
      <c r="P1277">
        <f t="shared" si="160"/>
        <v>-5.9999999999999609</v>
      </c>
      <c r="Q1277">
        <f t="shared" si="161"/>
        <v>-5.9999999999999609</v>
      </c>
      <c r="R1277">
        <f t="shared" si="162"/>
        <v>-4.9999999999999822</v>
      </c>
    </row>
    <row r="1278" spans="1:18">
      <c r="A1278" s="9">
        <v>38575</v>
      </c>
      <c r="B1278">
        <v>4.3099999999999996</v>
      </c>
      <c r="C1278">
        <v>4.49</v>
      </c>
      <c r="D1278">
        <v>4.57</v>
      </c>
      <c r="E1278">
        <v>4.63</v>
      </c>
      <c r="F1278">
        <v>4.67</v>
      </c>
      <c r="G1278">
        <v>4.74</v>
      </c>
      <c r="H1278">
        <v>4.82</v>
      </c>
      <c r="I1278">
        <v>5.04</v>
      </c>
      <c r="K1278">
        <f t="shared" si="155"/>
        <v>1.9999999999999574</v>
      </c>
      <c r="L1278">
        <f t="shared" si="156"/>
        <v>0.99999999999997868</v>
      </c>
      <c r="M1278">
        <f t="shared" si="157"/>
        <v>0</v>
      </c>
      <c r="N1278">
        <f t="shared" si="158"/>
        <v>0.99999999999997868</v>
      </c>
      <c r="O1278">
        <f t="shared" si="159"/>
        <v>0.99999999999997868</v>
      </c>
      <c r="P1278">
        <f t="shared" si="160"/>
        <v>0.99999999999997868</v>
      </c>
      <c r="Q1278">
        <f t="shared" si="161"/>
        <v>0</v>
      </c>
      <c r="R1278">
        <f t="shared" si="162"/>
        <v>0</v>
      </c>
    </row>
    <row r="1279" spans="1:18">
      <c r="A1279" s="9">
        <v>38576</v>
      </c>
      <c r="B1279">
        <v>4.28</v>
      </c>
      <c r="C1279">
        <v>4.4400000000000004</v>
      </c>
      <c r="D1279">
        <v>4.5</v>
      </c>
      <c r="E1279">
        <v>4.54</v>
      </c>
      <c r="F1279">
        <v>4.58</v>
      </c>
      <c r="G1279">
        <v>4.6399999999999997</v>
      </c>
      <c r="H1279">
        <v>4.7300000000000004</v>
      </c>
      <c r="I1279">
        <v>4.9400000000000004</v>
      </c>
      <c r="K1279">
        <f t="shared" si="155"/>
        <v>-2.9999999999999361</v>
      </c>
      <c r="L1279">
        <f t="shared" si="156"/>
        <v>-4.9999999999999822</v>
      </c>
      <c r="M1279">
        <f t="shared" si="157"/>
        <v>-7.0000000000000284</v>
      </c>
      <c r="N1279">
        <f t="shared" si="158"/>
        <v>-8.9999999999999858</v>
      </c>
      <c r="O1279">
        <f t="shared" si="159"/>
        <v>-8.9999999999999858</v>
      </c>
      <c r="P1279">
        <f t="shared" si="160"/>
        <v>-10.000000000000053</v>
      </c>
      <c r="Q1279">
        <f t="shared" si="161"/>
        <v>-8.9999999999999858</v>
      </c>
      <c r="R1279">
        <f t="shared" si="162"/>
        <v>-9.9999999999999645</v>
      </c>
    </row>
    <row r="1280" spans="1:18">
      <c r="A1280" s="9">
        <v>38579</v>
      </c>
      <c r="B1280">
        <v>4.29</v>
      </c>
      <c r="C1280">
        <v>4.45</v>
      </c>
      <c r="D1280">
        <v>4.51</v>
      </c>
      <c r="E1280">
        <v>4.55</v>
      </c>
      <c r="F1280">
        <v>4.58</v>
      </c>
      <c r="G1280">
        <v>4.6399999999999997</v>
      </c>
      <c r="H1280">
        <v>4.72</v>
      </c>
      <c r="I1280">
        <v>4.93</v>
      </c>
      <c r="K1280">
        <f t="shared" si="155"/>
        <v>0.99999999999997868</v>
      </c>
      <c r="L1280">
        <f t="shared" si="156"/>
        <v>0.99999999999997868</v>
      </c>
      <c r="M1280">
        <f t="shared" si="157"/>
        <v>0.99999999999997868</v>
      </c>
      <c r="N1280">
        <f t="shared" si="158"/>
        <v>0.99999999999997868</v>
      </c>
      <c r="O1280">
        <f t="shared" si="159"/>
        <v>0</v>
      </c>
      <c r="P1280">
        <f t="shared" si="160"/>
        <v>0</v>
      </c>
      <c r="Q1280">
        <f t="shared" si="161"/>
        <v>-1.0000000000000675</v>
      </c>
      <c r="R1280">
        <f t="shared" si="162"/>
        <v>-1.0000000000000675</v>
      </c>
    </row>
    <row r="1281" spans="1:18">
      <c r="A1281" s="9">
        <v>38580</v>
      </c>
      <c r="B1281">
        <v>4.26</v>
      </c>
      <c r="C1281">
        <v>4.4000000000000004</v>
      </c>
      <c r="D1281">
        <v>4.46</v>
      </c>
      <c r="E1281">
        <v>4.49</v>
      </c>
      <c r="F1281">
        <v>4.5199999999999996</v>
      </c>
      <c r="G1281">
        <v>4.58</v>
      </c>
      <c r="H1281">
        <v>4.66</v>
      </c>
      <c r="I1281">
        <v>4.8600000000000003</v>
      </c>
      <c r="K1281">
        <f t="shared" si="155"/>
        <v>-3.0000000000000249</v>
      </c>
      <c r="L1281">
        <f t="shared" si="156"/>
        <v>-4.9999999999999822</v>
      </c>
      <c r="M1281">
        <f t="shared" si="157"/>
        <v>-4.9999999999999822</v>
      </c>
      <c r="N1281">
        <f t="shared" si="158"/>
        <v>-5.9999999999999609</v>
      </c>
      <c r="O1281">
        <f t="shared" si="159"/>
        <v>-6.0000000000000497</v>
      </c>
      <c r="P1281">
        <f t="shared" si="160"/>
        <v>-5.9999999999999609</v>
      </c>
      <c r="Q1281">
        <f t="shared" si="161"/>
        <v>-5.9999999999999609</v>
      </c>
      <c r="R1281">
        <f t="shared" si="162"/>
        <v>-6.9999999999999396</v>
      </c>
    </row>
    <row r="1282" spans="1:18">
      <c r="A1282" s="9">
        <v>38581</v>
      </c>
      <c r="B1282">
        <v>4.2699999999999996</v>
      </c>
      <c r="C1282">
        <v>4.42</v>
      </c>
      <c r="D1282">
        <v>4.47</v>
      </c>
      <c r="E1282">
        <v>4.5</v>
      </c>
      <c r="F1282">
        <v>4.54</v>
      </c>
      <c r="G1282">
        <v>4.5999999999999996</v>
      </c>
      <c r="H1282">
        <v>4.68</v>
      </c>
      <c r="I1282">
        <v>4.8899999999999997</v>
      </c>
      <c r="K1282">
        <f t="shared" si="155"/>
        <v>0.99999999999997868</v>
      </c>
      <c r="L1282">
        <f t="shared" si="156"/>
        <v>1.9999999999999574</v>
      </c>
      <c r="M1282">
        <f t="shared" si="157"/>
        <v>0.99999999999997868</v>
      </c>
      <c r="N1282">
        <f t="shared" si="158"/>
        <v>0.99999999999997868</v>
      </c>
      <c r="O1282">
        <f t="shared" si="159"/>
        <v>2.0000000000000462</v>
      </c>
      <c r="P1282">
        <f t="shared" si="160"/>
        <v>1.9999999999999574</v>
      </c>
      <c r="Q1282">
        <f t="shared" si="161"/>
        <v>1.9999999999999574</v>
      </c>
      <c r="R1282">
        <f t="shared" si="162"/>
        <v>2.9999999999999361</v>
      </c>
    </row>
    <row r="1283" spans="1:18">
      <c r="A1283" s="9">
        <v>38582</v>
      </c>
      <c r="B1283">
        <v>4.2699999999999996</v>
      </c>
      <c r="C1283">
        <v>4.41</v>
      </c>
      <c r="D1283">
        <v>4.47</v>
      </c>
      <c r="E1283">
        <v>4.51</v>
      </c>
      <c r="F1283">
        <v>4.54</v>
      </c>
      <c r="G1283">
        <v>4.5999999999999996</v>
      </c>
      <c r="H1283">
        <v>4.6900000000000004</v>
      </c>
      <c r="I1283">
        <v>4.9000000000000004</v>
      </c>
      <c r="K1283">
        <f t="shared" si="155"/>
        <v>0</v>
      </c>
      <c r="L1283">
        <f t="shared" si="156"/>
        <v>-0.99999999999997868</v>
      </c>
      <c r="M1283">
        <f t="shared" si="157"/>
        <v>0</v>
      </c>
      <c r="N1283">
        <f t="shared" si="158"/>
        <v>0.99999999999997868</v>
      </c>
      <c r="O1283">
        <f t="shared" si="159"/>
        <v>0</v>
      </c>
      <c r="P1283">
        <f t="shared" si="160"/>
        <v>0</v>
      </c>
      <c r="Q1283">
        <f t="shared" si="161"/>
        <v>1.0000000000000675</v>
      </c>
      <c r="R1283">
        <f t="shared" si="162"/>
        <v>1.0000000000000675</v>
      </c>
    </row>
    <row r="1284" spans="1:18">
      <c r="A1284" s="9">
        <v>38583</v>
      </c>
      <c r="B1284">
        <v>4.29</v>
      </c>
      <c r="C1284">
        <v>4.43</v>
      </c>
      <c r="D1284">
        <v>4.4800000000000004</v>
      </c>
      <c r="E1284">
        <v>4.51</v>
      </c>
      <c r="F1284">
        <v>4.55</v>
      </c>
      <c r="G1284">
        <v>4.6100000000000003</v>
      </c>
      <c r="H1284">
        <v>4.6900000000000004</v>
      </c>
      <c r="I1284">
        <v>4.9000000000000004</v>
      </c>
      <c r="K1284">
        <f t="shared" si="155"/>
        <v>2.0000000000000462</v>
      </c>
      <c r="L1284">
        <f t="shared" si="156"/>
        <v>1.9999999999999574</v>
      </c>
      <c r="M1284">
        <f t="shared" si="157"/>
        <v>1.0000000000000675</v>
      </c>
      <c r="N1284">
        <f t="shared" si="158"/>
        <v>0</v>
      </c>
      <c r="O1284">
        <f t="shared" si="159"/>
        <v>0.99999999999997868</v>
      </c>
      <c r="P1284">
        <f t="shared" si="160"/>
        <v>1.0000000000000675</v>
      </c>
      <c r="Q1284">
        <f t="shared" si="161"/>
        <v>0</v>
      </c>
      <c r="R1284">
        <f t="shared" si="162"/>
        <v>0</v>
      </c>
    </row>
    <row r="1285" spans="1:18">
      <c r="A1285" s="9">
        <v>38586</v>
      </c>
      <c r="B1285">
        <v>4.29</v>
      </c>
      <c r="C1285">
        <v>4.42</v>
      </c>
      <c r="D1285">
        <v>4.4800000000000004</v>
      </c>
      <c r="E1285">
        <v>4.51</v>
      </c>
      <c r="F1285">
        <v>4.55</v>
      </c>
      <c r="G1285">
        <v>4.6100000000000003</v>
      </c>
      <c r="H1285">
        <v>4.6900000000000004</v>
      </c>
      <c r="I1285">
        <v>4.92</v>
      </c>
      <c r="K1285">
        <f t="shared" ref="K1285:K1348" si="163">(B1285-B1284)*100</f>
        <v>0</v>
      </c>
      <c r="L1285">
        <f t="shared" ref="L1285:L1348" si="164">(C1285-C1284)*100</f>
        <v>-0.99999999999997868</v>
      </c>
      <c r="M1285">
        <f t="shared" ref="M1285:M1348" si="165">(D1285-D1284)*100</f>
        <v>0</v>
      </c>
      <c r="N1285">
        <f t="shared" ref="N1285:N1348" si="166">(E1285-E1284)*100</f>
        <v>0</v>
      </c>
      <c r="O1285">
        <f t="shared" ref="O1285:O1348" si="167">(F1285-F1284)*100</f>
        <v>0</v>
      </c>
      <c r="P1285">
        <f t="shared" ref="P1285:P1348" si="168">(G1285-G1284)*100</f>
        <v>0</v>
      </c>
      <c r="Q1285">
        <f t="shared" ref="Q1285:Q1348" si="169">(H1285-H1284)*100</f>
        <v>0</v>
      </c>
      <c r="R1285">
        <f t="shared" ref="R1285:R1348" si="170">(I1285-I1284)*100</f>
        <v>1.9999999999999574</v>
      </c>
    </row>
    <row r="1286" spans="1:18">
      <c r="A1286" s="9">
        <v>38587</v>
      </c>
      <c r="B1286">
        <v>4.2699999999999996</v>
      </c>
      <c r="C1286">
        <v>4.38</v>
      </c>
      <c r="D1286">
        <v>4.43</v>
      </c>
      <c r="E1286">
        <v>4.47</v>
      </c>
      <c r="F1286">
        <v>4.5</v>
      </c>
      <c r="G1286">
        <v>4.5599999999999996</v>
      </c>
      <c r="H1286">
        <v>4.6399999999999997</v>
      </c>
      <c r="I1286">
        <v>4.87</v>
      </c>
      <c r="K1286">
        <f t="shared" si="163"/>
        <v>-2.0000000000000462</v>
      </c>
      <c r="L1286">
        <f t="shared" si="164"/>
        <v>-4.0000000000000036</v>
      </c>
      <c r="M1286">
        <f t="shared" si="165"/>
        <v>-5.0000000000000711</v>
      </c>
      <c r="N1286">
        <f t="shared" si="166"/>
        <v>-4.0000000000000036</v>
      </c>
      <c r="O1286">
        <f t="shared" si="167"/>
        <v>-4.9999999999999822</v>
      </c>
      <c r="P1286">
        <f t="shared" si="168"/>
        <v>-5.0000000000000711</v>
      </c>
      <c r="Q1286">
        <f t="shared" si="169"/>
        <v>-5.0000000000000711</v>
      </c>
      <c r="R1286">
        <f t="shared" si="170"/>
        <v>-4.9999999999999822</v>
      </c>
    </row>
    <row r="1287" spans="1:18">
      <c r="A1287" s="9">
        <v>38588</v>
      </c>
      <c r="B1287">
        <v>4.2699999999999996</v>
      </c>
      <c r="C1287">
        <v>4.3899999999999997</v>
      </c>
      <c r="D1287">
        <v>4.43</v>
      </c>
      <c r="E1287">
        <v>4.47</v>
      </c>
      <c r="F1287">
        <v>4.49</v>
      </c>
      <c r="G1287">
        <v>4.5599999999999996</v>
      </c>
      <c r="H1287">
        <v>4.6399999999999997</v>
      </c>
      <c r="I1287">
        <v>4.87</v>
      </c>
      <c r="K1287">
        <f t="shared" si="163"/>
        <v>0</v>
      </c>
      <c r="L1287">
        <f t="shared" si="164"/>
        <v>0.99999999999997868</v>
      </c>
      <c r="M1287">
        <f t="shared" si="165"/>
        <v>0</v>
      </c>
      <c r="N1287">
        <f t="shared" si="166"/>
        <v>0</v>
      </c>
      <c r="O1287">
        <f t="shared" si="167"/>
        <v>-0.99999999999997868</v>
      </c>
      <c r="P1287">
        <f t="shared" si="168"/>
        <v>0</v>
      </c>
      <c r="Q1287">
        <f t="shared" si="169"/>
        <v>0</v>
      </c>
      <c r="R1287">
        <f t="shared" si="170"/>
        <v>0</v>
      </c>
    </row>
    <row r="1288" spans="1:18">
      <c r="A1288" s="9">
        <v>38589</v>
      </c>
      <c r="B1288">
        <v>4.2699999999999996</v>
      </c>
      <c r="C1288">
        <v>4.38</v>
      </c>
      <c r="D1288">
        <v>4.43</v>
      </c>
      <c r="E1288">
        <v>4.45</v>
      </c>
      <c r="F1288">
        <v>4.49</v>
      </c>
      <c r="G1288">
        <v>4.54</v>
      </c>
      <c r="H1288">
        <v>4.62</v>
      </c>
      <c r="I1288">
        <v>4.84</v>
      </c>
      <c r="K1288">
        <f t="shared" si="163"/>
        <v>0</v>
      </c>
      <c r="L1288">
        <f t="shared" si="164"/>
        <v>-0.99999999999997868</v>
      </c>
      <c r="M1288">
        <f t="shared" si="165"/>
        <v>0</v>
      </c>
      <c r="N1288">
        <f t="shared" si="166"/>
        <v>-1.9999999999999574</v>
      </c>
      <c r="O1288">
        <f t="shared" si="167"/>
        <v>0</v>
      </c>
      <c r="P1288">
        <f t="shared" si="168"/>
        <v>-1.9999999999999574</v>
      </c>
      <c r="Q1288">
        <f t="shared" si="169"/>
        <v>-1.9999999999999574</v>
      </c>
      <c r="R1288">
        <f t="shared" si="170"/>
        <v>-3.0000000000000249</v>
      </c>
    </row>
    <row r="1289" spans="1:18">
      <c r="A1289" s="9">
        <v>38590</v>
      </c>
      <c r="B1289">
        <v>4.3099999999999996</v>
      </c>
      <c r="C1289">
        <v>4.42</v>
      </c>
      <c r="D1289">
        <v>4.45</v>
      </c>
      <c r="E1289">
        <v>4.4800000000000004</v>
      </c>
      <c r="F1289">
        <v>4.51</v>
      </c>
      <c r="G1289">
        <v>4.55</v>
      </c>
      <c r="H1289">
        <v>4.6100000000000003</v>
      </c>
      <c r="I1289">
        <v>4.8099999999999996</v>
      </c>
      <c r="K1289">
        <f t="shared" si="163"/>
        <v>4.0000000000000036</v>
      </c>
      <c r="L1289">
        <f t="shared" si="164"/>
        <v>4.0000000000000036</v>
      </c>
      <c r="M1289">
        <f t="shared" si="165"/>
        <v>2.0000000000000462</v>
      </c>
      <c r="N1289">
        <f t="shared" si="166"/>
        <v>3.0000000000000249</v>
      </c>
      <c r="O1289">
        <f t="shared" si="167"/>
        <v>1.9999999999999574</v>
      </c>
      <c r="P1289">
        <f t="shared" si="168"/>
        <v>0.99999999999997868</v>
      </c>
      <c r="Q1289">
        <f t="shared" si="169"/>
        <v>-0.99999999999997868</v>
      </c>
      <c r="R1289">
        <f t="shared" si="170"/>
        <v>-3.0000000000000249</v>
      </c>
    </row>
    <row r="1290" spans="1:18">
      <c r="A1290" s="9">
        <v>38593</v>
      </c>
      <c r="B1290">
        <v>4.29</v>
      </c>
      <c r="C1290">
        <v>4.41</v>
      </c>
      <c r="D1290">
        <v>4.4400000000000004</v>
      </c>
      <c r="E1290">
        <v>4.46</v>
      </c>
      <c r="F1290">
        <v>4.4800000000000004</v>
      </c>
      <c r="G1290">
        <v>4.53</v>
      </c>
      <c r="H1290">
        <v>4.5999999999999996</v>
      </c>
      <c r="I1290">
        <v>4.8</v>
      </c>
      <c r="K1290">
        <f t="shared" si="163"/>
        <v>-1.9999999999999574</v>
      </c>
      <c r="L1290">
        <f t="shared" si="164"/>
        <v>-0.99999999999997868</v>
      </c>
      <c r="M1290">
        <f t="shared" si="165"/>
        <v>-0.99999999999997868</v>
      </c>
      <c r="N1290">
        <f t="shared" si="166"/>
        <v>-2.0000000000000462</v>
      </c>
      <c r="O1290">
        <f t="shared" si="167"/>
        <v>-2.9999999999999361</v>
      </c>
      <c r="P1290">
        <f t="shared" si="168"/>
        <v>-1.9999999999999574</v>
      </c>
      <c r="Q1290">
        <f t="shared" si="169"/>
        <v>-1.0000000000000675</v>
      </c>
      <c r="R1290">
        <f t="shared" si="170"/>
        <v>-0.99999999999997868</v>
      </c>
    </row>
    <row r="1291" spans="1:18">
      <c r="A1291" s="9">
        <v>38594</v>
      </c>
      <c r="B1291">
        <v>4.29</v>
      </c>
      <c r="C1291">
        <v>4.4000000000000004</v>
      </c>
      <c r="D1291">
        <v>4.43</v>
      </c>
      <c r="E1291">
        <v>4.45</v>
      </c>
      <c r="F1291">
        <v>4.47</v>
      </c>
      <c r="G1291">
        <v>4.51</v>
      </c>
      <c r="H1291">
        <v>4.58</v>
      </c>
      <c r="I1291">
        <v>4.79</v>
      </c>
      <c r="K1291">
        <f t="shared" si="163"/>
        <v>0</v>
      </c>
      <c r="L1291">
        <f t="shared" si="164"/>
        <v>-0.99999999999997868</v>
      </c>
      <c r="M1291">
        <f t="shared" si="165"/>
        <v>-1.0000000000000675</v>
      </c>
      <c r="N1291">
        <f t="shared" si="166"/>
        <v>-0.99999999999997868</v>
      </c>
      <c r="O1291">
        <f t="shared" si="167"/>
        <v>-1.0000000000000675</v>
      </c>
      <c r="P1291">
        <f t="shared" si="168"/>
        <v>-2.0000000000000462</v>
      </c>
      <c r="Q1291">
        <f t="shared" si="169"/>
        <v>-1.9999999999999574</v>
      </c>
      <c r="R1291">
        <f t="shared" si="170"/>
        <v>-0.99999999999997868</v>
      </c>
    </row>
    <row r="1292" spans="1:18">
      <c r="A1292" s="9">
        <v>38595</v>
      </c>
      <c r="B1292">
        <v>4.16</v>
      </c>
      <c r="C1292">
        <v>4.22</v>
      </c>
      <c r="D1292">
        <v>4.26</v>
      </c>
      <c r="E1292">
        <v>4.28</v>
      </c>
      <c r="F1292">
        <v>4.3099999999999996</v>
      </c>
      <c r="G1292">
        <v>4.37</v>
      </c>
      <c r="H1292">
        <v>4.46</v>
      </c>
      <c r="I1292">
        <v>4.71</v>
      </c>
      <c r="K1292">
        <f t="shared" si="163"/>
        <v>-12.999999999999989</v>
      </c>
      <c r="L1292">
        <f t="shared" si="164"/>
        <v>-18.00000000000006</v>
      </c>
      <c r="M1292">
        <f t="shared" si="165"/>
        <v>-16.999999999999993</v>
      </c>
      <c r="N1292">
        <f t="shared" si="166"/>
        <v>-16.999999999999993</v>
      </c>
      <c r="O1292">
        <f t="shared" si="167"/>
        <v>-16.000000000000014</v>
      </c>
      <c r="P1292">
        <f t="shared" si="168"/>
        <v>-13.999999999999968</v>
      </c>
      <c r="Q1292">
        <f t="shared" si="169"/>
        <v>-12.000000000000011</v>
      </c>
      <c r="R1292">
        <f t="shared" si="170"/>
        <v>-8.0000000000000071</v>
      </c>
    </row>
    <row r="1293" spans="1:18">
      <c r="A1293" s="9">
        <v>38596</v>
      </c>
      <c r="B1293">
        <v>4.0199999999999996</v>
      </c>
      <c r="C1293">
        <v>4.09</v>
      </c>
      <c r="D1293">
        <v>4.1399999999999997</v>
      </c>
      <c r="E1293">
        <v>4.1900000000000004</v>
      </c>
      <c r="F1293">
        <v>4.2300000000000004</v>
      </c>
      <c r="G1293">
        <v>4.32</v>
      </c>
      <c r="H1293">
        <v>4.4400000000000004</v>
      </c>
      <c r="I1293">
        <v>4.72</v>
      </c>
      <c r="K1293">
        <f t="shared" si="163"/>
        <v>-14.000000000000057</v>
      </c>
      <c r="L1293">
        <f t="shared" si="164"/>
        <v>-12.999999999999989</v>
      </c>
      <c r="M1293">
        <f t="shared" si="165"/>
        <v>-12.000000000000011</v>
      </c>
      <c r="N1293">
        <f t="shared" si="166"/>
        <v>-8.9999999999999858</v>
      </c>
      <c r="O1293">
        <f t="shared" si="167"/>
        <v>-7.9999999999999183</v>
      </c>
      <c r="P1293">
        <f t="shared" si="168"/>
        <v>-4.9999999999999822</v>
      </c>
      <c r="Q1293">
        <f t="shared" si="169"/>
        <v>-1.9999999999999574</v>
      </c>
      <c r="R1293">
        <f t="shared" si="170"/>
        <v>0.99999999999997868</v>
      </c>
    </row>
    <row r="1294" spans="1:18">
      <c r="A1294" s="9">
        <v>38597</v>
      </c>
      <c r="B1294">
        <v>4</v>
      </c>
      <c r="C1294">
        <v>4.0999999999999996</v>
      </c>
      <c r="D1294">
        <v>4.16</v>
      </c>
      <c r="E1294">
        <v>4.21</v>
      </c>
      <c r="F1294">
        <v>4.26</v>
      </c>
      <c r="G1294">
        <v>4.34</v>
      </c>
      <c r="H1294">
        <v>4.46</v>
      </c>
      <c r="I1294">
        <v>4.75</v>
      </c>
      <c r="K1294">
        <f t="shared" si="163"/>
        <v>-1.9999999999999574</v>
      </c>
      <c r="L1294">
        <f t="shared" si="164"/>
        <v>0.99999999999997868</v>
      </c>
      <c r="M1294">
        <f t="shared" si="165"/>
        <v>2.0000000000000462</v>
      </c>
      <c r="N1294">
        <f t="shared" si="166"/>
        <v>1.9999999999999574</v>
      </c>
      <c r="O1294">
        <f t="shared" si="167"/>
        <v>2.9999999999999361</v>
      </c>
      <c r="P1294">
        <f t="shared" si="168"/>
        <v>1.9999999999999574</v>
      </c>
      <c r="Q1294">
        <f t="shared" si="169"/>
        <v>1.9999999999999574</v>
      </c>
      <c r="R1294">
        <f t="shared" si="170"/>
        <v>3.0000000000000249</v>
      </c>
    </row>
    <row r="1295" spans="1:18">
      <c r="A1295" s="9">
        <v>38601</v>
      </c>
      <c r="B1295">
        <v>4.07</v>
      </c>
      <c r="C1295">
        <v>4.18</v>
      </c>
      <c r="D1295">
        <v>4.24</v>
      </c>
      <c r="E1295">
        <v>4.28</v>
      </c>
      <c r="F1295">
        <v>4.32</v>
      </c>
      <c r="G1295">
        <v>4.4000000000000004</v>
      </c>
      <c r="H1295">
        <v>4.51</v>
      </c>
      <c r="I1295">
        <v>4.79</v>
      </c>
      <c r="K1295">
        <f t="shared" si="163"/>
        <v>7.0000000000000284</v>
      </c>
      <c r="L1295">
        <f t="shared" si="164"/>
        <v>8.0000000000000071</v>
      </c>
      <c r="M1295">
        <f t="shared" si="165"/>
        <v>8.0000000000000071</v>
      </c>
      <c r="N1295">
        <f t="shared" si="166"/>
        <v>7.0000000000000284</v>
      </c>
      <c r="O1295">
        <f t="shared" si="167"/>
        <v>6.0000000000000497</v>
      </c>
      <c r="P1295">
        <f t="shared" si="168"/>
        <v>6.0000000000000497</v>
      </c>
      <c r="Q1295">
        <f t="shared" si="169"/>
        <v>4.9999999999999822</v>
      </c>
      <c r="R1295">
        <f t="shared" si="170"/>
        <v>4.0000000000000036</v>
      </c>
    </row>
    <row r="1296" spans="1:18">
      <c r="A1296" s="9">
        <v>38602</v>
      </c>
      <c r="B1296">
        <v>4.1100000000000003</v>
      </c>
      <c r="C1296">
        <v>4.21</v>
      </c>
      <c r="D1296">
        <v>4.28</v>
      </c>
      <c r="E1296">
        <v>4.32</v>
      </c>
      <c r="F1296">
        <v>4.37</v>
      </c>
      <c r="G1296">
        <v>4.45</v>
      </c>
      <c r="H1296">
        <v>4.57</v>
      </c>
      <c r="I1296">
        <v>4.8600000000000003</v>
      </c>
      <c r="K1296">
        <f t="shared" si="163"/>
        <v>4.0000000000000036</v>
      </c>
      <c r="L1296">
        <f t="shared" si="164"/>
        <v>3.0000000000000249</v>
      </c>
      <c r="M1296">
        <f t="shared" si="165"/>
        <v>4.0000000000000036</v>
      </c>
      <c r="N1296">
        <f t="shared" si="166"/>
        <v>4.0000000000000036</v>
      </c>
      <c r="O1296">
        <f t="shared" si="167"/>
        <v>4.9999999999999822</v>
      </c>
      <c r="P1296">
        <f t="shared" si="168"/>
        <v>4.9999999999999822</v>
      </c>
      <c r="Q1296">
        <f t="shared" si="169"/>
        <v>6.0000000000000497</v>
      </c>
      <c r="R1296">
        <f t="shared" si="170"/>
        <v>7.0000000000000284</v>
      </c>
    </row>
    <row r="1297" spans="1:18">
      <c r="A1297" s="9">
        <v>38603</v>
      </c>
      <c r="B1297">
        <v>4.1399999999999997</v>
      </c>
      <c r="C1297">
        <v>4.2300000000000004</v>
      </c>
      <c r="D1297">
        <v>4.28</v>
      </c>
      <c r="E1297">
        <v>4.32</v>
      </c>
      <c r="F1297">
        <v>4.3600000000000003</v>
      </c>
      <c r="G1297">
        <v>4.4400000000000004</v>
      </c>
      <c r="H1297">
        <v>4.5599999999999996</v>
      </c>
      <c r="I1297">
        <v>4.8499999999999996</v>
      </c>
      <c r="K1297">
        <f t="shared" si="163"/>
        <v>2.9999999999999361</v>
      </c>
      <c r="L1297">
        <f t="shared" si="164"/>
        <v>2.0000000000000462</v>
      </c>
      <c r="M1297">
        <f t="shared" si="165"/>
        <v>0</v>
      </c>
      <c r="N1297">
        <f t="shared" si="166"/>
        <v>0</v>
      </c>
      <c r="O1297">
        <f t="shared" si="167"/>
        <v>-0.99999999999997868</v>
      </c>
      <c r="P1297">
        <f t="shared" si="168"/>
        <v>-0.99999999999997868</v>
      </c>
      <c r="Q1297">
        <f t="shared" si="169"/>
        <v>-1.0000000000000675</v>
      </c>
      <c r="R1297">
        <f t="shared" si="170"/>
        <v>-1.0000000000000675</v>
      </c>
    </row>
    <row r="1298" spans="1:18">
      <c r="A1298" s="9">
        <v>38604</v>
      </c>
      <c r="B1298">
        <v>4.1399999999999997</v>
      </c>
      <c r="C1298">
        <v>4.2300000000000004</v>
      </c>
      <c r="D1298">
        <v>4.28</v>
      </c>
      <c r="E1298">
        <v>4.3099999999999996</v>
      </c>
      <c r="F1298">
        <v>4.3499999999999996</v>
      </c>
      <c r="G1298">
        <v>4.43</v>
      </c>
      <c r="H1298">
        <v>4.53</v>
      </c>
      <c r="I1298">
        <v>4.82</v>
      </c>
      <c r="K1298">
        <f t="shared" si="163"/>
        <v>0</v>
      </c>
      <c r="L1298">
        <f t="shared" si="164"/>
        <v>0</v>
      </c>
      <c r="M1298">
        <f t="shared" si="165"/>
        <v>0</v>
      </c>
      <c r="N1298">
        <f t="shared" si="166"/>
        <v>-1.0000000000000675</v>
      </c>
      <c r="O1298">
        <f t="shared" si="167"/>
        <v>-1.0000000000000675</v>
      </c>
      <c r="P1298">
        <f t="shared" si="168"/>
        <v>-1.0000000000000675</v>
      </c>
      <c r="Q1298">
        <f t="shared" si="169"/>
        <v>-2.9999999999999361</v>
      </c>
      <c r="R1298">
        <f t="shared" si="170"/>
        <v>-2.9999999999999361</v>
      </c>
    </row>
    <row r="1299" spans="1:18">
      <c r="A1299" s="9">
        <v>38607</v>
      </c>
      <c r="B1299">
        <v>4.18</v>
      </c>
      <c r="C1299">
        <v>4.2699999999999996</v>
      </c>
      <c r="D1299">
        <v>4.32</v>
      </c>
      <c r="E1299">
        <v>4.3600000000000003</v>
      </c>
      <c r="F1299">
        <v>4.4000000000000004</v>
      </c>
      <c r="G1299">
        <v>4.4800000000000004</v>
      </c>
      <c r="H1299">
        <v>4.59</v>
      </c>
      <c r="I1299">
        <v>4.87</v>
      </c>
      <c r="K1299">
        <f t="shared" si="163"/>
        <v>4.0000000000000036</v>
      </c>
      <c r="L1299">
        <f t="shared" si="164"/>
        <v>3.9999999999999147</v>
      </c>
      <c r="M1299">
        <f t="shared" si="165"/>
        <v>4.0000000000000036</v>
      </c>
      <c r="N1299">
        <f t="shared" si="166"/>
        <v>5.0000000000000711</v>
      </c>
      <c r="O1299">
        <f t="shared" si="167"/>
        <v>5.0000000000000711</v>
      </c>
      <c r="P1299">
        <f t="shared" si="168"/>
        <v>5.0000000000000711</v>
      </c>
      <c r="Q1299">
        <f t="shared" si="169"/>
        <v>5.9999999999999609</v>
      </c>
      <c r="R1299">
        <f t="shared" si="170"/>
        <v>4.9999999999999822</v>
      </c>
    </row>
    <row r="1300" spans="1:18">
      <c r="A1300" s="9">
        <v>38608</v>
      </c>
      <c r="B1300">
        <v>4.16</v>
      </c>
      <c r="C1300">
        <v>4.24</v>
      </c>
      <c r="D1300">
        <v>4.28</v>
      </c>
      <c r="E1300">
        <v>4.3099999999999996</v>
      </c>
      <c r="F1300">
        <v>4.34</v>
      </c>
      <c r="G1300">
        <v>4.43</v>
      </c>
      <c r="H1300">
        <v>4.54</v>
      </c>
      <c r="I1300">
        <v>4.83</v>
      </c>
      <c r="K1300">
        <f t="shared" si="163"/>
        <v>-1.9999999999999574</v>
      </c>
      <c r="L1300">
        <f t="shared" si="164"/>
        <v>-2.9999999999999361</v>
      </c>
      <c r="M1300">
        <f t="shared" si="165"/>
        <v>-4.0000000000000036</v>
      </c>
      <c r="N1300">
        <f t="shared" si="166"/>
        <v>-5.0000000000000711</v>
      </c>
      <c r="O1300">
        <f t="shared" si="167"/>
        <v>-6.0000000000000497</v>
      </c>
      <c r="P1300">
        <f t="shared" si="168"/>
        <v>-5.0000000000000711</v>
      </c>
      <c r="Q1300">
        <f t="shared" si="169"/>
        <v>-4.9999999999999822</v>
      </c>
      <c r="R1300">
        <f t="shared" si="170"/>
        <v>-4.0000000000000036</v>
      </c>
    </row>
    <row r="1301" spans="1:18">
      <c r="A1301" s="9">
        <v>38609</v>
      </c>
      <c r="B1301">
        <v>4.17</v>
      </c>
      <c r="C1301">
        <v>4.25</v>
      </c>
      <c r="D1301">
        <v>4.28</v>
      </c>
      <c r="E1301">
        <v>4.3099999999999996</v>
      </c>
      <c r="F1301">
        <v>4.3499999999999996</v>
      </c>
      <c r="G1301">
        <v>4.43</v>
      </c>
      <c r="H1301">
        <v>4.55</v>
      </c>
      <c r="I1301">
        <v>4.84</v>
      </c>
      <c r="K1301">
        <f t="shared" si="163"/>
        <v>0.99999999999997868</v>
      </c>
      <c r="L1301">
        <f t="shared" si="164"/>
        <v>0.99999999999997868</v>
      </c>
      <c r="M1301">
        <f t="shared" si="165"/>
        <v>0</v>
      </c>
      <c r="N1301">
        <f t="shared" si="166"/>
        <v>0</v>
      </c>
      <c r="O1301">
        <f t="shared" si="167"/>
        <v>0.99999999999997868</v>
      </c>
      <c r="P1301">
        <f t="shared" si="168"/>
        <v>0</v>
      </c>
      <c r="Q1301">
        <f t="shared" si="169"/>
        <v>0.99999999999997868</v>
      </c>
      <c r="R1301">
        <f t="shared" si="170"/>
        <v>0.99999999999997868</v>
      </c>
    </row>
    <row r="1302" spans="1:18">
      <c r="A1302" s="9">
        <v>38610</v>
      </c>
      <c r="B1302">
        <v>4.16</v>
      </c>
      <c r="C1302">
        <v>4.25</v>
      </c>
      <c r="D1302">
        <v>4.3</v>
      </c>
      <c r="E1302">
        <v>4.34</v>
      </c>
      <c r="F1302">
        <v>4.3899999999999997</v>
      </c>
      <c r="G1302">
        <v>4.4800000000000004</v>
      </c>
      <c r="H1302">
        <v>4.6100000000000003</v>
      </c>
      <c r="I1302">
        <v>4.91</v>
      </c>
      <c r="K1302">
        <f t="shared" si="163"/>
        <v>-0.99999999999997868</v>
      </c>
      <c r="L1302">
        <f t="shared" si="164"/>
        <v>0</v>
      </c>
      <c r="M1302">
        <f t="shared" si="165"/>
        <v>1.9999999999999574</v>
      </c>
      <c r="N1302">
        <f t="shared" si="166"/>
        <v>3.0000000000000249</v>
      </c>
      <c r="O1302">
        <f t="shared" si="167"/>
        <v>4.0000000000000036</v>
      </c>
      <c r="P1302">
        <f t="shared" si="168"/>
        <v>5.0000000000000711</v>
      </c>
      <c r="Q1302">
        <f t="shared" si="169"/>
        <v>6.0000000000000497</v>
      </c>
      <c r="R1302">
        <f t="shared" si="170"/>
        <v>7.0000000000000284</v>
      </c>
    </row>
    <row r="1303" spans="1:18">
      <c r="A1303" s="9">
        <v>38611</v>
      </c>
      <c r="B1303">
        <v>4.21</v>
      </c>
      <c r="C1303">
        <v>4.3099999999999996</v>
      </c>
      <c r="D1303">
        <v>4.38</v>
      </c>
      <c r="E1303">
        <v>4.43</v>
      </c>
      <c r="F1303">
        <v>4.4800000000000004</v>
      </c>
      <c r="G1303">
        <v>4.58</v>
      </c>
      <c r="H1303">
        <v>4.71</v>
      </c>
      <c r="I1303">
        <v>5.01</v>
      </c>
      <c r="K1303">
        <f t="shared" si="163"/>
        <v>4.9999999999999822</v>
      </c>
      <c r="L1303">
        <f t="shared" si="164"/>
        <v>5.9999999999999609</v>
      </c>
      <c r="M1303">
        <f t="shared" si="165"/>
        <v>8.0000000000000071</v>
      </c>
      <c r="N1303">
        <f t="shared" si="166"/>
        <v>8.9999999999999858</v>
      </c>
      <c r="O1303">
        <f t="shared" si="167"/>
        <v>9.0000000000000746</v>
      </c>
      <c r="P1303">
        <f t="shared" si="168"/>
        <v>9.9999999999999645</v>
      </c>
      <c r="Q1303">
        <f t="shared" si="169"/>
        <v>9.9999999999999645</v>
      </c>
      <c r="R1303">
        <f t="shared" si="170"/>
        <v>9.9999999999999645</v>
      </c>
    </row>
    <row r="1304" spans="1:18">
      <c r="A1304" s="9">
        <v>38614</v>
      </c>
      <c r="B1304">
        <v>4.24</v>
      </c>
      <c r="C1304">
        <v>4.32</v>
      </c>
      <c r="D1304">
        <v>4.38</v>
      </c>
      <c r="E1304">
        <v>4.42</v>
      </c>
      <c r="F1304">
        <v>4.47</v>
      </c>
      <c r="G1304">
        <v>4.5599999999999996</v>
      </c>
      <c r="H1304">
        <v>4.6900000000000004</v>
      </c>
      <c r="I1304">
        <v>4.99</v>
      </c>
      <c r="K1304">
        <f t="shared" si="163"/>
        <v>3.0000000000000249</v>
      </c>
      <c r="L1304">
        <f t="shared" si="164"/>
        <v>1.0000000000000675</v>
      </c>
      <c r="M1304">
        <f t="shared" si="165"/>
        <v>0</v>
      </c>
      <c r="N1304">
        <f t="shared" si="166"/>
        <v>-0.99999999999997868</v>
      </c>
      <c r="O1304">
        <f t="shared" si="167"/>
        <v>-1.0000000000000675</v>
      </c>
      <c r="P1304">
        <f t="shared" si="168"/>
        <v>-2.0000000000000462</v>
      </c>
      <c r="Q1304">
        <f t="shared" si="169"/>
        <v>-1.9999999999999574</v>
      </c>
      <c r="R1304">
        <f t="shared" si="170"/>
        <v>-1.9999999999999574</v>
      </c>
    </row>
    <row r="1305" spans="1:18">
      <c r="A1305" s="9">
        <v>38615</v>
      </c>
      <c r="B1305">
        <v>4.24</v>
      </c>
      <c r="C1305">
        <v>4.34</v>
      </c>
      <c r="D1305">
        <v>4.4000000000000004</v>
      </c>
      <c r="E1305">
        <v>4.4400000000000004</v>
      </c>
      <c r="F1305">
        <v>4.49</v>
      </c>
      <c r="G1305">
        <v>4.59</v>
      </c>
      <c r="H1305">
        <v>4.71</v>
      </c>
      <c r="I1305">
        <v>5</v>
      </c>
      <c r="K1305">
        <f t="shared" si="163"/>
        <v>0</v>
      </c>
      <c r="L1305">
        <f t="shared" si="164"/>
        <v>1.9999999999999574</v>
      </c>
      <c r="M1305">
        <f t="shared" si="165"/>
        <v>2.0000000000000462</v>
      </c>
      <c r="N1305">
        <f t="shared" si="166"/>
        <v>2.0000000000000462</v>
      </c>
      <c r="O1305">
        <f t="shared" si="167"/>
        <v>2.0000000000000462</v>
      </c>
      <c r="P1305">
        <f t="shared" si="168"/>
        <v>3.0000000000000249</v>
      </c>
      <c r="Q1305">
        <f t="shared" si="169"/>
        <v>1.9999999999999574</v>
      </c>
      <c r="R1305">
        <f t="shared" si="170"/>
        <v>0.99999999999997868</v>
      </c>
    </row>
    <row r="1306" spans="1:18">
      <c r="A1306" s="9">
        <v>38616</v>
      </c>
      <c r="B1306">
        <v>4.2699999999999996</v>
      </c>
      <c r="C1306">
        <v>4.34</v>
      </c>
      <c r="D1306">
        <v>4.38</v>
      </c>
      <c r="E1306">
        <v>4.41</v>
      </c>
      <c r="F1306">
        <v>4.4400000000000004</v>
      </c>
      <c r="G1306">
        <v>4.51</v>
      </c>
      <c r="H1306">
        <v>4.62</v>
      </c>
      <c r="I1306">
        <v>4.9000000000000004</v>
      </c>
      <c r="K1306">
        <f t="shared" si="163"/>
        <v>2.9999999999999361</v>
      </c>
      <c r="L1306">
        <f t="shared" si="164"/>
        <v>0</v>
      </c>
      <c r="M1306">
        <f t="shared" si="165"/>
        <v>-2.0000000000000462</v>
      </c>
      <c r="N1306">
        <f t="shared" si="166"/>
        <v>-3.0000000000000249</v>
      </c>
      <c r="O1306">
        <f t="shared" si="167"/>
        <v>-4.9999999999999822</v>
      </c>
      <c r="P1306">
        <f t="shared" si="168"/>
        <v>-8.0000000000000071</v>
      </c>
      <c r="Q1306">
        <f t="shared" si="169"/>
        <v>-8.9999999999999858</v>
      </c>
      <c r="R1306">
        <f t="shared" si="170"/>
        <v>-9.9999999999999645</v>
      </c>
    </row>
    <row r="1307" spans="1:18">
      <c r="A1307" s="9">
        <v>38617</v>
      </c>
      <c r="B1307">
        <v>4.26</v>
      </c>
      <c r="C1307">
        <v>4.3099999999999996</v>
      </c>
      <c r="D1307">
        <v>4.3499999999999996</v>
      </c>
      <c r="E1307">
        <v>4.38</v>
      </c>
      <c r="F1307">
        <v>4.42</v>
      </c>
      <c r="G1307">
        <v>4.5</v>
      </c>
      <c r="H1307">
        <v>4.6100000000000003</v>
      </c>
      <c r="I1307">
        <v>4.9000000000000004</v>
      </c>
      <c r="K1307">
        <f t="shared" si="163"/>
        <v>-0.99999999999997868</v>
      </c>
      <c r="L1307">
        <f t="shared" si="164"/>
        <v>-3.0000000000000249</v>
      </c>
      <c r="M1307">
        <f t="shared" si="165"/>
        <v>-3.0000000000000249</v>
      </c>
      <c r="N1307">
        <f t="shared" si="166"/>
        <v>-3.0000000000000249</v>
      </c>
      <c r="O1307">
        <f t="shared" si="167"/>
        <v>-2.0000000000000462</v>
      </c>
      <c r="P1307">
        <f t="shared" si="168"/>
        <v>-0.99999999999997868</v>
      </c>
      <c r="Q1307">
        <f t="shared" si="169"/>
        <v>-0.99999999999997868</v>
      </c>
      <c r="R1307">
        <f t="shared" si="170"/>
        <v>0</v>
      </c>
    </row>
    <row r="1308" spans="1:18">
      <c r="A1308" s="9">
        <v>38618</v>
      </c>
      <c r="B1308">
        <v>4.29</v>
      </c>
      <c r="C1308">
        <v>4.3600000000000003</v>
      </c>
      <c r="D1308">
        <v>4.41</v>
      </c>
      <c r="E1308">
        <v>4.4400000000000004</v>
      </c>
      <c r="F1308">
        <v>4.4800000000000004</v>
      </c>
      <c r="G1308">
        <v>4.58</v>
      </c>
      <c r="H1308">
        <v>4.66</v>
      </c>
      <c r="I1308">
        <v>4.93</v>
      </c>
      <c r="K1308">
        <f t="shared" si="163"/>
        <v>3.0000000000000249</v>
      </c>
      <c r="L1308">
        <f t="shared" si="164"/>
        <v>5.0000000000000711</v>
      </c>
      <c r="M1308">
        <f t="shared" si="165"/>
        <v>6.0000000000000497</v>
      </c>
      <c r="N1308">
        <f t="shared" si="166"/>
        <v>6.0000000000000497</v>
      </c>
      <c r="O1308">
        <f t="shared" si="167"/>
        <v>6.0000000000000497</v>
      </c>
      <c r="P1308">
        <f t="shared" si="168"/>
        <v>8.0000000000000071</v>
      </c>
      <c r="Q1308">
        <f t="shared" si="169"/>
        <v>4.9999999999999822</v>
      </c>
      <c r="R1308">
        <f t="shared" si="170"/>
        <v>2.9999999999999361</v>
      </c>
    </row>
    <row r="1309" spans="1:18">
      <c r="A1309" s="9">
        <v>38621</v>
      </c>
      <c r="B1309">
        <v>4.37</v>
      </c>
      <c r="C1309">
        <v>4.46</v>
      </c>
      <c r="D1309">
        <v>4.5</v>
      </c>
      <c r="E1309">
        <v>4.53</v>
      </c>
      <c r="F1309">
        <v>4.57</v>
      </c>
      <c r="G1309">
        <v>4.6399999999999997</v>
      </c>
      <c r="H1309">
        <v>4.74</v>
      </c>
      <c r="I1309">
        <v>5</v>
      </c>
      <c r="K1309">
        <f t="shared" si="163"/>
        <v>8.0000000000000071</v>
      </c>
      <c r="L1309">
        <f t="shared" si="164"/>
        <v>9.9999999999999645</v>
      </c>
      <c r="M1309">
        <f t="shared" si="165"/>
        <v>8.9999999999999858</v>
      </c>
      <c r="N1309">
        <f t="shared" si="166"/>
        <v>8.9999999999999858</v>
      </c>
      <c r="O1309">
        <f t="shared" si="167"/>
        <v>8.9999999999999858</v>
      </c>
      <c r="P1309">
        <f t="shared" si="168"/>
        <v>5.9999999999999609</v>
      </c>
      <c r="Q1309">
        <f t="shared" si="169"/>
        <v>8.0000000000000071</v>
      </c>
      <c r="R1309">
        <f t="shared" si="170"/>
        <v>7.0000000000000284</v>
      </c>
    </row>
    <row r="1310" spans="1:18">
      <c r="A1310" s="9">
        <v>38622</v>
      </c>
      <c r="B1310">
        <v>4.4000000000000004</v>
      </c>
      <c r="C1310">
        <v>4.4800000000000004</v>
      </c>
      <c r="D1310">
        <v>4.5199999999999996</v>
      </c>
      <c r="E1310">
        <v>4.55</v>
      </c>
      <c r="F1310">
        <v>4.59</v>
      </c>
      <c r="G1310">
        <v>4.66</v>
      </c>
      <c r="H1310">
        <v>4.76</v>
      </c>
      <c r="I1310">
        <v>5.0199999999999996</v>
      </c>
      <c r="K1310">
        <f t="shared" si="163"/>
        <v>3.0000000000000249</v>
      </c>
      <c r="L1310">
        <f t="shared" si="164"/>
        <v>2.0000000000000462</v>
      </c>
      <c r="M1310">
        <f t="shared" si="165"/>
        <v>1.9999999999999574</v>
      </c>
      <c r="N1310">
        <f t="shared" si="166"/>
        <v>1.9999999999999574</v>
      </c>
      <c r="O1310">
        <f t="shared" si="167"/>
        <v>1.9999999999999574</v>
      </c>
      <c r="P1310">
        <f t="shared" si="168"/>
        <v>2.0000000000000462</v>
      </c>
      <c r="Q1310">
        <f t="shared" si="169"/>
        <v>1.9999999999999574</v>
      </c>
      <c r="R1310">
        <f t="shared" si="170"/>
        <v>1.9999999999999574</v>
      </c>
    </row>
    <row r="1311" spans="1:18">
      <c r="A1311" s="9">
        <v>38623</v>
      </c>
      <c r="B1311">
        <v>4.42</v>
      </c>
      <c r="C1311">
        <v>4.5</v>
      </c>
      <c r="D1311">
        <v>4.53</v>
      </c>
      <c r="E1311">
        <v>4.5599999999999996</v>
      </c>
      <c r="F1311">
        <v>4.59</v>
      </c>
      <c r="G1311">
        <v>4.6500000000000004</v>
      </c>
      <c r="H1311">
        <v>4.74</v>
      </c>
      <c r="I1311">
        <v>4.9800000000000004</v>
      </c>
      <c r="K1311">
        <f t="shared" si="163"/>
        <v>1.9999999999999574</v>
      </c>
      <c r="L1311">
        <f t="shared" si="164"/>
        <v>1.9999999999999574</v>
      </c>
      <c r="M1311">
        <f t="shared" si="165"/>
        <v>1.0000000000000675</v>
      </c>
      <c r="N1311">
        <f t="shared" si="166"/>
        <v>0.99999999999997868</v>
      </c>
      <c r="O1311">
        <f t="shared" si="167"/>
        <v>0</v>
      </c>
      <c r="P1311">
        <f t="shared" si="168"/>
        <v>-0.99999999999997868</v>
      </c>
      <c r="Q1311">
        <f t="shared" si="169"/>
        <v>-1.9999999999999574</v>
      </c>
      <c r="R1311">
        <f t="shared" si="170"/>
        <v>-3.9999999999999147</v>
      </c>
    </row>
    <row r="1312" spans="1:18">
      <c r="A1312" s="9">
        <v>38624</v>
      </c>
      <c r="B1312">
        <v>4.43</v>
      </c>
      <c r="C1312">
        <v>4.5</v>
      </c>
      <c r="D1312">
        <v>4.54</v>
      </c>
      <c r="E1312">
        <v>4.5599999999999996</v>
      </c>
      <c r="F1312">
        <v>4.59</v>
      </c>
      <c r="G1312">
        <v>4.6500000000000004</v>
      </c>
      <c r="H1312">
        <v>4.74</v>
      </c>
      <c r="I1312">
        <v>4.99</v>
      </c>
      <c r="K1312">
        <f t="shared" si="163"/>
        <v>0.99999999999997868</v>
      </c>
      <c r="L1312">
        <f t="shared" si="164"/>
        <v>0</v>
      </c>
      <c r="M1312">
        <f t="shared" si="165"/>
        <v>0.99999999999997868</v>
      </c>
      <c r="N1312">
        <f t="shared" si="166"/>
        <v>0</v>
      </c>
      <c r="O1312">
        <f t="shared" si="167"/>
        <v>0</v>
      </c>
      <c r="P1312">
        <f t="shared" si="168"/>
        <v>0</v>
      </c>
      <c r="Q1312">
        <f t="shared" si="169"/>
        <v>0</v>
      </c>
      <c r="R1312">
        <f t="shared" si="170"/>
        <v>0.99999999999997868</v>
      </c>
    </row>
    <row r="1313" spans="1:18">
      <c r="A1313" s="9">
        <v>38625</v>
      </c>
      <c r="B1313">
        <v>4.49</v>
      </c>
      <c r="C1313">
        <v>4.58</v>
      </c>
      <c r="D1313">
        <v>4.6100000000000003</v>
      </c>
      <c r="E1313">
        <v>4.63</v>
      </c>
      <c r="F1313">
        <v>4.66</v>
      </c>
      <c r="G1313">
        <v>4.71</v>
      </c>
      <c r="H1313">
        <v>4.79</v>
      </c>
      <c r="I1313">
        <v>5.03</v>
      </c>
      <c r="K1313">
        <f t="shared" si="163"/>
        <v>6.0000000000000497</v>
      </c>
      <c r="L1313">
        <f t="shared" si="164"/>
        <v>8.0000000000000071</v>
      </c>
      <c r="M1313">
        <f t="shared" si="165"/>
        <v>7.0000000000000284</v>
      </c>
      <c r="N1313">
        <f t="shared" si="166"/>
        <v>7.0000000000000284</v>
      </c>
      <c r="O1313">
        <f t="shared" si="167"/>
        <v>7.0000000000000284</v>
      </c>
      <c r="P1313">
        <f t="shared" si="168"/>
        <v>5.9999999999999609</v>
      </c>
      <c r="Q1313">
        <f t="shared" si="169"/>
        <v>4.9999999999999822</v>
      </c>
      <c r="R1313">
        <f t="shared" si="170"/>
        <v>4.0000000000000036</v>
      </c>
    </row>
    <row r="1314" spans="1:18">
      <c r="A1314" s="9">
        <v>38628</v>
      </c>
      <c r="B1314">
        <v>4.5199999999999996</v>
      </c>
      <c r="C1314">
        <v>4.62</v>
      </c>
      <c r="D1314">
        <v>4.66</v>
      </c>
      <c r="E1314">
        <v>4.6900000000000004</v>
      </c>
      <c r="F1314">
        <v>4.72</v>
      </c>
      <c r="G1314">
        <v>4.78</v>
      </c>
      <c r="H1314">
        <v>4.8600000000000003</v>
      </c>
      <c r="I1314">
        <v>5.0999999999999996</v>
      </c>
      <c r="K1314">
        <f t="shared" si="163"/>
        <v>2.9999999999999361</v>
      </c>
      <c r="L1314">
        <f t="shared" si="164"/>
        <v>4.0000000000000036</v>
      </c>
      <c r="M1314">
        <f t="shared" si="165"/>
        <v>4.9999999999999822</v>
      </c>
      <c r="N1314">
        <f t="shared" si="166"/>
        <v>6.0000000000000497</v>
      </c>
      <c r="O1314">
        <f t="shared" si="167"/>
        <v>5.9999999999999609</v>
      </c>
      <c r="P1314">
        <f t="shared" si="168"/>
        <v>7.0000000000000284</v>
      </c>
      <c r="Q1314">
        <f t="shared" si="169"/>
        <v>7.0000000000000284</v>
      </c>
      <c r="R1314">
        <f t="shared" si="170"/>
        <v>6.9999999999999396</v>
      </c>
    </row>
    <row r="1315" spans="1:18">
      <c r="A1315" s="9">
        <v>38629</v>
      </c>
      <c r="B1315">
        <v>4.5</v>
      </c>
      <c r="C1315">
        <v>4.5999999999999996</v>
      </c>
      <c r="D1315">
        <v>4.63</v>
      </c>
      <c r="E1315">
        <v>4.66</v>
      </c>
      <c r="F1315">
        <v>4.6900000000000004</v>
      </c>
      <c r="G1315">
        <v>4.74</v>
      </c>
      <c r="H1315">
        <v>4.83</v>
      </c>
      <c r="I1315">
        <v>5.0599999999999996</v>
      </c>
      <c r="K1315">
        <f t="shared" si="163"/>
        <v>-1.9999999999999574</v>
      </c>
      <c r="L1315">
        <f t="shared" si="164"/>
        <v>-2.0000000000000462</v>
      </c>
      <c r="M1315">
        <f t="shared" si="165"/>
        <v>-3.0000000000000249</v>
      </c>
      <c r="N1315">
        <f t="shared" si="166"/>
        <v>-3.0000000000000249</v>
      </c>
      <c r="O1315">
        <f t="shared" si="167"/>
        <v>-2.9999999999999361</v>
      </c>
      <c r="P1315">
        <f t="shared" si="168"/>
        <v>-4.0000000000000036</v>
      </c>
      <c r="Q1315">
        <f t="shared" si="169"/>
        <v>-3.0000000000000249</v>
      </c>
      <c r="R1315">
        <f t="shared" si="170"/>
        <v>-4.0000000000000036</v>
      </c>
    </row>
    <row r="1316" spans="1:18">
      <c r="A1316" s="9">
        <v>38630</v>
      </c>
      <c r="B1316">
        <v>4.5</v>
      </c>
      <c r="C1316">
        <v>4.59</v>
      </c>
      <c r="D1316">
        <v>4.62</v>
      </c>
      <c r="E1316">
        <v>4.6500000000000004</v>
      </c>
      <c r="F1316">
        <v>4.68</v>
      </c>
      <c r="G1316">
        <v>4.7300000000000004</v>
      </c>
      <c r="H1316">
        <v>4.8099999999999996</v>
      </c>
      <c r="I1316">
        <v>5.03</v>
      </c>
      <c r="K1316">
        <f t="shared" si="163"/>
        <v>0</v>
      </c>
      <c r="L1316">
        <f t="shared" si="164"/>
        <v>-0.99999999999997868</v>
      </c>
      <c r="M1316">
        <f t="shared" si="165"/>
        <v>-0.99999999999997868</v>
      </c>
      <c r="N1316">
        <f t="shared" si="166"/>
        <v>-0.99999999999997868</v>
      </c>
      <c r="O1316">
        <f t="shared" si="167"/>
        <v>-1.0000000000000675</v>
      </c>
      <c r="P1316">
        <f t="shared" si="168"/>
        <v>-0.99999999999997868</v>
      </c>
      <c r="Q1316">
        <f t="shared" si="169"/>
        <v>-2.0000000000000462</v>
      </c>
      <c r="R1316">
        <f t="shared" si="170"/>
        <v>-2.9999999999999361</v>
      </c>
    </row>
    <row r="1317" spans="1:18">
      <c r="A1317" s="9">
        <v>38631</v>
      </c>
      <c r="B1317">
        <v>4.5</v>
      </c>
      <c r="C1317">
        <v>4.59</v>
      </c>
      <c r="D1317">
        <v>4.63</v>
      </c>
      <c r="E1317">
        <v>4.66</v>
      </c>
      <c r="F1317">
        <v>4.68</v>
      </c>
      <c r="G1317">
        <v>4.74</v>
      </c>
      <c r="H1317">
        <v>4.82</v>
      </c>
      <c r="I1317">
        <v>5.05</v>
      </c>
      <c r="K1317">
        <f t="shared" si="163"/>
        <v>0</v>
      </c>
      <c r="L1317">
        <f t="shared" si="164"/>
        <v>0</v>
      </c>
      <c r="M1317">
        <f t="shared" si="165"/>
        <v>0.99999999999997868</v>
      </c>
      <c r="N1317">
        <f t="shared" si="166"/>
        <v>0.99999999999997868</v>
      </c>
      <c r="O1317">
        <f t="shared" si="167"/>
        <v>0</v>
      </c>
      <c r="P1317">
        <f t="shared" si="168"/>
        <v>0.99999999999997868</v>
      </c>
      <c r="Q1317">
        <f t="shared" si="169"/>
        <v>1.0000000000000675</v>
      </c>
      <c r="R1317">
        <f t="shared" si="170"/>
        <v>1.9999999999999574</v>
      </c>
    </row>
    <row r="1318" spans="1:18">
      <c r="A1318" s="9">
        <v>38632</v>
      </c>
      <c r="B1318">
        <v>4.5199999999999996</v>
      </c>
      <c r="C1318">
        <v>4.62</v>
      </c>
      <c r="D1318">
        <v>4.66</v>
      </c>
      <c r="E1318">
        <v>4.6900000000000004</v>
      </c>
      <c r="F1318">
        <v>4.72</v>
      </c>
      <c r="G1318">
        <v>4.78</v>
      </c>
      <c r="H1318">
        <v>4.8600000000000003</v>
      </c>
      <c r="I1318">
        <v>5.08</v>
      </c>
      <c r="K1318">
        <f t="shared" si="163"/>
        <v>1.9999999999999574</v>
      </c>
      <c r="L1318">
        <f t="shared" si="164"/>
        <v>3.0000000000000249</v>
      </c>
      <c r="M1318">
        <f t="shared" si="165"/>
        <v>3.0000000000000249</v>
      </c>
      <c r="N1318">
        <f t="shared" si="166"/>
        <v>3.0000000000000249</v>
      </c>
      <c r="O1318">
        <f t="shared" si="167"/>
        <v>4.0000000000000036</v>
      </c>
      <c r="P1318">
        <f t="shared" si="168"/>
        <v>4.0000000000000036</v>
      </c>
      <c r="Q1318">
        <f t="shared" si="169"/>
        <v>4.0000000000000036</v>
      </c>
      <c r="R1318">
        <f t="shared" si="170"/>
        <v>3.0000000000000249</v>
      </c>
    </row>
    <row r="1319" spans="1:18">
      <c r="A1319" s="9">
        <v>38636</v>
      </c>
      <c r="B1319">
        <v>4.55</v>
      </c>
      <c r="C1319">
        <v>4.6399999999999997</v>
      </c>
      <c r="D1319">
        <v>4.68</v>
      </c>
      <c r="E1319">
        <v>4.71</v>
      </c>
      <c r="F1319">
        <v>4.74</v>
      </c>
      <c r="G1319">
        <v>4.79</v>
      </c>
      <c r="H1319">
        <v>4.8600000000000003</v>
      </c>
      <c r="I1319">
        <v>5.05</v>
      </c>
      <c r="K1319">
        <f t="shared" si="163"/>
        <v>3.0000000000000249</v>
      </c>
      <c r="L1319">
        <f t="shared" si="164"/>
        <v>1.9999999999999574</v>
      </c>
      <c r="M1319">
        <f t="shared" si="165"/>
        <v>1.9999999999999574</v>
      </c>
      <c r="N1319">
        <f t="shared" si="166"/>
        <v>1.9999999999999574</v>
      </c>
      <c r="O1319">
        <f t="shared" si="167"/>
        <v>2.0000000000000462</v>
      </c>
      <c r="P1319">
        <f t="shared" si="168"/>
        <v>0.99999999999997868</v>
      </c>
      <c r="Q1319">
        <f t="shared" si="169"/>
        <v>0</v>
      </c>
      <c r="R1319">
        <f t="shared" si="170"/>
        <v>-3.0000000000000249</v>
      </c>
    </row>
    <row r="1320" spans="1:18">
      <c r="A1320" s="9">
        <v>38637</v>
      </c>
      <c r="B1320">
        <v>4.5599999999999996</v>
      </c>
      <c r="C1320">
        <v>4.66</v>
      </c>
      <c r="D1320">
        <v>4.6900000000000004</v>
      </c>
      <c r="E1320">
        <v>4.7300000000000004</v>
      </c>
      <c r="F1320">
        <v>4.76</v>
      </c>
      <c r="G1320">
        <v>4.8099999999999996</v>
      </c>
      <c r="H1320">
        <v>4.8899999999999997</v>
      </c>
      <c r="I1320">
        <v>5.1100000000000003</v>
      </c>
      <c r="K1320">
        <f t="shared" si="163"/>
        <v>0.99999999999997868</v>
      </c>
      <c r="L1320">
        <f t="shared" si="164"/>
        <v>2.0000000000000462</v>
      </c>
      <c r="M1320">
        <f t="shared" si="165"/>
        <v>1.0000000000000675</v>
      </c>
      <c r="N1320">
        <f t="shared" si="166"/>
        <v>2.0000000000000462</v>
      </c>
      <c r="O1320">
        <f t="shared" si="167"/>
        <v>1.9999999999999574</v>
      </c>
      <c r="P1320">
        <f t="shared" si="168"/>
        <v>1.9999999999999574</v>
      </c>
      <c r="Q1320">
        <f t="shared" si="169"/>
        <v>2.9999999999999361</v>
      </c>
      <c r="R1320">
        <f t="shared" si="170"/>
        <v>6.0000000000000497</v>
      </c>
    </row>
    <row r="1321" spans="1:18">
      <c r="A1321" s="9">
        <v>38638</v>
      </c>
      <c r="B1321">
        <v>4.58</v>
      </c>
      <c r="C1321">
        <v>4.68</v>
      </c>
      <c r="D1321">
        <v>4.7300000000000004</v>
      </c>
      <c r="E1321">
        <v>4.7699999999999996</v>
      </c>
      <c r="F1321">
        <v>4.8099999999999996</v>
      </c>
      <c r="G1321">
        <v>4.87</v>
      </c>
      <c r="H1321">
        <v>4.96</v>
      </c>
      <c r="I1321">
        <v>5.18</v>
      </c>
      <c r="K1321">
        <f t="shared" si="163"/>
        <v>2.0000000000000462</v>
      </c>
      <c r="L1321">
        <f t="shared" si="164"/>
        <v>1.9999999999999574</v>
      </c>
      <c r="M1321">
        <f t="shared" si="165"/>
        <v>4.0000000000000036</v>
      </c>
      <c r="N1321">
        <f t="shared" si="166"/>
        <v>3.9999999999999147</v>
      </c>
      <c r="O1321">
        <f t="shared" si="167"/>
        <v>4.9999999999999822</v>
      </c>
      <c r="P1321">
        <f t="shared" si="168"/>
        <v>6.0000000000000497</v>
      </c>
      <c r="Q1321">
        <f t="shared" si="169"/>
        <v>7.0000000000000284</v>
      </c>
      <c r="R1321">
        <f t="shared" si="170"/>
        <v>6.9999999999999396</v>
      </c>
    </row>
    <row r="1322" spans="1:18">
      <c r="A1322" s="9">
        <v>38639</v>
      </c>
      <c r="B1322">
        <v>4.5599999999999996</v>
      </c>
      <c r="C1322">
        <v>4.67</v>
      </c>
      <c r="D1322">
        <v>4.72</v>
      </c>
      <c r="E1322">
        <v>4.76</v>
      </c>
      <c r="F1322">
        <v>4.8</v>
      </c>
      <c r="G1322">
        <v>4.8600000000000003</v>
      </c>
      <c r="H1322">
        <v>4.95</v>
      </c>
      <c r="I1322">
        <v>5.19</v>
      </c>
      <c r="K1322">
        <f t="shared" si="163"/>
        <v>-2.0000000000000462</v>
      </c>
      <c r="L1322">
        <f t="shared" si="164"/>
        <v>-0.99999999999997868</v>
      </c>
      <c r="M1322">
        <f t="shared" si="165"/>
        <v>-1.0000000000000675</v>
      </c>
      <c r="N1322">
        <f t="shared" si="166"/>
        <v>-0.99999999999997868</v>
      </c>
      <c r="O1322">
        <f t="shared" si="167"/>
        <v>-0.99999999999997868</v>
      </c>
      <c r="P1322">
        <f t="shared" si="168"/>
        <v>-0.99999999999997868</v>
      </c>
      <c r="Q1322">
        <f t="shared" si="169"/>
        <v>-0.99999999999997868</v>
      </c>
      <c r="R1322">
        <f t="shared" si="170"/>
        <v>1.0000000000000675</v>
      </c>
    </row>
    <row r="1323" spans="1:18">
      <c r="A1323" s="9">
        <v>38642</v>
      </c>
      <c r="B1323">
        <v>4.58</v>
      </c>
      <c r="C1323">
        <v>4.6900000000000004</v>
      </c>
      <c r="D1323">
        <v>4.74</v>
      </c>
      <c r="E1323">
        <v>4.78</v>
      </c>
      <c r="F1323">
        <v>4.82</v>
      </c>
      <c r="G1323">
        <v>4.88</v>
      </c>
      <c r="H1323">
        <v>4.96</v>
      </c>
      <c r="I1323">
        <v>5.18</v>
      </c>
      <c r="K1323">
        <f t="shared" si="163"/>
        <v>2.0000000000000462</v>
      </c>
      <c r="L1323">
        <f t="shared" si="164"/>
        <v>2.0000000000000462</v>
      </c>
      <c r="M1323">
        <f t="shared" si="165"/>
        <v>2.0000000000000462</v>
      </c>
      <c r="N1323">
        <f t="shared" si="166"/>
        <v>2.0000000000000462</v>
      </c>
      <c r="O1323">
        <f t="shared" si="167"/>
        <v>2.0000000000000462</v>
      </c>
      <c r="P1323">
        <f t="shared" si="168"/>
        <v>1.9999999999999574</v>
      </c>
      <c r="Q1323">
        <f t="shared" si="169"/>
        <v>0.99999999999997868</v>
      </c>
      <c r="R1323">
        <f t="shared" si="170"/>
        <v>-1.0000000000000675</v>
      </c>
    </row>
    <row r="1324" spans="1:18">
      <c r="A1324" s="9">
        <v>38643</v>
      </c>
      <c r="B1324">
        <v>4.57</v>
      </c>
      <c r="C1324">
        <v>4.67</v>
      </c>
      <c r="D1324">
        <v>4.72</v>
      </c>
      <c r="E1324">
        <v>4.76</v>
      </c>
      <c r="F1324">
        <v>4.8099999999999996</v>
      </c>
      <c r="G1324">
        <v>4.87</v>
      </c>
      <c r="H1324">
        <v>4.96</v>
      </c>
      <c r="I1324">
        <v>5.18</v>
      </c>
      <c r="K1324">
        <f t="shared" si="163"/>
        <v>-0.99999999999997868</v>
      </c>
      <c r="L1324">
        <f t="shared" si="164"/>
        <v>-2.0000000000000462</v>
      </c>
      <c r="M1324">
        <f t="shared" si="165"/>
        <v>-2.0000000000000462</v>
      </c>
      <c r="N1324">
        <f t="shared" si="166"/>
        <v>-2.0000000000000462</v>
      </c>
      <c r="O1324">
        <f t="shared" si="167"/>
        <v>-1.0000000000000675</v>
      </c>
      <c r="P1324">
        <f t="shared" si="168"/>
        <v>-0.99999999999997868</v>
      </c>
      <c r="Q1324">
        <f t="shared" si="169"/>
        <v>0</v>
      </c>
      <c r="R1324">
        <f t="shared" si="170"/>
        <v>0</v>
      </c>
    </row>
    <row r="1325" spans="1:18">
      <c r="A1325" s="9">
        <v>38644</v>
      </c>
      <c r="B1325">
        <v>4.5599999999999996</v>
      </c>
      <c r="C1325">
        <v>4.6399999999999997</v>
      </c>
      <c r="D1325">
        <v>4.68</v>
      </c>
      <c r="E1325">
        <v>4.72</v>
      </c>
      <c r="F1325">
        <v>4.76</v>
      </c>
      <c r="G1325">
        <v>4.83</v>
      </c>
      <c r="H1325">
        <v>4.92</v>
      </c>
      <c r="I1325">
        <v>5.15</v>
      </c>
      <c r="K1325">
        <f t="shared" si="163"/>
        <v>-1.0000000000000675</v>
      </c>
      <c r="L1325">
        <f t="shared" si="164"/>
        <v>-3.0000000000000249</v>
      </c>
      <c r="M1325">
        <f t="shared" si="165"/>
        <v>-4.0000000000000036</v>
      </c>
      <c r="N1325">
        <f t="shared" si="166"/>
        <v>-4.0000000000000036</v>
      </c>
      <c r="O1325">
        <f t="shared" si="167"/>
        <v>-4.9999999999999822</v>
      </c>
      <c r="P1325">
        <f t="shared" si="168"/>
        <v>-4.0000000000000036</v>
      </c>
      <c r="Q1325">
        <f t="shared" si="169"/>
        <v>-4.0000000000000036</v>
      </c>
      <c r="R1325">
        <f t="shared" si="170"/>
        <v>-2.9999999999999361</v>
      </c>
    </row>
    <row r="1326" spans="1:18">
      <c r="A1326" s="9">
        <v>38645</v>
      </c>
      <c r="B1326">
        <v>4.5999999999999996</v>
      </c>
      <c r="C1326">
        <v>4.68</v>
      </c>
      <c r="D1326">
        <v>4.7300000000000004</v>
      </c>
      <c r="E1326">
        <v>4.7699999999999996</v>
      </c>
      <c r="F1326">
        <v>4.8</v>
      </c>
      <c r="G1326">
        <v>4.87</v>
      </c>
      <c r="H1326">
        <v>4.96</v>
      </c>
      <c r="I1326">
        <v>5.19</v>
      </c>
      <c r="K1326">
        <f t="shared" si="163"/>
        <v>4.0000000000000036</v>
      </c>
      <c r="L1326">
        <f t="shared" si="164"/>
        <v>4.0000000000000036</v>
      </c>
      <c r="M1326">
        <f t="shared" si="165"/>
        <v>5.0000000000000711</v>
      </c>
      <c r="N1326">
        <f t="shared" si="166"/>
        <v>4.9999999999999822</v>
      </c>
      <c r="O1326">
        <f t="shared" si="167"/>
        <v>4.0000000000000036</v>
      </c>
      <c r="P1326">
        <f t="shared" si="168"/>
        <v>4.0000000000000036</v>
      </c>
      <c r="Q1326">
        <f t="shared" si="169"/>
        <v>4.0000000000000036</v>
      </c>
      <c r="R1326">
        <f t="shared" si="170"/>
        <v>4.0000000000000036</v>
      </c>
    </row>
    <row r="1327" spans="1:18">
      <c r="A1327" s="9">
        <v>38646</v>
      </c>
      <c r="B1327">
        <v>4.5599999999999996</v>
      </c>
      <c r="C1327">
        <v>4.63</v>
      </c>
      <c r="D1327">
        <v>4.67</v>
      </c>
      <c r="E1327">
        <v>4.7</v>
      </c>
      <c r="F1327">
        <v>4.7300000000000004</v>
      </c>
      <c r="G1327">
        <v>4.8</v>
      </c>
      <c r="H1327">
        <v>4.8899999999999997</v>
      </c>
      <c r="I1327">
        <v>5.12</v>
      </c>
      <c r="K1327">
        <f t="shared" si="163"/>
        <v>-4.0000000000000036</v>
      </c>
      <c r="L1327">
        <f t="shared" si="164"/>
        <v>-4.9999999999999822</v>
      </c>
      <c r="M1327">
        <f t="shared" si="165"/>
        <v>-6.0000000000000497</v>
      </c>
      <c r="N1327">
        <f t="shared" si="166"/>
        <v>-6.9999999999999396</v>
      </c>
      <c r="O1327">
        <f t="shared" si="167"/>
        <v>-6.9999999999999396</v>
      </c>
      <c r="P1327">
        <f t="shared" si="168"/>
        <v>-7.0000000000000284</v>
      </c>
      <c r="Q1327">
        <f t="shared" si="169"/>
        <v>-7.0000000000000284</v>
      </c>
      <c r="R1327">
        <f t="shared" si="170"/>
        <v>-7.0000000000000284</v>
      </c>
    </row>
    <row r="1328" spans="1:18">
      <c r="A1328" s="9">
        <v>38649</v>
      </c>
      <c r="B1328">
        <v>4.59</v>
      </c>
      <c r="C1328">
        <v>4.6500000000000004</v>
      </c>
      <c r="D1328">
        <v>4.6900000000000004</v>
      </c>
      <c r="E1328">
        <v>4.72</v>
      </c>
      <c r="F1328">
        <v>4.75</v>
      </c>
      <c r="G1328">
        <v>4.8099999999999996</v>
      </c>
      <c r="H1328">
        <v>4.8899999999999997</v>
      </c>
      <c r="I1328">
        <v>5.12</v>
      </c>
      <c r="K1328">
        <f t="shared" si="163"/>
        <v>3.0000000000000249</v>
      </c>
      <c r="L1328">
        <f t="shared" si="164"/>
        <v>2.0000000000000462</v>
      </c>
      <c r="M1328">
        <f t="shared" si="165"/>
        <v>2.0000000000000462</v>
      </c>
      <c r="N1328">
        <f t="shared" si="166"/>
        <v>1.9999999999999574</v>
      </c>
      <c r="O1328">
        <f t="shared" si="167"/>
        <v>1.9999999999999574</v>
      </c>
      <c r="P1328">
        <f t="shared" si="168"/>
        <v>0.99999999999997868</v>
      </c>
      <c r="Q1328">
        <f t="shared" si="169"/>
        <v>0</v>
      </c>
      <c r="R1328">
        <f t="shared" si="170"/>
        <v>0</v>
      </c>
    </row>
    <row r="1329" spans="1:18">
      <c r="A1329" s="9">
        <v>38650</v>
      </c>
      <c r="B1329">
        <v>4.6100000000000003</v>
      </c>
      <c r="C1329">
        <v>4.6900000000000004</v>
      </c>
      <c r="D1329">
        <v>4.7300000000000004</v>
      </c>
      <c r="E1329">
        <v>4.76</v>
      </c>
      <c r="F1329">
        <v>4.8</v>
      </c>
      <c r="G1329">
        <v>4.8499999999999996</v>
      </c>
      <c r="H1329">
        <v>4.93</v>
      </c>
      <c r="I1329">
        <v>5.15</v>
      </c>
      <c r="K1329">
        <f t="shared" si="163"/>
        <v>2.0000000000000462</v>
      </c>
      <c r="L1329">
        <f t="shared" si="164"/>
        <v>4.0000000000000036</v>
      </c>
      <c r="M1329">
        <f t="shared" si="165"/>
        <v>4.0000000000000036</v>
      </c>
      <c r="N1329">
        <f t="shared" si="166"/>
        <v>4.0000000000000036</v>
      </c>
      <c r="O1329">
        <f t="shared" si="167"/>
        <v>4.9999999999999822</v>
      </c>
      <c r="P1329">
        <f t="shared" si="168"/>
        <v>4.0000000000000036</v>
      </c>
      <c r="Q1329">
        <f t="shared" si="169"/>
        <v>4.0000000000000036</v>
      </c>
      <c r="R1329">
        <f t="shared" si="170"/>
        <v>3.0000000000000249</v>
      </c>
    </row>
    <row r="1330" spans="1:18">
      <c r="A1330" s="9">
        <v>38651</v>
      </c>
      <c r="B1330">
        <v>4.68</v>
      </c>
      <c r="C1330">
        <v>4.78</v>
      </c>
      <c r="D1330">
        <v>4.84</v>
      </c>
      <c r="E1330">
        <v>4.88</v>
      </c>
      <c r="F1330">
        <v>4.92</v>
      </c>
      <c r="G1330">
        <v>4.9800000000000004</v>
      </c>
      <c r="H1330">
        <v>5.07</v>
      </c>
      <c r="I1330">
        <v>5.29</v>
      </c>
      <c r="K1330">
        <f t="shared" si="163"/>
        <v>6.9999999999999396</v>
      </c>
      <c r="L1330">
        <f t="shared" si="164"/>
        <v>8.9999999999999858</v>
      </c>
      <c r="M1330">
        <f t="shared" si="165"/>
        <v>10.999999999999943</v>
      </c>
      <c r="N1330">
        <f t="shared" si="166"/>
        <v>12.000000000000011</v>
      </c>
      <c r="O1330">
        <f t="shared" si="167"/>
        <v>12.000000000000011</v>
      </c>
      <c r="P1330">
        <f t="shared" si="168"/>
        <v>13.000000000000078</v>
      </c>
      <c r="Q1330">
        <f t="shared" si="169"/>
        <v>14.000000000000057</v>
      </c>
      <c r="R1330">
        <f t="shared" si="170"/>
        <v>13.999999999999968</v>
      </c>
    </row>
    <row r="1331" spans="1:18">
      <c r="A1331" s="9">
        <v>38652</v>
      </c>
      <c r="B1331">
        <v>4.66</v>
      </c>
      <c r="C1331">
        <v>4.75</v>
      </c>
      <c r="D1331">
        <v>4.8099999999999996</v>
      </c>
      <c r="E1331">
        <v>4.8499999999999996</v>
      </c>
      <c r="F1331">
        <v>4.8899999999999997</v>
      </c>
      <c r="G1331">
        <v>4.96</v>
      </c>
      <c r="H1331">
        <v>5.05</v>
      </c>
      <c r="I1331">
        <v>5.27</v>
      </c>
      <c r="K1331">
        <f t="shared" si="163"/>
        <v>-1.9999999999999574</v>
      </c>
      <c r="L1331">
        <f t="shared" si="164"/>
        <v>-3.0000000000000249</v>
      </c>
      <c r="M1331">
        <f t="shared" si="165"/>
        <v>-3.0000000000000249</v>
      </c>
      <c r="N1331">
        <f t="shared" si="166"/>
        <v>-3.0000000000000249</v>
      </c>
      <c r="O1331">
        <f t="shared" si="167"/>
        <v>-3.0000000000000249</v>
      </c>
      <c r="P1331">
        <f t="shared" si="168"/>
        <v>-2.0000000000000462</v>
      </c>
      <c r="Q1331">
        <f t="shared" si="169"/>
        <v>-2.0000000000000462</v>
      </c>
      <c r="R1331">
        <f t="shared" si="170"/>
        <v>-2.0000000000000462</v>
      </c>
    </row>
    <row r="1332" spans="1:18">
      <c r="A1332" s="9">
        <v>38653</v>
      </c>
      <c r="B1332">
        <v>4.68</v>
      </c>
      <c r="C1332">
        <v>4.7699999999999996</v>
      </c>
      <c r="D1332">
        <v>4.82</v>
      </c>
      <c r="E1332">
        <v>4.8600000000000003</v>
      </c>
      <c r="F1332">
        <v>4.9000000000000004</v>
      </c>
      <c r="G1332">
        <v>4.96</v>
      </c>
      <c r="H1332">
        <v>5.05</v>
      </c>
      <c r="I1332">
        <v>5.28</v>
      </c>
      <c r="K1332">
        <f t="shared" si="163"/>
        <v>1.9999999999999574</v>
      </c>
      <c r="L1332">
        <f t="shared" si="164"/>
        <v>1.9999999999999574</v>
      </c>
      <c r="M1332">
        <f t="shared" si="165"/>
        <v>1.0000000000000675</v>
      </c>
      <c r="N1332">
        <f t="shared" si="166"/>
        <v>1.0000000000000675</v>
      </c>
      <c r="O1332">
        <f t="shared" si="167"/>
        <v>1.0000000000000675</v>
      </c>
      <c r="P1332">
        <f t="shared" si="168"/>
        <v>0</v>
      </c>
      <c r="Q1332">
        <f t="shared" si="169"/>
        <v>0</v>
      </c>
      <c r="R1332">
        <f t="shared" si="170"/>
        <v>1.0000000000000675</v>
      </c>
    </row>
    <row r="1333" spans="1:18">
      <c r="A1333" s="9">
        <v>38656</v>
      </c>
      <c r="B1333">
        <v>4.71</v>
      </c>
      <c r="C1333">
        <v>4.8</v>
      </c>
      <c r="D1333">
        <v>4.8499999999999996</v>
      </c>
      <c r="E1333">
        <v>4.88</v>
      </c>
      <c r="F1333">
        <v>4.92</v>
      </c>
      <c r="G1333">
        <v>4.9800000000000004</v>
      </c>
      <c r="H1333">
        <v>5.05</v>
      </c>
      <c r="I1333">
        <v>5.27</v>
      </c>
      <c r="K1333">
        <f t="shared" si="163"/>
        <v>3.0000000000000249</v>
      </c>
      <c r="L1333">
        <f t="shared" si="164"/>
        <v>3.0000000000000249</v>
      </c>
      <c r="M1333">
        <f t="shared" si="165"/>
        <v>2.9999999999999361</v>
      </c>
      <c r="N1333">
        <f t="shared" si="166"/>
        <v>1.9999999999999574</v>
      </c>
      <c r="O1333">
        <f t="shared" si="167"/>
        <v>1.9999999999999574</v>
      </c>
      <c r="P1333">
        <f t="shared" si="168"/>
        <v>2.0000000000000462</v>
      </c>
      <c r="Q1333">
        <f t="shared" si="169"/>
        <v>0</v>
      </c>
      <c r="R1333">
        <f t="shared" si="170"/>
        <v>-1.0000000000000675</v>
      </c>
    </row>
    <row r="1334" spans="1:18">
      <c r="A1334" s="9">
        <v>38657</v>
      </c>
      <c r="B1334">
        <v>4.7300000000000004</v>
      </c>
      <c r="C1334">
        <v>4.83</v>
      </c>
      <c r="D1334">
        <v>4.88</v>
      </c>
      <c r="E1334">
        <v>4.92</v>
      </c>
      <c r="F1334">
        <v>4.96</v>
      </c>
      <c r="G1334">
        <v>5.01</v>
      </c>
      <c r="H1334">
        <v>5.0999999999999996</v>
      </c>
      <c r="I1334">
        <v>5.3</v>
      </c>
      <c r="K1334">
        <f t="shared" si="163"/>
        <v>2.0000000000000462</v>
      </c>
      <c r="L1334">
        <f t="shared" si="164"/>
        <v>3.0000000000000249</v>
      </c>
      <c r="M1334">
        <f t="shared" si="165"/>
        <v>3.0000000000000249</v>
      </c>
      <c r="N1334">
        <f t="shared" si="166"/>
        <v>4.0000000000000036</v>
      </c>
      <c r="O1334">
        <f t="shared" si="167"/>
        <v>4.0000000000000036</v>
      </c>
      <c r="P1334">
        <f t="shared" si="168"/>
        <v>2.9999999999999361</v>
      </c>
      <c r="Q1334">
        <f t="shared" si="169"/>
        <v>4.9999999999999822</v>
      </c>
      <c r="R1334">
        <f t="shared" si="170"/>
        <v>3.0000000000000249</v>
      </c>
    </row>
    <row r="1335" spans="1:18">
      <c r="A1335" s="9">
        <v>38658</v>
      </c>
      <c r="B1335">
        <v>4.76</v>
      </c>
      <c r="C1335">
        <v>4.8499999999999996</v>
      </c>
      <c r="D1335">
        <v>4.9000000000000004</v>
      </c>
      <c r="E1335">
        <v>4.9400000000000004</v>
      </c>
      <c r="F1335">
        <v>4.9800000000000004</v>
      </c>
      <c r="G1335">
        <v>5.04</v>
      </c>
      <c r="H1335">
        <v>5.12</v>
      </c>
      <c r="I1335">
        <v>5.32</v>
      </c>
      <c r="K1335">
        <f t="shared" si="163"/>
        <v>2.9999999999999361</v>
      </c>
      <c r="L1335">
        <f t="shared" si="164"/>
        <v>1.9999999999999574</v>
      </c>
      <c r="M1335">
        <f t="shared" si="165"/>
        <v>2.0000000000000462</v>
      </c>
      <c r="N1335">
        <f t="shared" si="166"/>
        <v>2.0000000000000462</v>
      </c>
      <c r="O1335">
        <f t="shared" si="167"/>
        <v>2.0000000000000462</v>
      </c>
      <c r="P1335">
        <f t="shared" si="168"/>
        <v>3.0000000000000249</v>
      </c>
      <c r="Q1335">
        <f t="shared" si="169"/>
        <v>2.0000000000000462</v>
      </c>
      <c r="R1335">
        <f t="shared" si="170"/>
        <v>2.0000000000000462</v>
      </c>
    </row>
    <row r="1336" spans="1:18">
      <c r="A1336" s="9">
        <v>38659</v>
      </c>
      <c r="B1336">
        <v>4.79</v>
      </c>
      <c r="C1336">
        <v>4.8899999999999997</v>
      </c>
      <c r="D1336">
        <v>4.95</v>
      </c>
      <c r="E1336">
        <v>5</v>
      </c>
      <c r="F1336">
        <v>5.05</v>
      </c>
      <c r="G1336">
        <v>5.0999999999999996</v>
      </c>
      <c r="H1336">
        <v>5.19</v>
      </c>
      <c r="I1336">
        <v>5.39</v>
      </c>
      <c r="K1336">
        <f t="shared" si="163"/>
        <v>3.0000000000000249</v>
      </c>
      <c r="L1336">
        <f t="shared" si="164"/>
        <v>4.0000000000000036</v>
      </c>
      <c r="M1336">
        <f t="shared" si="165"/>
        <v>4.9999999999999822</v>
      </c>
      <c r="N1336">
        <f t="shared" si="166"/>
        <v>5.9999999999999609</v>
      </c>
      <c r="O1336">
        <f t="shared" si="167"/>
        <v>6.9999999999999396</v>
      </c>
      <c r="P1336">
        <f t="shared" si="168"/>
        <v>5.9999999999999609</v>
      </c>
      <c r="Q1336">
        <f t="shared" si="169"/>
        <v>7.0000000000000284</v>
      </c>
      <c r="R1336">
        <f t="shared" si="170"/>
        <v>6.9999999999999396</v>
      </c>
    </row>
    <row r="1337" spans="1:18">
      <c r="A1337" s="9">
        <v>38660</v>
      </c>
      <c r="B1337">
        <v>4.82</v>
      </c>
      <c r="C1337">
        <v>4.93</v>
      </c>
      <c r="D1337">
        <v>4.99</v>
      </c>
      <c r="E1337">
        <v>5.03</v>
      </c>
      <c r="F1337">
        <v>5.08</v>
      </c>
      <c r="G1337">
        <v>5.14</v>
      </c>
      <c r="H1337">
        <v>5.23</v>
      </c>
      <c r="I1337">
        <v>5.42</v>
      </c>
      <c r="K1337">
        <f t="shared" si="163"/>
        <v>3.0000000000000249</v>
      </c>
      <c r="L1337">
        <f t="shared" si="164"/>
        <v>4.0000000000000036</v>
      </c>
      <c r="M1337">
        <f t="shared" si="165"/>
        <v>4.0000000000000036</v>
      </c>
      <c r="N1337">
        <f t="shared" si="166"/>
        <v>3.0000000000000249</v>
      </c>
      <c r="O1337">
        <f t="shared" si="167"/>
        <v>3.0000000000000249</v>
      </c>
      <c r="P1337">
        <f t="shared" si="168"/>
        <v>4.0000000000000036</v>
      </c>
      <c r="Q1337">
        <f t="shared" si="169"/>
        <v>4.0000000000000036</v>
      </c>
      <c r="R1337">
        <f t="shared" si="170"/>
        <v>3.0000000000000249</v>
      </c>
    </row>
    <row r="1338" spans="1:18">
      <c r="A1338" s="9">
        <v>38663</v>
      </c>
      <c r="B1338">
        <v>4.8</v>
      </c>
      <c r="C1338">
        <v>4.91</v>
      </c>
      <c r="D1338">
        <v>4.96</v>
      </c>
      <c r="E1338">
        <v>5</v>
      </c>
      <c r="F1338">
        <v>5.04</v>
      </c>
      <c r="G1338">
        <v>5.0999999999999996</v>
      </c>
      <c r="H1338">
        <v>5.18</v>
      </c>
      <c r="I1338">
        <v>5.38</v>
      </c>
      <c r="K1338">
        <f t="shared" si="163"/>
        <v>-2.0000000000000462</v>
      </c>
      <c r="L1338">
        <f t="shared" si="164"/>
        <v>-1.9999999999999574</v>
      </c>
      <c r="M1338">
        <f t="shared" si="165"/>
        <v>-3.0000000000000249</v>
      </c>
      <c r="N1338">
        <f t="shared" si="166"/>
        <v>-3.0000000000000249</v>
      </c>
      <c r="O1338">
        <f t="shared" si="167"/>
        <v>-4.0000000000000036</v>
      </c>
      <c r="P1338">
        <f t="shared" si="168"/>
        <v>-4.0000000000000036</v>
      </c>
      <c r="Q1338">
        <f t="shared" si="169"/>
        <v>-5.0000000000000711</v>
      </c>
      <c r="R1338">
        <f t="shared" si="170"/>
        <v>-4.0000000000000036</v>
      </c>
    </row>
    <row r="1339" spans="1:18">
      <c r="A1339" s="9">
        <v>38664</v>
      </c>
      <c r="B1339">
        <v>4.7699999999999996</v>
      </c>
      <c r="C1339">
        <v>4.8499999999999996</v>
      </c>
      <c r="D1339">
        <v>4.8899999999999997</v>
      </c>
      <c r="E1339">
        <v>4.93</v>
      </c>
      <c r="F1339">
        <v>4.96</v>
      </c>
      <c r="G1339">
        <v>5.0199999999999996</v>
      </c>
      <c r="H1339">
        <v>5.0999999999999996</v>
      </c>
      <c r="I1339">
        <v>5.3</v>
      </c>
      <c r="K1339">
        <f t="shared" si="163"/>
        <v>-3.0000000000000249</v>
      </c>
      <c r="L1339">
        <f t="shared" si="164"/>
        <v>-6.0000000000000497</v>
      </c>
      <c r="M1339">
        <f t="shared" si="165"/>
        <v>-7.0000000000000284</v>
      </c>
      <c r="N1339">
        <f t="shared" si="166"/>
        <v>-7.0000000000000284</v>
      </c>
      <c r="O1339">
        <f t="shared" si="167"/>
        <v>-8.0000000000000071</v>
      </c>
      <c r="P1339">
        <f t="shared" si="168"/>
        <v>-8.0000000000000071</v>
      </c>
      <c r="Q1339">
        <f t="shared" si="169"/>
        <v>-8.0000000000000071</v>
      </c>
      <c r="R1339">
        <f t="shared" si="170"/>
        <v>-8.0000000000000071</v>
      </c>
    </row>
    <row r="1340" spans="1:18">
      <c r="A1340" s="9">
        <v>38665</v>
      </c>
      <c r="B1340">
        <v>4.8099999999999996</v>
      </c>
      <c r="C1340">
        <v>4.9000000000000004</v>
      </c>
      <c r="D1340">
        <v>4.95</v>
      </c>
      <c r="E1340">
        <v>4.99</v>
      </c>
      <c r="F1340">
        <v>5.0199999999999996</v>
      </c>
      <c r="G1340">
        <v>5.08</v>
      </c>
      <c r="H1340">
        <v>5.16</v>
      </c>
      <c r="I1340">
        <v>5.37</v>
      </c>
      <c r="K1340">
        <f t="shared" si="163"/>
        <v>4.0000000000000036</v>
      </c>
      <c r="L1340">
        <f t="shared" si="164"/>
        <v>5.0000000000000711</v>
      </c>
      <c r="M1340">
        <f t="shared" si="165"/>
        <v>6.0000000000000497</v>
      </c>
      <c r="N1340">
        <f t="shared" si="166"/>
        <v>6.0000000000000497</v>
      </c>
      <c r="O1340">
        <f t="shared" si="167"/>
        <v>5.9999999999999609</v>
      </c>
      <c r="P1340">
        <f t="shared" si="168"/>
        <v>6.0000000000000497</v>
      </c>
      <c r="Q1340">
        <f t="shared" si="169"/>
        <v>6.0000000000000497</v>
      </c>
      <c r="R1340">
        <f t="shared" si="170"/>
        <v>7.0000000000000284</v>
      </c>
    </row>
    <row r="1341" spans="1:18">
      <c r="A1341" s="9">
        <v>38666</v>
      </c>
      <c r="B1341">
        <v>4.8099999999999996</v>
      </c>
      <c r="C1341">
        <v>4.9000000000000004</v>
      </c>
      <c r="D1341">
        <v>4.9400000000000004</v>
      </c>
      <c r="E1341">
        <v>4.97</v>
      </c>
      <c r="F1341">
        <v>5.01</v>
      </c>
      <c r="G1341">
        <v>5.07</v>
      </c>
      <c r="H1341">
        <v>5.15</v>
      </c>
      <c r="I1341">
        <v>5.34</v>
      </c>
      <c r="K1341">
        <f t="shared" si="163"/>
        <v>0</v>
      </c>
      <c r="L1341">
        <f t="shared" si="164"/>
        <v>0</v>
      </c>
      <c r="M1341">
        <f t="shared" si="165"/>
        <v>-0.99999999999997868</v>
      </c>
      <c r="N1341">
        <f t="shared" si="166"/>
        <v>-2.0000000000000462</v>
      </c>
      <c r="O1341">
        <f t="shared" si="167"/>
        <v>-0.99999999999997868</v>
      </c>
      <c r="P1341">
        <f t="shared" si="168"/>
        <v>-0.99999999999997868</v>
      </c>
      <c r="Q1341">
        <f t="shared" si="169"/>
        <v>-0.99999999999997868</v>
      </c>
      <c r="R1341">
        <f t="shared" si="170"/>
        <v>-3.0000000000000249</v>
      </c>
    </row>
    <row r="1342" spans="1:18">
      <c r="A1342" s="9">
        <v>38670</v>
      </c>
      <c r="B1342">
        <v>4.82</v>
      </c>
      <c r="C1342">
        <v>4.9000000000000004</v>
      </c>
      <c r="D1342">
        <v>4.9400000000000004</v>
      </c>
      <c r="E1342">
        <v>4.97</v>
      </c>
      <c r="F1342">
        <v>5</v>
      </c>
      <c r="G1342">
        <v>5.05</v>
      </c>
      <c r="H1342">
        <v>5.13</v>
      </c>
      <c r="I1342">
        <v>5.31</v>
      </c>
      <c r="K1342">
        <f t="shared" si="163"/>
        <v>1.0000000000000675</v>
      </c>
      <c r="L1342">
        <f t="shared" si="164"/>
        <v>0</v>
      </c>
      <c r="M1342">
        <f t="shared" si="165"/>
        <v>0</v>
      </c>
      <c r="N1342">
        <f t="shared" si="166"/>
        <v>0</v>
      </c>
      <c r="O1342">
        <f t="shared" si="167"/>
        <v>-0.99999999999997868</v>
      </c>
      <c r="P1342">
        <f t="shared" si="168"/>
        <v>-2.0000000000000462</v>
      </c>
      <c r="Q1342">
        <f t="shared" si="169"/>
        <v>-2.0000000000000462</v>
      </c>
      <c r="R1342">
        <f t="shared" si="170"/>
        <v>-3.0000000000000249</v>
      </c>
    </row>
    <row r="1343" spans="1:18">
      <c r="A1343" s="9">
        <v>38671</v>
      </c>
      <c r="B1343">
        <v>4.83</v>
      </c>
      <c r="C1343">
        <v>4.91</v>
      </c>
      <c r="D1343">
        <v>4.9400000000000004</v>
      </c>
      <c r="E1343">
        <v>4.97</v>
      </c>
      <c r="F1343">
        <v>5</v>
      </c>
      <c r="G1343">
        <v>5.05</v>
      </c>
      <c r="H1343">
        <v>5.12</v>
      </c>
      <c r="I1343">
        <v>5.29</v>
      </c>
      <c r="K1343">
        <f t="shared" si="163"/>
        <v>0.99999999999997868</v>
      </c>
      <c r="L1343">
        <f t="shared" si="164"/>
        <v>0.99999999999997868</v>
      </c>
      <c r="M1343">
        <f t="shared" si="165"/>
        <v>0</v>
      </c>
      <c r="N1343">
        <f t="shared" si="166"/>
        <v>0</v>
      </c>
      <c r="O1343">
        <f t="shared" si="167"/>
        <v>0</v>
      </c>
      <c r="P1343">
        <f t="shared" si="168"/>
        <v>0</v>
      </c>
      <c r="Q1343">
        <f t="shared" si="169"/>
        <v>-0.99999999999997868</v>
      </c>
      <c r="R1343">
        <f t="shared" si="170"/>
        <v>-1.9999999999999574</v>
      </c>
    </row>
    <row r="1344" spans="1:18">
      <c r="A1344" s="9">
        <v>38672</v>
      </c>
      <c r="B1344">
        <v>4.8</v>
      </c>
      <c r="C1344">
        <v>4.8499999999999996</v>
      </c>
      <c r="D1344">
        <v>4.87</v>
      </c>
      <c r="E1344">
        <v>4.9000000000000004</v>
      </c>
      <c r="F1344">
        <v>4.92</v>
      </c>
      <c r="G1344">
        <v>4.97</v>
      </c>
      <c r="H1344">
        <v>5.04</v>
      </c>
      <c r="I1344">
        <v>5.23</v>
      </c>
      <c r="K1344">
        <f t="shared" si="163"/>
        <v>-3.0000000000000249</v>
      </c>
      <c r="L1344">
        <f t="shared" si="164"/>
        <v>-6.0000000000000497</v>
      </c>
      <c r="M1344">
        <f t="shared" si="165"/>
        <v>-7.0000000000000284</v>
      </c>
      <c r="N1344">
        <f t="shared" si="166"/>
        <v>-6.9999999999999396</v>
      </c>
      <c r="O1344">
        <f t="shared" si="167"/>
        <v>-8.0000000000000071</v>
      </c>
      <c r="P1344">
        <f t="shared" si="168"/>
        <v>-8.0000000000000071</v>
      </c>
      <c r="Q1344">
        <f t="shared" si="169"/>
        <v>-8.0000000000000071</v>
      </c>
      <c r="R1344">
        <f t="shared" si="170"/>
        <v>-5.9999999999999609</v>
      </c>
    </row>
    <row r="1345" spans="1:18">
      <c r="A1345" s="9">
        <v>38673</v>
      </c>
      <c r="B1345">
        <v>4.8</v>
      </c>
      <c r="C1345">
        <v>4.83</v>
      </c>
      <c r="D1345">
        <v>4.8600000000000003</v>
      </c>
      <c r="E1345">
        <v>4.88</v>
      </c>
      <c r="F1345">
        <v>4.91</v>
      </c>
      <c r="G1345">
        <v>4.95</v>
      </c>
      <c r="H1345">
        <v>5.0199999999999996</v>
      </c>
      <c r="I1345">
        <v>5.2</v>
      </c>
      <c r="K1345">
        <f t="shared" si="163"/>
        <v>0</v>
      </c>
      <c r="L1345">
        <f t="shared" si="164"/>
        <v>-1.9999999999999574</v>
      </c>
      <c r="M1345">
        <f t="shared" si="165"/>
        <v>-0.99999999999997868</v>
      </c>
      <c r="N1345">
        <f t="shared" si="166"/>
        <v>-2.0000000000000462</v>
      </c>
      <c r="O1345">
        <f t="shared" si="167"/>
        <v>-0.99999999999997868</v>
      </c>
      <c r="P1345">
        <f t="shared" si="168"/>
        <v>-1.9999999999999574</v>
      </c>
      <c r="Q1345">
        <f t="shared" si="169"/>
        <v>-2.0000000000000462</v>
      </c>
      <c r="R1345">
        <f t="shared" si="170"/>
        <v>-3.0000000000000249</v>
      </c>
    </row>
    <row r="1346" spans="1:18">
      <c r="A1346" s="9">
        <v>38674</v>
      </c>
      <c r="B1346">
        <v>4.79</v>
      </c>
      <c r="C1346">
        <v>4.82</v>
      </c>
      <c r="D1346">
        <v>4.8499999999999996</v>
      </c>
      <c r="E1346">
        <v>4.88</v>
      </c>
      <c r="F1346">
        <v>4.91</v>
      </c>
      <c r="G1346">
        <v>4.96</v>
      </c>
      <c r="H1346">
        <v>5.04</v>
      </c>
      <c r="I1346">
        <v>5.22</v>
      </c>
      <c r="K1346">
        <f t="shared" si="163"/>
        <v>-0.99999999999997868</v>
      </c>
      <c r="L1346">
        <f t="shared" si="164"/>
        <v>-0.99999999999997868</v>
      </c>
      <c r="M1346">
        <f t="shared" si="165"/>
        <v>-1.0000000000000675</v>
      </c>
      <c r="N1346">
        <f t="shared" si="166"/>
        <v>0</v>
      </c>
      <c r="O1346">
        <f t="shared" si="167"/>
        <v>0</v>
      </c>
      <c r="P1346">
        <f t="shared" si="168"/>
        <v>0.99999999999997868</v>
      </c>
      <c r="Q1346">
        <f t="shared" si="169"/>
        <v>2.0000000000000462</v>
      </c>
      <c r="R1346">
        <f t="shared" si="170"/>
        <v>1.9999999999999574</v>
      </c>
    </row>
    <row r="1347" spans="1:18">
      <c r="A1347" s="9">
        <v>38677</v>
      </c>
      <c r="B1347">
        <v>4.7699999999999996</v>
      </c>
      <c r="C1347">
        <v>4.79</v>
      </c>
      <c r="D1347">
        <v>4.8099999999999996</v>
      </c>
      <c r="E1347">
        <v>4.84</v>
      </c>
      <c r="F1347">
        <v>4.87</v>
      </c>
      <c r="G1347">
        <v>4.92</v>
      </c>
      <c r="H1347">
        <v>5</v>
      </c>
      <c r="I1347">
        <v>5.18</v>
      </c>
      <c r="K1347">
        <f t="shared" si="163"/>
        <v>-2.0000000000000462</v>
      </c>
      <c r="L1347">
        <f t="shared" si="164"/>
        <v>-3.0000000000000249</v>
      </c>
      <c r="M1347">
        <f t="shared" si="165"/>
        <v>-4.0000000000000036</v>
      </c>
      <c r="N1347">
        <f t="shared" si="166"/>
        <v>-4.0000000000000036</v>
      </c>
      <c r="O1347">
        <f t="shared" si="167"/>
        <v>-4.0000000000000036</v>
      </c>
      <c r="P1347">
        <f t="shared" si="168"/>
        <v>-4.0000000000000036</v>
      </c>
      <c r="Q1347">
        <f t="shared" si="169"/>
        <v>-4.0000000000000036</v>
      </c>
      <c r="R1347">
        <f t="shared" si="170"/>
        <v>-4.0000000000000036</v>
      </c>
    </row>
    <row r="1348" spans="1:18">
      <c r="A1348" s="9">
        <v>38678</v>
      </c>
      <c r="B1348">
        <v>4.79</v>
      </c>
      <c r="C1348">
        <v>4.8</v>
      </c>
      <c r="D1348">
        <v>4.82</v>
      </c>
      <c r="E1348">
        <v>4.8499999999999996</v>
      </c>
      <c r="F1348">
        <v>4.88</v>
      </c>
      <c r="G1348">
        <v>4.93</v>
      </c>
      <c r="H1348">
        <v>5</v>
      </c>
      <c r="I1348">
        <v>5.19</v>
      </c>
      <c r="K1348">
        <f t="shared" si="163"/>
        <v>2.0000000000000462</v>
      </c>
      <c r="L1348">
        <f t="shared" si="164"/>
        <v>0.99999999999997868</v>
      </c>
      <c r="M1348">
        <f t="shared" si="165"/>
        <v>1.0000000000000675</v>
      </c>
      <c r="N1348">
        <f t="shared" si="166"/>
        <v>0.99999999999997868</v>
      </c>
      <c r="O1348">
        <f t="shared" si="167"/>
        <v>0.99999999999997868</v>
      </c>
      <c r="P1348">
        <f t="shared" si="168"/>
        <v>0.99999999999997868</v>
      </c>
      <c r="Q1348">
        <f t="shared" si="169"/>
        <v>0</v>
      </c>
      <c r="R1348">
        <f t="shared" si="170"/>
        <v>1.0000000000000675</v>
      </c>
    </row>
    <row r="1349" spans="1:18">
      <c r="A1349" s="9">
        <v>38679</v>
      </c>
      <c r="B1349">
        <v>4.74</v>
      </c>
      <c r="C1349">
        <v>4.76</v>
      </c>
      <c r="D1349">
        <v>4.78</v>
      </c>
      <c r="E1349">
        <v>4.8099999999999996</v>
      </c>
      <c r="F1349">
        <v>4.84</v>
      </c>
      <c r="G1349">
        <v>4.9000000000000004</v>
      </c>
      <c r="H1349">
        <v>4.9800000000000004</v>
      </c>
      <c r="I1349">
        <v>5.19</v>
      </c>
      <c r="K1349">
        <f t="shared" ref="K1349:K1412" si="171">(B1349-B1348)*100</f>
        <v>-4.9999999999999822</v>
      </c>
      <c r="L1349">
        <f t="shared" ref="L1349:L1412" si="172">(C1349-C1348)*100</f>
        <v>-4.0000000000000036</v>
      </c>
      <c r="M1349">
        <f t="shared" ref="M1349:M1412" si="173">(D1349-D1348)*100</f>
        <v>-4.0000000000000036</v>
      </c>
      <c r="N1349">
        <f t="shared" ref="N1349:N1412" si="174">(E1349-E1348)*100</f>
        <v>-4.0000000000000036</v>
      </c>
      <c r="O1349">
        <f t="shared" ref="O1349:O1412" si="175">(F1349-F1348)*100</f>
        <v>-4.0000000000000036</v>
      </c>
      <c r="P1349">
        <f t="shared" ref="P1349:P1412" si="176">(G1349-G1348)*100</f>
        <v>-2.9999999999999361</v>
      </c>
      <c r="Q1349">
        <f t="shared" ref="Q1349:Q1412" si="177">(H1349-H1348)*100</f>
        <v>-1.9999999999999574</v>
      </c>
      <c r="R1349">
        <f t="shared" ref="R1349:R1412" si="178">(I1349-I1348)*100</f>
        <v>0</v>
      </c>
    </row>
    <row r="1350" spans="1:18">
      <c r="A1350" s="9">
        <v>38681</v>
      </c>
      <c r="B1350">
        <v>4.74</v>
      </c>
      <c r="C1350">
        <v>4.75</v>
      </c>
      <c r="D1350">
        <v>4.7699999999999996</v>
      </c>
      <c r="E1350">
        <v>4.8</v>
      </c>
      <c r="F1350">
        <v>4.83</v>
      </c>
      <c r="G1350">
        <v>4.8899999999999997</v>
      </c>
      <c r="H1350">
        <v>4.9800000000000004</v>
      </c>
      <c r="I1350">
        <v>5.19</v>
      </c>
      <c r="K1350">
        <f t="shared" si="171"/>
        <v>0</v>
      </c>
      <c r="L1350">
        <f t="shared" si="172"/>
        <v>-0.99999999999997868</v>
      </c>
      <c r="M1350">
        <f t="shared" si="173"/>
        <v>-1.0000000000000675</v>
      </c>
      <c r="N1350">
        <f t="shared" si="174"/>
        <v>-0.99999999999997868</v>
      </c>
      <c r="O1350">
        <f t="shared" si="175"/>
        <v>-0.99999999999997868</v>
      </c>
      <c r="P1350">
        <f t="shared" si="176"/>
        <v>-1.0000000000000675</v>
      </c>
      <c r="Q1350">
        <f t="shared" si="177"/>
        <v>0</v>
      </c>
      <c r="R1350">
        <f t="shared" si="178"/>
        <v>0</v>
      </c>
    </row>
    <row r="1351" spans="1:18">
      <c r="A1351" s="9">
        <v>38684</v>
      </c>
      <c r="B1351">
        <v>4.75</v>
      </c>
      <c r="C1351">
        <v>4.75</v>
      </c>
      <c r="D1351">
        <v>4.7699999999999996</v>
      </c>
      <c r="E1351">
        <v>4.79</v>
      </c>
      <c r="F1351">
        <v>4.82</v>
      </c>
      <c r="G1351">
        <v>4.87</v>
      </c>
      <c r="H1351">
        <v>4.9400000000000004</v>
      </c>
      <c r="I1351">
        <v>5.14</v>
      </c>
      <c r="K1351">
        <f t="shared" si="171"/>
        <v>0.99999999999997868</v>
      </c>
      <c r="L1351">
        <f t="shared" si="172"/>
        <v>0</v>
      </c>
      <c r="M1351">
        <f t="shared" si="173"/>
        <v>0</v>
      </c>
      <c r="N1351">
        <f t="shared" si="174"/>
        <v>-0.99999999999997868</v>
      </c>
      <c r="O1351">
        <f t="shared" si="175"/>
        <v>-0.99999999999997868</v>
      </c>
      <c r="P1351">
        <f t="shared" si="176"/>
        <v>-1.9999999999999574</v>
      </c>
      <c r="Q1351">
        <f t="shared" si="177"/>
        <v>-4.0000000000000036</v>
      </c>
      <c r="R1351">
        <f t="shared" si="178"/>
        <v>-5.0000000000000711</v>
      </c>
    </row>
    <row r="1352" spans="1:18">
      <c r="A1352" s="9">
        <v>38685</v>
      </c>
      <c r="B1352">
        <v>4.79</v>
      </c>
      <c r="C1352">
        <v>4.8</v>
      </c>
      <c r="D1352">
        <v>4.82</v>
      </c>
      <c r="E1352">
        <v>4.8499999999999996</v>
      </c>
      <c r="F1352">
        <v>4.88</v>
      </c>
      <c r="G1352">
        <v>4.92</v>
      </c>
      <c r="H1352">
        <v>5</v>
      </c>
      <c r="I1352">
        <v>5.2</v>
      </c>
      <c r="K1352">
        <f t="shared" si="171"/>
        <v>4.0000000000000036</v>
      </c>
      <c r="L1352">
        <f t="shared" si="172"/>
        <v>4.9999999999999822</v>
      </c>
      <c r="M1352">
        <f t="shared" si="173"/>
        <v>5.0000000000000711</v>
      </c>
      <c r="N1352">
        <f t="shared" si="174"/>
        <v>5.9999999999999609</v>
      </c>
      <c r="O1352">
        <f t="shared" si="175"/>
        <v>5.9999999999999609</v>
      </c>
      <c r="P1352">
        <f t="shared" si="176"/>
        <v>4.9999999999999822</v>
      </c>
      <c r="Q1352">
        <f t="shared" si="177"/>
        <v>5.9999999999999609</v>
      </c>
      <c r="R1352">
        <f t="shared" si="178"/>
        <v>6.0000000000000497</v>
      </c>
    </row>
    <row r="1353" spans="1:18">
      <c r="A1353" s="9">
        <v>38686</v>
      </c>
      <c r="B1353">
        <v>4.8</v>
      </c>
      <c r="C1353">
        <v>4.82</v>
      </c>
      <c r="D1353">
        <v>4.8499999999999996</v>
      </c>
      <c r="E1353">
        <v>4.88</v>
      </c>
      <c r="F1353">
        <v>4.91</v>
      </c>
      <c r="G1353">
        <v>4.96</v>
      </c>
      <c r="H1353">
        <v>5.03</v>
      </c>
      <c r="I1353">
        <v>5.23</v>
      </c>
      <c r="K1353">
        <f t="shared" si="171"/>
        <v>0.99999999999997868</v>
      </c>
      <c r="L1353">
        <f t="shared" si="172"/>
        <v>2.0000000000000462</v>
      </c>
      <c r="M1353">
        <f t="shared" si="173"/>
        <v>2.9999999999999361</v>
      </c>
      <c r="N1353">
        <f t="shared" si="174"/>
        <v>3.0000000000000249</v>
      </c>
      <c r="O1353">
        <f t="shared" si="175"/>
        <v>3.0000000000000249</v>
      </c>
      <c r="P1353">
        <f t="shared" si="176"/>
        <v>4.0000000000000036</v>
      </c>
      <c r="Q1353">
        <f t="shared" si="177"/>
        <v>3.0000000000000249</v>
      </c>
      <c r="R1353">
        <f t="shared" si="178"/>
        <v>3.0000000000000249</v>
      </c>
    </row>
    <row r="1354" spans="1:18">
      <c r="A1354" s="9">
        <v>38687</v>
      </c>
      <c r="B1354">
        <v>4.83</v>
      </c>
      <c r="C1354">
        <v>4.87</v>
      </c>
      <c r="D1354">
        <v>4.8899999999999997</v>
      </c>
      <c r="E1354">
        <v>4.92</v>
      </c>
      <c r="F1354">
        <v>4.95</v>
      </c>
      <c r="G1354">
        <v>4.99</v>
      </c>
      <c r="H1354">
        <v>5.0599999999999996</v>
      </c>
      <c r="I1354">
        <v>5.25</v>
      </c>
      <c r="K1354">
        <f t="shared" si="171"/>
        <v>3.0000000000000249</v>
      </c>
      <c r="L1354">
        <f t="shared" si="172"/>
        <v>4.9999999999999822</v>
      </c>
      <c r="M1354">
        <f t="shared" si="173"/>
        <v>4.0000000000000036</v>
      </c>
      <c r="N1354">
        <f t="shared" si="174"/>
        <v>4.0000000000000036</v>
      </c>
      <c r="O1354">
        <f t="shared" si="175"/>
        <v>4.0000000000000036</v>
      </c>
      <c r="P1354">
        <f t="shared" si="176"/>
        <v>3.0000000000000249</v>
      </c>
      <c r="Q1354">
        <f t="shared" si="177"/>
        <v>2.9999999999999361</v>
      </c>
      <c r="R1354">
        <f t="shared" si="178"/>
        <v>1.9999999999999574</v>
      </c>
    </row>
    <row r="1355" spans="1:18">
      <c r="A1355" s="9">
        <v>38688</v>
      </c>
      <c r="B1355">
        <v>4.8499999999999996</v>
      </c>
      <c r="C1355">
        <v>4.8899999999999997</v>
      </c>
      <c r="D1355">
        <v>4.91</v>
      </c>
      <c r="E1355">
        <v>4.95</v>
      </c>
      <c r="F1355">
        <v>4.9800000000000004</v>
      </c>
      <c r="G1355">
        <v>5.03</v>
      </c>
      <c r="H1355">
        <v>5.0999999999999996</v>
      </c>
      <c r="I1355">
        <v>5.28</v>
      </c>
      <c r="K1355">
        <f t="shared" si="171"/>
        <v>1.9999999999999574</v>
      </c>
      <c r="L1355">
        <f t="shared" si="172"/>
        <v>1.9999999999999574</v>
      </c>
      <c r="M1355">
        <f t="shared" si="173"/>
        <v>2.0000000000000462</v>
      </c>
      <c r="N1355">
        <f t="shared" si="174"/>
        <v>3.0000000000000249</v>
      </c>
      <c r="O1355">
        <f t="shared" si="175"/>
        <v>3.0000000000000249</v>
      </c>
      <c r="P1355">
        <f t="shared" si="176"/>
        <v>4.0000000000000036</v>
      </c>
      <c r="Q1355">
        <f t="shared" si="177"/>
        <v>4.0000000000000036</v>
      </c>
      <c r="R1355">
        <f t="shared" si="178"/>
        <v>3.0000000000000249</v>
      </c>
    </row>
    <row r="1356" spans="1:18">
      <c r="A1356" s="9">
        <v>38691</v>
      </c>
      <c r="B1356">
        <v>4.87</v>
      </c>
      <c r="C1356">
        <v>4.91</v>
      </c>
      <c r="D1356">
        <v>4.9400000000000004</v>
      </c>
      <c r="E1356">
        <v>4.97</v>
      </c>
      <c r="F1356">
        <v>5</v>
      </c>
      <c r="G1356">
        <v>5.05</v>
      </c>
      <c r="H1356">
        <v>5.1100000000000003</v>
      </c>
      <c r="I1356">
        <v>5.3</v>
      </c>
      <c r="K1356">
        <f t="shared" si="171"/>
        <v>2.0000000000000462</v>
      </c>
      <c r="L1356">
        <f t="shared" si="172"/>
        <v>2.0000000000000462</v>
      </c>
      <c r="M1356">
        <f t="shared" si="173"/>
        <v>3.0000000000000249</v>
      </c>
      <c r="N1356">
        <f t="shared" si="174"/>
        <v>1.9999999999999574</v>
      </c>
      <c r="O1356">
        <f t="shared" si="175"/>
        <v>1.9999999999999574</v>
      </c>
      <c r="P1356">
        <f t="shared" si="176"/>
        <v>1.9999999999999574</v>
      </c>
      <c r="Q1356">
        <f t="shared" si="177"/>
        <v>1.0000000000000675</v>
      </c>
      <c r="R1356">
        <f t="shared" si="178"/>
        <v>1.9999999999999574</v>
      </c>
    </row>
    <row r="1357" spans="1:18">
      <c r="A1357" s="9">
        <v>38692</v>
      </c>
      <c r="B1357">
        <v>4.84</v>
      </c>
      <c r="C1357">
        <v>4.88</v>
      </c>
      <c r="D1357">
        <v>4.91</v>
      </c>
      <c r="E1357">
        <v>4.9400000000000004</v>
      </c>
      <c r="F1357">
        <v>4.97</v>
      </c>
      <c r="G1357">
        <v>5.01</v>
      </c>
      <c r="H1357">
        <v>5.08</v>
      </c>
      <c r="I1357">
        <v>5.27</v>
      </c>
      <c r="K1357">
        <f t="shared" si="171"/>
        <v>-3.0000000000000249</v>
      </c>
      <c r="L1357">
        <f t="shared" si="172"/>
        <v>-3.0000000000000249</v>
      </c>
      <c r="M1357">
        <f t="shared" si="173"/>
        <v>-3.0000000000000249</v>
      </c>
      <c r="N1357">
        <f t="shared" si="174"/>
        <v>-2.9999999999999361</v>
      </c>
      <c r="O1357">
        <f t="shared" si="175"/>
        <v>-3.0000000000000249</v>
      </c>
      <c r="P1357">
        <f t="shared" si="176"/>
        <v>-4.0000000000000036</v>
      </c>
      <c r="Q1357">
        <f t="shared" si="177"/>
        <v>-3.0000000000000249</v>
      </c>
      <c r="R1357">
        <f t="shared" si="178"/>
        <v>-3.0000000000000249</v>
      </c>
    </row>
    <row r="1358" spans="1:18">
      <c r="A1358" s="9">
        <v>38693</v>
      </c>
      <c r="B1358">
        <v>4.83</v>
      </c>
      <c r="C1358">
        <v>4.87</v>
      </c>
      <c r="D1358">
        <v>4.9000000000000004</v>
      </c>
      <c r="E1358">
        <v>4.93</v>
      </c>
      <c r="F1358">
        <v>4.96</v>
      </c>
      <c r="G1358">
        <v>5.01</v>
      </c>
      <c r="H1358">
        <v>5.08</v>
      </c>
      <c r="I1358">
        <v>5.27</v>
      </c>
      <c r="K1358">
        <f t="shared" si="171"/>
        <v>-0.99999999999997868</v>
      </c>
      <c r="L1358">
        <f t="shared" si="172"/>
        <v>-0.99999999999997868</v>
      </c>
      <c r="M1358">
        <f t="shared" si="173"/>
        <v>-0.99999999999997868</v>
      </c>
      <c r="N1358">
        <f t="shared" si="174"/>
        <v>-1.0000000000000675</v>
      </c>
      <c r="O1358">
        <f t="shared" si="175"/>
        <v>-0.99999999999997868</v>
      </c>
      <c r="P1358">
        <f t="shared" si="176"/>
        <v>0</v>
      </c>
      <c r="Q1358">
        <f t="shared" si="177"/>
        <v>0</v>
      </c>
      <c r="R1358">
        <f t="shared" si="178"/>
        <v>0</v>
      </c>
    </row>
    <row r="1359" spans="1:18">
      <c r="A1359" s="9">
        <v>38694</v>
      </c>
      <c r="B1359">
        <v>4.8</v>
      </c>
      <c r="C1359">
        <v>4.82</v>
      </c>
      <c r="D1359">
        <v>4.84</v>
      </c>
      <c r="E1359">
        <v>4.88</v>
      </c>
      <c r="F1359">
        <v>4.91</v>
      </c>
      <c r="G1359">
        <v>4.96</v>
      </c>
      <c r="H1359">
        <v>5.03</v>
      </c>
      <c r="I1359">
        <v>5.23</v>
      </c>
      <c r="K1359">
        <f t="shared" si="171"/>
        <v>-3.0000000000000249</v>
      </c>
      <c r="L1359">
        <f t="shared" si="172"/>
        <v>-4.9999999999999822</v>
      </c>
      <c r="M1359">
        <f t="shared" si="173"/>
        <v>-6.0000000000000497</v>
      </c>
      <c r="N1359">
        <f t="shared" si="174"/>
        <v>-4.9999999999999822</v>
      </c>
      <c r="O1359">
        <f t="shared" si="175"/>
        <v>-4.9999999999999822</v>
      </c>
      <c r="P1359">
        <f t="shared" si="176"/>
        <v>-4.9999999999999822</v>
      </c>
      <c r="Q1359">
        <f t="shared" si="177"/>
        <v>-4.9999999999999822</v>
      </c>
      <c r="R1359">
        <f t="shared" si="178"/>
        <v>-3.9999999999999147</v>
      </c>
    </row>
    <row r="1360" spans="1:18">
      <c r="A1360" s="9">
        <v>38695</v>
      </c>
      <c r="B1360">
        <v>4.84</v>
      </c>
      <c r="C1360">
        <v>4.8600000000000003</v>
      </c>
      <c r="D1360">
        <v>4.8899999999999997</v>
      </c>
      <c r="E1360">
        <v>4.93</v>
      </c>
      <c r="F1360">
        <v>4.96</v>
      </c>
      <c r="G1360">
        <v>5.01</v>
      </c>
      <c r="H1360">
        <v>5.08</v>
      </c>
      <c r="I1360">
        <v>5.27</v>
      </c>
      <c r="K1360">
        <f t="shared" si="171"/>
        <v>4.0000000000000036</v>
      </c>
      <c r="L1360">
        <f t="shared" si="172"/>
        <v>4.0000000000000036</v>
      </c>
      <c r="M1360">
        <f t="shared" si="173"/>
        <v>4.9999999999999822</v>
      </c>
      <c r="N1360">
        <f t="shared" si="174"/>
        <v>4.9999999999999822</v>
      </c>
      <c r="O1360">
        <f t="shared" si="175"/>
        <v>4.9999999999999822</v>
      </c>
      <c r="P1360">
        <f t="shared" si="176"/>
        <v>4.9999999999999822</v>
      </c>
      <c r="Q1360">
        <f t="shared" si="177"/>
        <v>4.9999999999999822</v>
      </c>
      <c r="R1360">
        <f t="shared" si="178"/>
        <v>3.9999999999999147</v>
      </c>
    </row>
    <row r="1361" spans="1:18">
      <c r="A1361" s="9">
        <v>38698</v>
      </c>
      <c r="B1361">
        <v>4.8499999999999996</v>
      </c>
      <c r="C1361">
        <v>4.8899999999999997</v>
      </c>
      <c r="D1361">
        <v>4.91</v>
      </c>
      <c r="E1361">
        <v>4.9400000000000004</v>
      </c>
      <c r="F1361">
        <v>4.97</v>
      </c>
      <c r="G1361">
        <v>5.0199999999999996</v>
      </c>
      <c r="H1361">
        <v>5.09</v>
      </c>
      <c r="I1361">
        <v>5.28</v>
      </c>
      <c r="K1361">
        <f t="shared" si="171"/>
        <v>0.99999999999997868</v>
      </c>
      <c r="L1361">
        <f t="shared" si="172"/>
        <v>2.9999999999999361</v>
      </c>
      <c r="M1361">
        <f t="shared" si="173"/>
        <v>2.0000000000000462</v>
      </c>
      <c r="N1361">
        <f t="shared" si="174"/>
        <v>1.0000000000000675</v>
      </c>
      <c r="O1361">
        <f t="shared" si="175"/>
        <v>0.99999999999997868</v>
      </c>
      <c r="P1361">
        <f t="shared" si="176"/>
        <v>0.99999999999997868</v>
      </c>
      <c r="Q1361">
        <f t="shared" si="177"/>
        <v>0.99999999999997868</v>
      </c>
      <c r="R1361">
        <f t="shared" si="178"/>
        <v>1.0000000000000675</v>
      </c>
    </row>
    <row r="1362" spans="1:18">
      <c r="A1362" s="9">
        <v>38699</v>
      </c>
      <c r="B1362">
        <v>4.8600000000000003</v>
      </c>
      <c r="C1362">
        <v>4.8899999999999997</v>
      </c>
      <c r="D1362">
        <v>4.91</v>
      </c>
      <c r="E1362">
        <v>4.9400000000000004</v>
      </c>
      <c r="F1362">
        <v>4.97</v>
      </c>
      <c r="G1362">
        <v>5.01</v>
      </c>
      <c r="H1362">
        <v>5.08</v>
      </c>
      <c r="I1362">
        <v>5.27</v>
      </c>
      <c r="K1362">
        <f t="shared" si="171"/>
        <v>1.0000000000000675</v>
      </c>
      <c r="L1362">
        <f t="shared" si="172"/>
        <v>0</v>
      </c>
      <c r="M1362">
        <f t="shared" si="173"/>
        <v>0</v>
      </c>
      <c r="N1362">
        <f t="shared" si="174"/>
        <v>0</v>
      </c>
      <c r="O1362">
        <f t="shared" si="175"/>
        <v>0</v>
      </c>
      <c r="P1362">
        <f t="shared" si="176"/>
        <v>-0.99999999999997868</v>
      </c>
      <c r="Q1362">
        <f t="shared" si="177"/>
        <v>-0.99999999999997868</v>
      </c>
      <c r="R1362">
        <f t="shared" si="178"/>
        <v>-1.0000000000000675</v>
      </c>
    </row>
    <row r="1363" spans="1:18">
      <c r="A1363" s="9">
        <v>38700</v>
      </c>
      <c r="B1363">
        <v>4.82</v>
      </c>
      <c r="C1363">
        <v>4.83</v>
      </c>
      <c r="D1363">
        <v>4.84</v>
      </c>
      <c r="E1363">
        <v>4.8600000000000003</v>
      </c>
      <c r="F1363">
        <v>4.88</v>
      </c>
      <c r="G1363">
        <v>4.93</v>
      </c>
      <c r="H1363">
        <v>5</v>
      </c>
      <c r="I1363">
        <v>5.19</v>
      </c>
      <c r="K1363">
        <f t="shared" si="171"/>
        <v>-4.0000000000000036</v>
      </c>
      <c r="L1363">
        <f t="shared" si="172"/>
        <v>-5.9999999999999609</v>
      </c>
      <c r="M1363">
        <f t="shared" si="173"/>
        <v>-7.0000000000000284</v>
      </c>
      <c r="N1363">
        <f t="shared" si="174"/>
        <v>-8.0000000000000071</v>
      </c>
      <c r="O1363">
        <f t="shared" si="175"/>
        <v>-8.9999999999999858</v>
      </c>
      <c r="P1363">
        <f t="shared" si="176"/>
        <v>-8.0000000000000071</v>
      </c>
      <c r="Q1363">
        <f t="shared" si="177"/>
        <v>-8.0000000000000071</v>
      </c>
      <c r="R1363">
        <f t="shared" si="178"/>
        <v>-7.9999999999999183</v>
      </c>
    </row>
    <row r="1364" spans="1:18">
      <c r="A1364" s="9">
        <v>38701</v>
      </c>
      <c r="B1364">
        <v>4.82</v>
      </c>
      <c r="C1364">
        <v>4.8499999999999996</v>
      </c>
      <c r="D1364">
        <v>4.87</v>
      </c>
      <c r="E1364">
        <v>4.9000000000000004</v>
      </c>
      <c r="F1364">
        <v>4.92</v>
      </c>
      <c r="G1364">
        <v>4.97</v>
      </c>
      <c r="H1364">
        <v>5.04</v>
      </c>
      <c r="I1364">
        <v>5.22</v>
      </c>
      <c r="K1364">
        <f t="shared" si="171"/>
        <v>0</v>
      </c>
      <c r="L1364">
        <f t="shared" si="172"/>
        <v>1.9999999999999574</v>
      </c>
      <c r="M1364">
        <f t="shared" si="173"/>
        <v>3.0000000000000249</v>
      </c>
      <c r="N1364">
        <f t="shared" si="174"/>
        <v>4.0000000000000036</v>
      </c>
      <c r="O1364">
        <f t="shared" si="175"/>
        <v>4.0000000000000036</v>
      </c>
      <c r="P1364">
        <f t="shared" si="176"/>
        <v>4.0000000000000036</v>
      </c>
      <c r="Q1364">
        <f t="shared" si="177"/>
        <v>4.0000000000000036</v>
      </c>
      <c r="R1364">
        <f t="shared" si="178"/>
        <v>2.9999999999999361</v>
      </c>
    </row>
    <row r="1365" spans="1:18">
      <c r="A1365" s="9">
        <v>38702</v>
      </c>
      <c r="B1365">
        <v>4.8099999999999996</v>
      </c>
      <c r="C1365">
        <v>4.8099999999999996</v>
      </c>
      <c r="D1365">
        <v>4.82</v>
      </c>
      <c r="E1365">
        <v>4.84</v>
      </c>
      <c r="F1365">
        <v>4.8600000000000003</v>
      </c>
      <c r="G1365">
        <v>4.91</v>
      </c>
      <c r="H1365">
        <v>4.97</v>
      </c>
      <c r="I1365">
        <v>5.16</v>
      </c>
      <c r="K1365">
        <f t="shared" si="171"/>
        <v>-1.0000000000000675</v>
      </c>
      <c r="L1365">
        <f t="shared" si="172"/>
        <v>-4.0000000000000036</v>
      </c>
      <c r="M1365">
        <f t="shared" si="173"/>
        <v>-4.9999999999999822</v>
      </c>
      <c r="N1365">
        <f t="shared" si="174"/>
        <v>-6.0000000000000497</v>
      </c>
      <c r="O1365">
        <f t="shared" si="175"/>
        <v>-5.9999999999999609</v>
      </c>
      <c r="P1365">
        <f t="shared" si="176"/>
        <v>-5.9999999999999609</v>
      </c>
      <c r="Q1365">
        <f t="shared" si="177"/>
        <v>-7.0000000000000284</v>
      </c>
      <c r="R1365">
        <f t="shared" si="178"/>
        <v>-5.9999999999999609</v>
      </c>
    </row>
    <row r="1366" spans="1:18">
      <c r="A1366" s="9">
        <v>38705</v>
      </c>
      <c r="B1366">
        <v>4.82</v>
      </c>
      <c r="C1366">
        <v>4.83</v>
      </c>
      <c r="D1366">
        <v>4.84</v>
      </c>
      <c r="E1366">
        <v>4.8600000000000003</v>
      </c>
      <c r="F1366">
        <v>4.8899999999999997</v>
      </c>
      <c r="G1366">
        <v>4.92</v>
      </c>
      <c r="H1366">
        <v>4.9800000000000004</v>
      </c>
      <c r="I1366">
        <v>5.16</v>
      </c>
      <c r="K1366">
        <f t="shared" si="171"/>
        <v>1.0000000000000675</v>
      </c>
      <c r="L1366">
        <f t="shared" si="172"/>
        <v>2.0000000000000462</v>
      </c>
      <c r="M1366">
        <f t="shared" si="173"/>
        <v>1.9999999999999574</v>
      </c>
      <c r="N1366">
        <f t="shared" si="174"/>
        <v>2.0000000000000462</v>
      </c>
      <c r="O1366">
        <f t="shared" si="175"/>
        <v>2.9999999999999361</v>
      </c>
      <c r="P1366">
        <f t="shared" si="176"/>
        <v>0.99999999999997868</v>
      </c>
      <c r="Q1366">
        <f t="shared" si="177"/>
        <v>1.0000000000000675</v>
      </c>
      <c r="R1366">
        <f t="shared" si="178"/>
        <v>0</v>
      </c>
    </row>
    <row r="1367" spans="1:18">
      <c r="A1367" s="9">
        <v>38706</v>
      </c>
      <c r="B1367">
        <v>4.8499999999999996</v>
      </c>
      <c r="C1367">
        <v>4.8600000000000003</v>
      </c>
      <c r="D1367">
        <v>4.88</v>
      </c>
      <c r="E1367">
        <v>4.9000000000000004</v>
      </c>
      <c r="F1367">
        <v>4.92</v>
      </c>
      <c r="G1367">
        <v>4.95</v>
      </c>
      <c r="H1367">
        <v>5.01</v>
      </c>
      <c r="I1367">
        <v>5.18</v>
      </c>
      <c r="K1367">
        <f t="shared" si="171"/>
        <v>2.9999999999999361</v>
      </c>
      <c r="L1367">
        <f t="shared" si="172"/>
        <v>3.0000000000000249</v>
      </c>
      <c r="M1367">
        <f t="shared" si="173"/>
        <v>4.0000000000000036</v>
      </c>
      <c r="N1367">
        <f t="shared" si="174"/>
        <v>4.0000000000000036</v>
      </c>
      <c r="O1367">
        <f t="shared" si="175"/>
        <v>3.0000000000000249</v>
      </c>
      <c r="P1367">
        <f t="shared" si="176"/>
        <v>3.0000000000000249</v>
      </c>
      <c r="Q1367">
        <f t="shared" si="177"/>
        <v>2.9999999999999361</v>
      </c>
      <c r="R1367">
        <f t="shared" si="178"/>
        <v>1.9999999999999574</v>
      </c>
    </row>
    <row r="1368" spans="1:18">
      <c r="A1368" s="9">
        <v>38707</v>
      </c>
      <c r="B1368">
        <v>4.87</v>
      </c>
      <c r="C1368">
        <v>4.8899999999999997</v>
      </c>
      <c r="D1368">
        <v>4.9000000000000004</v>
      </c>
      <c r="E1368">
        <v>4.92</v>
      </c>
      <c r="F1368">
        <v>4.95</v>
      </c>
      <c r="G1368">
        <v>4.9800000000000004</v>
      </c>
      <c r="H1368">
        <v>5.03</v>
      </c>
      <c r="I1368">
        <v>5.2</v>
      </c>
      <c r="K1368">
        <f t="shared" si="171"/>
        <v>2.0000000000000462</v>
      </c>
      <c r="L1368">
        <f t="shared" si="172"/>
        <v>2.9999999999999361</v>
      </c>
      <c r="M1368">
        <f t="shared" si="173"/>
        <v>2.0000000000000462</v>
      </c>
      <c r="N1368">
        <f t="shared" si="174"/>
        <v>1.9999999999999574</v>
      </c>
      <c r="O1368">
        <f t="shared" si="175"/>
        <v>3.0000000000000249</v>
      </c>
      <c r="P1368">
        <f t="shared" si="176"/>
        <v>3.0000000000000249</v>
      </c>
      <c r="Q1368">
        <f t="shared" si="177"/>
        <v>2.0000000000000462</v>
      </c>
      <c r="R1368">
        <f t="shared" si="178"/>
        <v>2.0000000000000462</v>
      </c>
    </row>
    <row r="1369" spans="1:18">
      <c r="A1369" s="9">
        <v>38708</v>
      </c>
      <c r="B1369">
        <v>4.8499999999999996</v>
      </c>
      <c r="C1369">
        <v>4.88</v>
      </c>
      <c r="D1369">
        <v>4.88</v>
      </c>
      <c r="E1369">
        <v>4.8899999999999997</v>
      </c>
      <c r="F1369">
        <v>4.91</v>
      </c>
      <c r="G1369">
        <v>4.93</v>
      </c>
      <c r="H1369">
        <v>4.9800000000000004</v>
      </c>
      <c r="I1369">
        <v>5.14</v>
      </c>
      <c r="K1369">
        <f t="shared" si="171"/>
        <v>-2.0000000000000462</v>
      </c>
      <c r="L1369">
        <f t="shared" si="172"/>
        <v>-0.99999999999997868</v>
      </c>
      <c r="M1369">
        <f t="shared" si="173"/>
        <v>-2.0000000000000462</v>
      </c>
      <c r="N1369">
        <f t="shared" si="174"/>
        <v>-3.0000000000000249</v>
      </c>
      <c r="O1369">
        <f t="shared" si="175"/>
        <v>-4.0000000000000036</v>
      </c>
      <c r="P1369">
        <f t="shared" si="176"/>
        <v>-5.0000000000000711</v>
      </c>
      <c r="Q1369">
        <f t="shared" si="177"/>
        <v>-4.9999999999999822</v>
      </c>
      <c r="R1369">
        <f t="shared" si="178"/>
        <v>-6.0000000000000497</v>
      </c>
    </row>
    <row r="1370" spans="1:18">
      <c r="A1370" s="9">
        <v>38709</v>
      </c>
      <c r="B1370">
        <v>4.84</v>
      </c>
      <c r="C1370">
        <v>4.84</v>
      </c>
      <c r="D1370">
        <v>4.84</v>
      </c>
      <c r="E1370">
        <v>4.8600000000000003</v>
      </c>
      <c r="F1370">
        <v>4.87</v>
      </c>
      <c r="G1370">
        <v>4.9000000000000004</v>
      </c>
      <c r="H1370">
        <v>4.95</v>
      </c>
      <c r="I1370">
        <v>5.1100000000000003</v>
      </c>
      <c r="K1370">
        <f t="shared" si="171"/>
        <v>-0.99999999999997868</v>
      </c>
      <c r="L1370">
        <f t="shared" si="172"/>
        <v>-4.0000000000000036</v>
      </c>
      <c r="M1370">
        <f t="shared" si="173"/>
        <v>-4.0000000000000036</v>
      </c>
      <c r="N1370">
        <f t="shared" si="174"/>
        <v>-2.9999999999999361</v>
      </c>
      <c r="O1370">
        <f t="shared" si="175"/>
        <v>-4.0000000000000036</v>
      </c>
      <c r="P1370">
        <f t="shared" si="176"/>
        <v>-2.9999999999999361</v>
      </c>
      <c r="Q1370">
        <f t="shared" si="177"/>
        <v>-3.0000000000000249</v>
      </c>
      <c r="R1370">
        <f t="shared" si="178"/>
        <v>-2.9999999999999361</v>
      </c>
    </row>
    <row r="1371" spans="1:18">
      <c r="A1371" s="9">
        <v>38713</v>
      </c>
      <c r="B1371">
        <v>4.84</v>
      </c>
      <c r="C1371">
        <v>4.83</v>
      </c>
      <c r="D1371">
        <v>4.82</v>
      </c>
      <c r="E1371">
        <v>4.84</v>
      </c>
      <c r="F1371">
        <v>4.8600000000000003</v>
      </c>
      <c r="G1371">
        <v>4.88</v>
      </c>
      <c r="H1371">
        <v>4.92</v>
      </c>
      <c r="I1371">
        <v>5.07</v>
      </c>
      <c r="K1371">
        <f t="shared" si="171"/>
        <v>0</v>
      </c>
      <c r="L1371">
        <f t="shared" si="172"/>
        <v>-0.99999999999997868</v>
      </c>
      <c r="M1371">
        <f t="shared" si="173"/>
        <v>-1.9999999999999574</v>
      </c>
      <c r="N1371">
        <f t="shared" si="174"/>
        <v>-2.0000000000000462</v>
      </c>
      <c r="O1371">
        <f t="shared" si="175"/>
        <v>-0.99999999999997868</v>
      </c>
      <c r="P1371">
        <f t="shared" si="176"/>
        <v>-2.0000000000000462</v>
      </c>
      <c r="Q1371">
        <f t="shared" si="177"/>
        <v>-3.0000000000000249</v>
      </c>
      <c r="R1371">
        <f t="shared" si="178"/>
        <v>-4.0000000000000036</v>
      </c>
    </row>
    <row r="1372" spans="1:18">
      <c r="A1372" s="9">
        <v>38714</v>
      </c>
      <c r="B1372">
        <v>4.82</v>
      </c>
      <c r="C1372">
        <v>4.79</v>
      </c>
      <c r="D1372">
        <v>4.79</v>
      </c>
      <c r="E1372">
        <v>4.8</v>
      </c>
      <c r="F1372">
        <v>4.82</v>
      </c>
      <c r="G1372">
        <v>4.84</v>
      </c>
      <c r="H1372">
        <v>4.88</v>
      </c>
      <c r="I1372">
        <v>5.03</v>
      </c>
      <c r="K1372">
        <f t="shared" si="171"/>
        <v>-1.9999999999999574</v>
      </c>
      <c r="L1372">
        <f t="shared" si="172"/>
        <v>-4.0000000000000036</v>
      </c>
      <c r="M1372">
        <f t="shared" si="173"/>
        <v>-3.0000000000000249</v>
      </c>
      <c r="N1372">
        <f t="shared" si="174"/>
        <v>-4.0000000000000036</v>
      </c>
      <c r="O1372">
        <f t="shared" si="175"/>
        <v>-4.0000000000000036</v>
      </c>
      <c r="P1372">
        <f t="shared" si="176"/>
        <v>-4.0000000000000036</v>
      </c>
      <c r="Q1372">
        <f t="shared" si="177"/>
        <v>-4.0000000000000036</v>
      </c>
      <c r="R1372">
        <f t="shared" si="178"/>
        <v>-4.0000000000000036</v>
      </c>
    </row>
    <row r="1373" spans="1:18">
      <c r="A1373" s="9">
        <v>38715</v>
      </c>
      <c r="B1373">
        <v>4.84</v>
      </c>
      <c r="C1373">
        <v>4.83</v>
      </c>
      <c r="D1373">
        <v>4.83</v>
      </c>
      <c r="E1373">
        <v>4.84</v>
      </c>
      <c r="F1373">
        <v>4.8600000000000003</v>
      </c>
      <c r="G1373">
        <v>4.88</v>
      </c>
      <c r="H1373">
        <v>4.92</v>
      </c>
      <c r="I1373">
        <v>5.07</v>
      </c>
      <c r="K1373">
        <f t="shared" si="171"/>
        <v>1.9999999999999574</v>
      </c>
      <c r="L1373">
        <f t="shared" si="172"/>
        <v>4.0000000000000036</v>
      </c>
      <c r="M1373">
        <f t="shared" si="173"/>
        <v>4.0000000000000036</v>
      </c>
      <c r="N1373">
        <f t="shared" si="174"/>
        <v>4.0000000000000036</v>
      </c>
      <c r="O1373">
        <f t="shared" si="175"/>
        <v>4.0000000000000036</v>
      </c>
      <c r="P1373">
        <f t="shared" si="176"/>
        <v>4.0000000000000036</v>
      </c>
      <c r="Q1373">
        <f t="shared" si="177"/>
        <v>4.0000000000000036</v>
      </c>
      <c r="R1373">
        <f t="shared" si="178"/>
        <v>4.0000000000000036</v>
      </c>
    </row>
    <row r="1374" spans="1:18">
      <c r="A1374" s="9">
        <v>38716</v>
      </c>
      <c r="B1374">
        <v>4.84</v>
      </c>
      <c r="C1374">
        <v>4.83</v>
      </c>
      <c r="D1374">
        <v>4.83</v>
      </c>
      <c r="E1374">
        <v>4.84</v>
      </c>
      <c r="F1374">
        <v>4.8600000000000003</v>
      </c>
      <c r="G1374">
        <v>4.88</v>
      </c>
      <c r="H1374">
        <v>4.92</v>
      </c>
      <c r="I1374">
        <v>5.05</v>
      </c>
      <c r="K1374">
        <f t="shared" si="171"/>
        <v>0</v>
      </c>
      <c r="L1374">
        <f t="shared" si="172"/>
        <v>0</v>
      </c>
      <c r="M1374">
        <f t="shared" si="173"/>
        <v>0</v>
      </c>
      <c r="N1374">
        <f t="shared" si="174"/>
        <v>0</v>
      </c>
      <c r="O1374">
        <f t="shared" si="175"/>
        <v>0</v>
      </c>
      <c r="P1374">
        <f t="shared" si="176"/>
        <v>0</v>
      </c>
      <c r="Q1374">
        <f t="shared" si="177"/>
        <v>0</v>
      </c>
      <c r="R1374">
        <f t="shared" si="178"/>
        <v>-2.0000000000000462</v>
      </c>
    </row>
    <row r="1375" spans="1:18">
      <c r="A1375" s="9">
        <v>38720</v>
      </c>
      <c r="B1375">
        <v>4.83</v>
      </c>
      <c r="C1375">
        <v>4.8099999999999996</v>
      </c>
      <c r="D1375">
        <v>4.8</v>
      </c>
      <c r="E1375">
        <v>4.82</v>
      </c>
      <c r="F1375">
        <v>4.83</v>
      </c>
      <c r="G1375">
        <v>4.8600000000000003</v>
      </c>
      <c r="H1375">
        <v>4.9000000000000004</v>
      </c>
      <c r="I1375">
        <v>5.05</v>
      </c>
      <c r="K1375">
        <f t="shared" si="171"/>
        <v>-0.99999999999997868</v>
      </c>
      <c r="L1375">
        <f t="shared" si="172"/>
        <v>-2.0000000000000462</v>
      </c>
      <c r="M1375">
        <f t="shared" si="173"/>
        <v>-3.0000000000000249</v>
      </c>
      <c r="N1375">
        <f t="shared" si="174"/>
        <v>-1.9999999999999574</v>
      </c>
      <c r="O1375">
        <f t="shared" si="175"/>
        <v>-3.0000000000000249</v>
      </c>
      <c r="P1375">
        <f t="shared" si="176"/>
        <v>-1.9999999999999574</v>
      </c>
      <c r="Q1375">
        <f t="shared" si="177"/>
        <v>-1.9999999999999574</v>
      </c>
      <c r="R1375">
        <f t="shared" si="178"/>
        <v>0</v>
      </c>
    </row>
    <row r="1376" spans="1:18">
      <c r="A1376" s="9">
        <v>38721</v>
      </c>
      <c r="B1376">
        <v>4.79</v>
      </c>
      <c r="C1376">
        <v>4.76</v>
      </c>
      <c r="D1376">
        <v>4.76</v>
      </c>
      <c r="E1376">
        <v>4.78</v>
      </c>
      <c r="F1376">
        <v>4.8</v>
      </c>
      <c r="G1376">
        <v>4.84</v>
      </c>
      <c r="H1376">
        <v>4.9000000000000004</v>
      </c>
      <c r="I1376">
        <v>5.08</v>
      </c>
      <c r="K1376">
        <f t="shared" si="171"/>
        <v>-4.0000000000000036</v>
      </c>
      <c r="L1376">
        <f t="shared" si="172"/>
        <v>-4.9999999999999822</v>
      </c>
      <c r="M1376">
        <f t="shared" si="173"/>
        <v>-4.0000000000000036</v>
      </c>
      <c r="N1376">
        <f t="shared" si="174"/>
        <v>-4.0000000000000036</v>
      </c>
      <c r="O1376">
        <f t="shared" si="175"/>
        <v>-3.0000000000000249</v>
      </c>
      <c r="P1376">
        <f t="shared" si="176"/>
        <v>-2.0000000000000462</v>
      </c>
      <c r="Q1376">
        <f t="shared" si="177"/>
        <v>0</v>
      </c>
      <c r="R1376">
        <f t="shared" si="178"/>
        <v>3.0000000000000249</v>
      </c>
    </row>
    <row r="1377" spans="1:18">
      <c r="A1377" s="9">
        <v>38722</v>
      </c>
      <c r="B1377">
        <v>4.79</v>
      </c>
      <c r="C1377">
        <v>4.76</v>
      </c>
      <c r="D1377">
        <v>4.76</v>
      </c>
      <c r="E1377">
        <v>4.7699999999999996</v>
      </c>
      <c r="F1377">
        <v>4.79</v>
      </c>
      <c r="G1377">
        <v>4.83</v>
      </c>
      <c r="H1377">
        <v>4.8899999999999997</v>
      </c>
      <c r="I1377">
        <v>5.0599999999999996</v>
      </c>
      <c r="K1377">
        <f t="shared" si="171"/>
        <v>0</v>
      </c>
      <c r="L1377">
        <f t="shared" si="172"/>
        <v>0</v>
      </c>
      <c r="M1377">
        <f t="shared" si="173"/>
        <v>0</v>
      </c>
      <c r="N1377">
        <f t="shared" si="174"/>
        <v>-1.0000000000000675</v>
      </c>
      <c r="O1377">
        <f t="shared" si="175"/>
        <v>-0.99999999999997868</v>
      </c>
      <c r="P1377">
        <f t="shared" si="176"/>
        <v>-0.99999999999997868</v>
      </c>
      <c r="Q1377">
        <f t="shared" si="177"/>
        <v>-1.0000000000000675</v>
      </c>
      <c r="R1377">
        <f t="shared" si="178"/>
        <v>-2.0000000000000462</v>
      </c>
    </row>
    <row r="1378" spans="1:18">
      <c r="A1378" s="9">
        <v>38723</v>
      </c>
      <c r="B1378">
        <v>4.8099999999999996</v>
      </c>
      <c r="C1378">
        <v>4.78</v>
      </c>
      <c r="D1378">
        <v>4.78</v>
      </c>
      <c r="E1378">
        <v>4.8</v>
      </c>
      <c r="F1378">
        <v>4.8099999999999996</v>
      </c>
      <c r="G1378">
        <v>4.8499999999999996</v>
      </c>
      <c r="H1378">
        <v>4.9000000000000004</v>
      </c>
      <c r="I1378">
        <v>5.08</v>
      </c>
      <c r="K1378">
        <f t="shared" si="171"/>
        <v>1.9999999999999574</v>
      </c>
      <c r="L1378">
        <f t="shared" si="172"/>
        <v>2.0000000000000462</v>
      </c>
      <c r="M1378">
        <f t="shared" si="173"/>
        <v>2.0000000000000462</v>
      </c>
      <c r="N1378">
        <f t="shared" si="174"/>
        <v>3.0000000000000249</v>
      </c>
      <c r="O1378">
        <f t="shared" si="175"/>
        <v>1.9999999999999574</v>
      </c>
      <c r="P1378">
        <f t="shared" si="176"/>
        <v>1.9999999999999574</v>
      </c>
      <c r="Q1378">
        <f t="shared" si="177"/>
        <v>1.0000000000000675</v>
      </c>
      <c r="R1378">
        <f t="shared" si="178"/>
        <v>2.0000000000000462</v>
      </c>
    </row>
    <row r="1379" spans="1:18">
      <c r="A1379" s="9">
        <v>38726</v>
      </c>
      <c r="B1379">
        <v>4.8099999999999996</v>
      </c>
      <c r="C1379">
        <v>4.7699999999999996</v>
      </c>
      <c r="D1379">
        <v>4.7699999999999996</v>
      </c>
      <c r="E1379">
        <v>4.78</v>
      </c>
      <c r="F1379">
        <v>4.8</v>
      </c>
      <c r="G1379">
        <v>4.83</v>
      </c>
      <c r="H1379">
        <v>4.88</v>
      </c>
      <c r="I1379">
        <v>5.05</v>
      </c>
      <c r="K1379">
        <f t="shared" si="171"/>
        <v>0</v>
      </c>
      <c r="L1379">
        <f t="shared" si="172"/>
        <v>-1.0000000000000675</v>
      </c>
      <c r="M1379">
        <f t="shared" si="173"/>
        <v>-1.0000000000000675</v>
      </c>
      <c r="N1379">
        <f t="shared" si="174"/>
        <v>-1.9999999999999574</v>
      </c>
      <c r="O1379">
        <f t="shared" si="175"/>
        <v>-0.99999999999997868</v>
      </c>
      <c r="P1379">
        <f t="shared" si="176"/>
        <v>-1.9999999999999574</v>
      </c>
      <c r="Q1379">
        <f t="shared" si="177"/>
        <v>-2.0000000000000462</v>
      </c>
      <c r="R1379">
        <f t="shared" si="178"/>
        <v>-3.0000000000000249</v>
      </c>
    </row>
    <row r="1380" spans="1:18">
      <c r="A1380" s="9">
        <v>38727</v>
      </c>
      <c r="B1380">
        <v>4.83</v>
      </c>
      <c r="C1380">
        <v>4.8099999999999996</v>
      </c>
      <c r="D1380">
        <v>4.8</v>
      </c>
      <c r="E1380">
        <v>4.82</v>
      </c>
      <c r="F1380">
        <v>4.83</v>
      </c>
      <c r="G1380">
        <v>4.8600000000000003</v>
      </c>
      <c r="H1380">
        <v>4.92</v>
      </c>
      <c r="I1380">
        <v>5.08</v>
      </c>
      <c r="K1380">
        <f t="shared" si="171"/>
        <v>2.0000000000000462</v>
      </c>
      <c r="L1380">
        <f t="shared" si="172"/>
        <v>4.0000000000000036</v>
      </c>
      <c r="M1380">
        <f t="shared" si="173"/>
        <v>3.0000000000000249</v>
      </c>
      <c r="N1380">
        <f t="shared" si="174"/>
        <v>4.0000000000000036</v>
      </c>
      <c r="O1380">
        <f t="shared" si="175"/>
        <v>3.0000000000000249</v>
      </c>
      <c r="P1380">
        <f t="shared" si="176"/>
        <v>3.0000000000000249</v>
      </c>
      <c r="Q1380">
        <f t="shared" si="177"/>
        <v>4.0000000000000036</v>
      </c>
      <c r="R1380">
        <f t="shared" si="178"/>
        <v>3.0000000000000249</v>
      </c>
    </row>
    <row r="1381" spans="1:18">
      <c r="A1381" s="9">
        <v>38728</v>
      </c>
      <c r="B1381">
        <v>4.8499999999999996</v>
      </c>
      <c r="C1381">
        <v>4.82</v>
      </c>
      <c r="D1381">
        <v>4.82</v>
      </c>
      <c r="E1381">
        <v>4.83</v>
      </c>
      <c r="F1381">
        <v>4.8499999999999996</v>
      </c>
      <c r="G1381">
        <v>4.8899999999999997</v>
      </c>
      <c r="H1381">
        <v>4.9400000000000004</v>
      </c>
      <c r="I1381">
        <v>5.1100000000000003</v>
      </c>
      <c r="K1381">
        <f t="shared" si="171"/>
        <v>1.9999999999999574</v>
      </c>
      <c r="L1381">
        <f t="shared" si="172"/>
        <v>1.0000000000000675</v>
      </c>
      <c r="M1381">
        <f t="shared" si="173"/>
        <v>2.0000000000000462</v>
      </c>
      <c r="N1381">
        <f t="shared" si="174"/>
        <v>0.99999999999997868</v>
      </c>
      <c r="O1381">
        <f t="shared" si="175"/>
        <v>1.9999999999999574</v>
      </c>
      <c r="P1381">
        <f t="shared" si="176"/>
        <v>2.9999999999999361</v>
      </c>
      <c r="Q1381">
        <f t="shared" si="177"/>
        <v>2.0000000000000462</v>
      </c>
      <c r="R1381">
        <f t="shared" si="178"/>
        <v>3.0000000000000249</v>
      </c>
    </row>
    <row r="1382" spans="1:18">
      <c r="A1382" s="9">
        <v>38729</v>
      </c>
      <c r="B1382">
        <v>4.8499999999999996</v>
      </c>
      <c r="C1382">
        <v>4.82</v>
      </c>
      <c r="D1382">
        <v>4.82</v>
      </c>
      <c r="E1382">
        <v>4.83</v>
      </c>
      <c r="F1382">
        <v>4.8499999999999996</v>
      </c>
      <c r="G1382">
        <v>4.88</v>
      </c>
      <c r="H1382">
        <v>4.93</v>
      </c>
      <c r="I1382">
        <v>5.09</v>
      </c>
      <c r="K1382">
        <f t="shared" si="171"/>
        <v>0</v>
      </c>
      <c r="L1382">
        <f t="shared" si="172"/>
        <v>0</v>
      </c>
      <c r="M1382">
        <f t="shared" si="173"/>
        <v>0</v>
      </c>
      <c r="N1382">
        <f t="shared" si="174"/>
        <v>0</v>
      </c>
      <c r="O1382">
        <f t="shared" si="175"/>
        <v>0</v>
      </c>
      <c r="P1382">
        <f t="shared" si="176"/>
        <v>-0.99999999999997868</v>
      </c>
      <c r="Q1382">
        <f t="shared" si="177"/>
        <v>-1.0000000000000675</v>
      </c>
      <c r="R1382">
        <f t="shared" si="178"/>
        <v>-2.0000000000000462</v>
      </c>
    </row>
    <row r="1383" spans="1:18">
      <c r="A1383" s="9">
        <v>38730</v>
      </c>
      <c r="B1383">
        <v>4.82</v>
      </c>
      <c r="C1383">
        <v>4.76</v>
      </c>
      <c r="D1383">
        <v>4.75</v>
      </c>
      <c r="E1383">
        <v>4.7699999999999996</v>
      </c>
      <c r="F1383">
        <v>4.79</v>
      </c>
      <c r="G1383">
        <v>4.82</v>
      </c>
      <c r="H1383">
        <v>4.87</v>
      </c>
      <c r="I1383">
        <v>5.03</v>
      </c>
      <c r="K1383">
        <f t="shared" si="171"/>
        <v>-2.9999999999999361</v>
      </c>
      <c r="L1383">
        <f t="shared" si="172"/>
        <v>-6.0000000000000497</v>
      </c>
      <c r="M1383">
        <f t="shared" si="173"/>
        <v>-7.0000000000000284</v>
      </c>
      <c r="N1383">
        <f t="shared" si="174"/>
        <v>-6.0000000000000497</v>
      </c>
      <c r="O1383">
        <f t="shared" si="175"/>
        <v>-5.9999999999999609</v>
      </c>
      <c r="P1383">
        <f t="shared" si="176"/>
        <v>-5.9999999999999609</v>
      </c>
      <c r="Q1383">
        <f t="shared" si="177"/>
        <v>-5.9999999999999609</v>
      </c>
      <c r="R1383">
        <f t="shared" si="178"/>
        <v>-5.9999999999999609</v>
      </c>
    </row>
    <row r="1384" spans="1:18">
      <c r="A1384" s="9">
        <v>38734</v>
      </c>
      <c r="B1384">
        <v>4.82</v>
      </c>
      <c r="C1384">
        <v>4.76</v>
      </c>
      <c r="D1384">
        <v>4.74</v>
      </c>
      <c r="E1384">
        <v>4.75</v>
      </c>
      <c r="F1384">
        <v>4.7699999999999996</v>
      </c>
      <c r="G1384">
        <v>4.8099999999999996</v>
      </c>
      <c r="H1384">
        <v>4.8600000000000003</v>
      </c>
      <c r="I1384">
        <v>5.0199999999999996</v>
      </c>
      <c r="K1384">
        <f t="shared" si="171"/>
        <v>0</v>
      </c>
      <c r="L1384">
        <f t="shared" si="172"/>
        <v>0</v>
      </c>
      <c r="M1384">
        <f t="shared" si="173"/>
        <v>-0.99999999999997868</v>
      </c>
      <c r="N1384">
        <f t="shared" si="174"/>
        <v>-1.9999999999999574</v>
      </c>
      <c r="O1384">
        <f t="shared" si="175"/>
        <v>-2.0000000000000462</v>
      </c>
      <c r="P1384">
        <f t="shared" si="176"/>
        <v>-1.0000000000000675</v>
      </c>
      <c r="Q1384">
        <f t="shared" si="177"/>
        <v>-0.99999999999997868</v>
      </c>
      <c r="R1384">
        <f t="shared" si="178"/>
        <v>-1.0000000000000675</v>
      </c>
    </row>
    <row r="1385" spans="1:18">
      <c r="A1385" s="9">
        <v>38735</v>
      </c>
      <c r="B1385">
        <v>4.8</v>
      </c>
      <c r="C1385">
        <v>4.74</v>
      </c>
      <c r="D1385">
        <v>4.71</v>
      </c>
      <c r="E1385">
        <v>4.72</v>
      </c>
      <c r="F1385">
        <v>4.74</v>
      </c>
      <c r="G1385">
        <v>4.7699999999999996</v>
      </c>
      <c r="H1385">
        <v>4.83</v>
      </c>
      <c r="I1385">
        <v>4.9800000000000004</v>
      </c>
      <c r="K1385">
        <f t="shared" si="171"/>
        <v>-2.0000000000000462</v>
      </c>
      <c r="L1385">
        <f t="shared" si="172"/>
        <v>-1.9999999999999574</v>
      </c>
      <c r="M1385">
        <f t="shared" si="173"/>
        <v>-3.0000000000000249</v>
      </c>
      <c r="N1385">
        <f t="shared" si="174"/>
        <v>-3.0000000000000249</v>
      </c>
      <c r="O1385">
        <f t="shared" si="175"/>
        <v>-2.9999999999999361</v>
      </c>
      <c r="P1385">
        <f t="shared" si="176"/>
        <v>-4.0000000000000036</v>
      </c>
      <c r="Q1385">
        <f t="shared" si="177"/>
        <v>-3.0000000000000249</v>
      </c>
      <c r="R1385">
        <f t="shared" si="178"/>
        <v>-3.9999999999999147</v>
      </c>
    </row>
    <row r="1386" spans="1:18">
      <c r="A1386" s="9">
        <v>38736</v>
      </c>
      <c r="B1386">
        <v>4.83</v>
      </c>
      <c r="C1386">
        <v>4.7699999999999996</v>
      </c>
      <c r="D1386">
        <v>4.75</v>
      </c>
      <c r="E1386">
        <v>4.76</v>
      </c>
      <c r="F1386">
        <v>4.78</v>
      </c>
      <c r="G1386">
        <v>4.8099999999999996</v>
      </c>
      <c r="H1386">
        <v>4.87</v>
      </c>
      <c r="I1386">
        <v>5.01</v>
      </c>
      <c r="K1386">
        <f t="shared" si="171"/>
        <v>3.0000000000000249</v>
      </c>
      <c r="L1386">
        <f t="shared" si="172"/>
        <v>2.9999999999999361</v>
      </c>
      <c r="M1386">
        <f t="shared" si="173"/>
        <v>4.0000000000000036</v>
      </c>
      <c r="N1386">
        <f t="shared" si="174"/>
        <v>4.0000000000000036</v>
      </c>
      <c r="O1386">
        <f t="shared" si="175"/>
        <v>4.0000000000000036</v>
      </c>
      <c r="P1386">
        <f t="shared" si="176"/>
        <v>4.0000000000000036</v>
      </c>
      <c r="Q1386">
        <f t="shared" si="177"/>
        <v>4.0000000000000036</v>
      </c>
      <c r="R1386">
        <f t="shared" si="178"/>
        <v>2.9999999999999361</v>
      </c>
    </row>
    <row r="1387" spans="1:18">
      <c r="A1387" s="9">
        <v>38737</v>
      </c>
      <c r="B1387">
        <v>4.84</v>
      </c>
      <c r="C1387">
        <v>4.79</v>
      </c>
      <c r="D1387">
        <v>4.76</v>
      </c>
      <c r="E1387">
        <v>4.7699999999999996</v>
      </c>
      <c r="F1387">
        <v>4.79</v>
      </c>
      <c r="G1387">
        <v>4.82</v>
      </c>
      <c r="H1387">
        <v>4.8600000000000003</v>
      </c>
      <c r="I1387">
        <v>5</v>
      </c>
      <c r="K1387">
        <f t="shared" si="171"/>
        <v>0.99999999999997868</v>
      </c>
      <c r="L1387">
        <f t="shared" si="172"/>
        <v>2.0000000000000462</v>
      </c>
      <c r="M1387">
        <f t="shared" si="173"/>
        <v>0.99999999999997868</v>
      </c>
      <c r="N1387">
        <f t="shared" si="174"/>
        <v>0.99999999999997868</v>
      </c>
      <c r="O1387">
        <f t="shared" si="175"/>
        <v>0.99999999999997868</v>
      </c>
      <c r="P1387">
        <f t="shared" si="176"/>
        <v>1.0000000000000675</v>
      </c>
      <c r="Q1387">
        <f t="shared" si="177"/>
        <v>-0.99999999999997868</v>
      </c>
      <c r="R1387">
        <f t="shared" si="178"/>
        <v>-0.99999999999997868</v>
      </c>
    </row>
    <row r="1388" spans="1:18">
      <c r="A1388" s="9">
        <v>38740</v>
      </c>
      <c r="B1388">
        <v>4.84</v>
      </c>
      <c r="C1388">
        <v>4.78</v>
      </c>
      <c r="D1388">
        <v>4.76</v>
      </c>
      <c r="E1388">
        <v>4.7699999999999996</v>
      </c>
      <c r="F1388">
        <v>4.8</v>
      </c>
      <c r="G1388">
        <v>4.83</v>
      </c>
      <c r="H1388">
        <v>4.88</v>
      </c>
      <c r="I1388">
        <v>5.03</v>
      </c>
      <c r="K1388">
        <f t="shared" si="171"/>
        <v>0</v>
      </c>
      <c r="L1388">
        <f t="shared" si="172"/>
        <v>-0.99999999999997868</v>
      </c>
      <c r="M1388">
        <f t="shared" si="173"/>
        <v>0</v>
      </c>
      <c r="N1388">
        <f t="shared" si="174"/>
        <v>0</v>
      </c>
      <c r="O1388">
        <f t="shared" si="175"/>
        <v>0.99999999999997868</v>
      </c>
      <c r="P1388">
        <f t="shared" si="176"/>
        <v>0.99999999999997868</v>
      </c>
      <c r="Q1388">
        <f t="shared" si="177"/>
        <v>1.9999999999999574</v>
      </c>
      <c r="R1388">
        <f t="shared" si="178"/>
        <v>3.0000000000000249</v>
      </c>
    </row>
    <row r="1389" spans="1:18">
      <c r="A1389" s="9">
        <v>38741</v>
      </c>
      <c r="B1389">
        <v>4.84</v>
      </c>
      <c r="C1389">
        <v>4.78</v>
      </c>
      <c r="D1389">
        <v>4.76</v>
      </c>
      <c r="E1389">
        <v>4.7699999999999996</v>
      </c>
      <c r="F1389">
        <v>4.79</v>
      </c>
      <c r="G1389">
        <v>4.83</v>
      </c>
      <c r="H1389">
        <v>4.88</v>
      </c>
      <c r="I1389">
        <v>5.03</v>
      </c>
      <c r="K1389">
        <f t="shared" si="171"/>
        <v>0</v>
      </c>
      <c r="L1389">
        <f t="shared" si="172"/>
        <v>0</v>
      </c>
      <c r="M1389">
        <f t="shared" si="173"/>
        <v>0</v>
      </c>
      <c r="N1389">
        <f t="shared" si="174"/>
        <v>0</v>
      </c>
      <c r="O1389">
        <f t="shared" si="175"/>
        <v>-0.99999999999997868</v>
      </c>
      <c r="P1389">
        <f t="shared" si="176"/>
        <v>0</v>
      </c>
      <c r="Q1389">
        <f t="shared" si="177"/>
        <v>0</v>
      </c>
      <c r="R1389">
        <f t="shared" si="178"/>
        <v>0</v>
      </c>
    </row>
    <row r="1390" spans="1:18">
      <c r="A1390" s="9">
        <v>38742</v>
      </c>
      <c r="B1390">
        <v>4.88</v>
      </c>
      <c r="C1390">
        <v>4.83</v>
      </c>
      <c r="D1390">
        <v>4.82</v>
      </c>
      <c r="E1390">
        <v>4.83</v>
      </c>
      <c r="F1390">
        <v>4.8600000000000003</v>
      </c>
      <c r="G1390">
        <v>4.9000000000000004</v>
      </c>
      <c r="H1390">
        <v>4.95</v>
      </c>
      <c r="I1390">
        <v>5.0999999999999996</v>
      </c>
      <c r="K1390">
        <f t="shared" si="171"/>
        <v>4.0000000000000036</v>
      </c>
      <c r="L1390">
        <f t="shared" si="172"/>
        <v>4.9999999999999822</v>
      </c>
      <c r="M1390">
        <f t="shared" si="173"/>
        <v>6.0000000000000497</v>
      </c>
      <c r="N1390">
        <f t="shared" si="174"/>
        <v>6.0000000000000497</v>
      </c>
      <c r="O1390">
        <f t="shared" si="175"/>
        <v>7.0000000000000284</v>
      </c>
      <c r="P1390">
        <f t="shared" si="176"/>
        <v>7.0000000000000284</v>
      </c>
      <c r="Q1390">
        <f t="shared" si="177"/>
        <v>7.0000000000000284</v>
      </c>
      <c r="R1390">
        <f t="shared" si="178"/>
        <v>6.9999999999999396</v>
      </c>
    </row>
    <row r="1391" spans="1:18">
      <c r="A1391" s="9">
        <v>38743</v>
      </c>
      <c r="B1391">
        <v>4.92</v>
      </c>
      <c r="C1391">
        <v>4.8899999999999997</v>
      </c>
      <c r="D1391">
        <v>4.8899999999999997</v>
      </c>
      <c r="E1391">
        <v>4.91</v>
      </c>
      <c r="F1391">
        <v>4.9400000000000004</v>
      </c>
      <c r="G1391">
        <v>4.99</v>
      </c>
      <c r="H1391">
        <v>5.04</v>
      </c>
      <c r="I1391">
        <v>5.19</v>
      </c>
      <c r="K1391">
        <f t="shared" si="171"/>
        <v>4.0000000000000036</v>
      </c>
      <c r="L1391">
        <f t="shared" si="172"/>
        <v>5.9999999999999609</v>
      </c>
      <c r="M1391">
        <f t="shared" si="173"/>
        <v>6.9999999999999396</v>
      </c>
      <c r="N1391">
        <f t="shared" si="174"/>
        <v>8.0000000000000071</v>
      </c>
      <c r="O1391">
        <f t="shared" si="175"/>
        <v>8.0000000000000071</v>
      </c>
      <c r="P1391">
        <f t="shared" si="176"/>
        <v>8.9999999999999858</v>
      </c>
      <c r="Q1391">
        <f t="shared" si="177"/>
        <v>8.9999999999999858</v>
      </c>
      <c r="R1391">
        <f t="shared" si="178"/>
        <v>9.0000000000000746</v>
      </c>
    </row>
    <row r="1392" spans="1:18">
      <c r="A1392" s="9">
        <v>38744</v>
      </c>
      <c r="B1392">
        <v>4.92</v>
      </c>
      <c r="C1392">
        <v>4.9000000000000004</v>
      </c>
      <c r="D1392">
        <v>4.8899999999999997</v>
      </c>
      <c r="E1392">
        <v>4.92</v>
      </c>
      <c r="F1392">
        <v>4.9400000000000004</v>
      </c>
      <c r="G1392">
        <v>4.9800000000000004</v>
      </c>
      <c r="H1392">
        <v>5.04</v>
      </c>
      <c r="I1392">
        <v>5.18</v>
      </c>
      <c r="K1392">
        <f t="shared" si="171"/>
        <v>0</v>
      </c>
      <c r="L1392">
        <f t="shared" si="172"/>
        <v>1.0000000000000675</v>
      </c>
      <c r="M1392">
        <f t="shared" si="173"/>
        <v>0</v>
      </c>
      <c r="N1392">
        <f t="shared" si="174"/>
        <v>0.99999999999997868</v>
      </c>
      <c r="O1392">
        <f t="shared" si="175"/>
        <v>0</v>
      </c>
      <c r="P1392">
        <f t="shared" si="176"/>
        <v>-0.99999999999997868</v>
      </c>
      <c r="Q1392">
        <f t="shared" si="177"/>
        <v>0</v>
      </c>
      <c r="R1392">
        <f t="shared" si="178"/>
        <v>-1.0000000000000675</v>
      </c>
    </row>
    <row r="1393" spans="1:18">
      <c r="A1393" s="9">
        <v>38747</v>
      </c>
      <c r="B1393">
        <v>4.9400000000000004</v>
      </c>
      <c r="C1393">
        <v>4.93</v>
      </c>
      <c r="D1393">
        <v>4.93</v>
      </c>
      <c r="E1393">
        <v>4.9400000000000004</v>
      </c>
      <c r="F1393">
        <v>4.97</v>
      </c>
      <c r="G1393">
        <v>5.01</v>
      </c>
      <c r="H1393">
        <v>5.0599999999999996</v>
      </c>
      <c r="I1393">
        <v>5.19</v>
      </c>
      <c r="K1393">
        <f t="shared" si="171"/>
        <v>2.0000000000000462</v>
      </c>
      <c r="L1393">
        <f t="shared" si="172"/>
        <v>2.9999999999999361</v>
      </c>
      <c r="M1393">
        <f t="shared" si="173"/>
        <v>4.0000000000000036</v>
      </c>
      <c r="N1393">
        <f t="shared" si="174"/>
        <v>2.0000000000000462</v>
      </c>
      <c r="O1393">
        <f t="shared" si="175"/>
        <v>2.9999999999999361</v>
      </c>
      <c r="P1393">
        <f t="shared" si="176"/>
        <v>2.9999999999999361</v>
      </c>
      <c r="Q1393">
        <f t="shared" si="177"/>
        <v>1.9999999999999574</v>
      </c>
      <c r="R1393">
        <f t="shared" si="178"/>
        <v>1.0000000000000675</v>
      </c>
    </row>
    <row r="1394" spans="1:18">
      <c r="A1394" s="9">
        <v>38748</v>
      </c>
      <c r="B1394">
        <v>4.93</v>
      </c>
      <c r="C1394">
        <v>4.91</v>
      </c>
      <c r="D1394">
        <v>4.91</v>
      </c>
      <c r="E1394">
        <v>4.93</v>
      </c>
      <c r="F1394">
        <v>4.95</v>
      </c>
      <c r="G1394">
        <v>4.99</v>
      </c>
      <c r="H1394">
        <v>5.04</v>
      </c>
      <c r="I1394">
        <v>5.17</v>
      </c>
      <c r="K1394">
        <f t="shared" si="171"/>
        <v>-1.0000000000000675</v>
      </c>
      <c r="L1394">
        <f t="shared" si="172"/>
        <v>-1.9999999999999574</v>
      </c>
      <c r="M1394">
        <f t="shared" si="173"/>
        <v>-1.9999999999999574</v>
      </c>
      <c r="N1394">
        <f t="shared" si="174"/>
        <v>-1.0000000000000675</v>
      </c>
      <c r="O1394">
        <f t="shared" si="175"/>
        <v>-1.9999999999999574</v>
      </c>
      <c r="P1394">
        <f t="shared" si="176"/>
        <v>-1.9999999999999574</v>
      </c>
      <c r="Q1394">
        <f t="shared" si="177"/>
        <v>-1.9999999999999574</v>
      </c>
      <c r="R1394">
        <f t="shared" si="178"/>
        <v>-2.0000000000000462</v>
      </c>
    </row>
    <row r="1395" spans="1:18">
      <c r="A1395" s="9">
        <v>38749</v>
      </c>
      <c r="B1395">
        <v>4.9800000000000004</v>
      </c>
      <c r="C1395">
        <v>4.97</v>
      </c>
      <c r="D1395">
        <v>4.97</v>
      </c>
      <c r="E1395">
        <v>4.99</v>
      </c>
      <c r="F1395">
        <v>5.01</v>
      </c>
      <c r="G1395">
        <v>5.04</v>
      </c>
      <c r="H1395">
        <v>5.08</v>
      </c>
      <c r="I1395">
        <v>5.18</v>
      </c>
      <c r="K1395">
        <f t="shared" si="171"/>
        <v>5.0000000000000711</v>
      </c>
      <c r="L1395">
        <f t="shared" si="172"/>
        <v>5.9999999999999609</v>
      </c>
      <c r="M1395">
        <f t="shared" si="173"/>
        <v>5.9999999999999609</v>
      </c>
      <c r="N1395">
        <f t="shared" si="174"/>
        <v>6.0000000000000497</v>
      </c>
      <c r="O1395">
        <f t="shared" si="175"/>
        <v>5.9999999999999609</v>
      </c>
      <c r="P1395">
        <f t="shared" si="176"/>
        <v>4.9999999999999822</v>
      </c>
      <c r="Q1395">
        <f t="shared" si="177"/>
        <v>4.0000000000000036</v>
      </c>
      <c r="R1395">
        <f t="shared" si="178"/>
        <v>0.99999999999997868</v>
      </c>
    </row>
    <row r="1396" spans="1:18">
      <c r="A1396" s="9">
        <v>38750</v>
      </c>
      <c r="B1396">
        <v>5</v>
      </c>
      <c r="C1396">
        <v>4.99</v>
      </c>
      <c r="D1396">
        <v>4.99</v>
      </c>
      <c r="E1396">
        <v>5</v>
      </c>
      <c r="F1396">
        <v>5.0199999999999996</v>
      </c>
      <c r="G1396">
        <v>5.05</v>
      </c>
      <c r="H1396">
        <v>5.08</v>
      </c>
      <c r="I1396">
        <v>5.18</v>
      </c>
      <c r="K1396">
        <f t="shared" si="171"/>
        <v>1.9999999999999574</v>
      </c>
      <c r="L1396">
        <f t="shared" si="172"/>
        <v>2.0000000000000462</v>
      </c>
      <c r="M1396">
        <f t="shared" si="173"/>
        <v>2.0000000000000462</v>
      </c>
      <c r="N1396">
        <f t="shared" si="174"/>
        <v>0.99999999999997868</v>
      </c>
      <c r="O1396">
        <f t="shared" si="175"/>
        <v>0.99999999999997868</v>
      </c>
      <c r="P1396">
        <f t="shared" si="176"/>
        <v>0.99999999999997868</v>
      </c>
      <c r="Q1396">
        <f t="shared" si="177"/>
        <v>0</v>
      </c>
      <c r="R1396">
        <f t="shared" si="178"/>
        <v>0</v>
      </c>
    </row>
    <row r="1397" spans="1:18">
      <c r="A1397" s="9">
        <v>38751</v>
      </c>
      <c r="B1397">
        <v>5.0199999999999996</v>
      </c>
      <c r="C1397">
        <v>5.0199999999999996</v>
      </c>
      <c r="D1397">
        <v>5.0199999999999996</v>
      </c>
      <c r="E1397">
        <v>5.03</v>
      </c>
      <c r="F1397">
        <v>5.05</v>
      </c>
      <c r="G1397">
        <v>5.0599999999999996</v>
      </c>
      <c r="H1397">
        <v>5.09</v>
      </c>
      <c r="I1397">
        <v>5.16</v>
      </c>
      <c r="K1397">
        <f t="shared" si="171"/>
        <v>1.9999999999999574</v>
      </c>
      <c r="L1397">
        <f t="shared" si="172"/>
        <v>2.9999999999999361</v>
      </c>
      <c r="M1397">
        <f t="shared" si="173"/>
        <v>2.9999999999999361</v>
      </c>
      <c r="N1397">
        <f t="shared" si="174"/>
        <v>3.0000000000000249</v>
      </c>
      <c r="O1397">
        <f t="shared" si="175"/>
        <v>3.0000000000000249</v>
      </c>
      <c r="P1397">
        <f t="shared" si="176"/>
        <v>0.99999999999997868</v>
      </c>
      <c r="Q1397">
        <f t="shared" si="177"/>
        <v>0.99999999999997868</v>
      </c>
      <c r="R1397">
        <f t="shared" si="178"/>
        <v>-1.9999999999999574</v>
      </c>
    </row>
    <row r="1398" spans="1:18">
      <c r="A1398" s="9">
        <v>38754</v>
      </c>
      <c r="B1398">
        <v>5.04</v>
      </c>
      <c r="C1398">
        <v>5.0199999999999996</v>
      </c>
      <c r="D1398">
        <v>5.0199999999999996</v>
      </c>
      <c r="E1398">
        <v>5.0199999999999996</v>
      </c>
      <c r="F1398">
        <v>5.04</v>
      </c>
      <c r="G1398">
        <v>5.05</v>
      </c>
      <c r="H1398">
        <v>5.07</v>
      </c>
      <c r="I1398">
        <v>5.1100000000000003</v>
      </c>
      <c r="K1398">
        <f t="shared" si="171"/>
        <v>2.0000000000000462</v>
      </c>
      <c r="L1398">
        <f t="shared" si="172"/>
        <v>0</v>
      </c>
      <c r="M1398">
        <f t="shared" si="173"/>
        <v>0</v>
      </c>
      <c r="N1398">
        <f t="shared" si="174"/>
        <v>-1.0000000000000675</v>
      </c>
      <c r="O1398">
        <f t="shared" si="175"/>
        <v>-0.99999999999997868</v>
      </c>
      <c r="P1398">
        <f t="shared" si="176"/>
        <v>-0.99999999999997868</v>
      </c>
      <c r="Q1398">
        <f t="shared" si="177"/>
        <v>-1.9999999999999574</v>
      </c>
      <c r="R1398">
        <f t="shared" si="178"/>
        <v>-4.9999999999999822</v>
      </c>
    </row>
    <row r="1399" spans="1:18">
      <c r="A1399" s="9">
        <v>38755</v>
      </c>
      <c r="B1399">
        <v>5.05</v>
      </c>
      <c r="C1399">
        <v>5.0199999999999996</v>
      </c>
      <c r="D1399">
        <v>5.01</v>
      </c>
      <c r="E1399">
        <v>5.0199999999999996</v>
      </c>
      <c r="F1399">
        <v>5.04</v>
      </c>
      <c r="G1399">
        <v>5.05</v>
      </c>
      <c r="H1399">
        <v>5.08</v>
      </c>
      <c r="I1399">
        <v>5.14</v>
      </c>
      <c r="K1399">
        <f t="shared" si="171"/>
        <v>0.99999999999997868</v>
      </c>
      <c r="L1399">
        <f t="shared" si="172"/>
        <v>0</v>
      </c>
      <c r="M1399">
        <f t="shared" si="173"/>
        <v>-0.99999999999997868</v>
      </c>
      <c r="N1399">
        <f t="shared" si="174"/>
        <v>0</v>
      </c>
      <c r="O1399">
        <f t="shared" si="175"/>
        <v>0</v>
      </c>
      <c r="P1399">
        <f t="shared" si="176"/>
        <v>0</v>
      </c>
      <c r="Q1399">
        <f t="shared" si="177"/>
        <v>0.99999999999997868</v>
      </c>
      <c r="R1399">
        <f t="shared" si="178"/>
        <v>2.9999999999999361</v>
      </c>
    </row>
    <row r="1400" spans="1:18">
      <c r="A1400" s="9">
        <v>38756</v>
      </c>
      <c r="B1400">
        <v>5.05</v>
      </c>
      <c r="C1400">
        <v>5.0199999999999996</v>
      </c>
      <c r="D1400">
        <v>5.01</v>
      </c>
      <c r="E1400">
        <v>5.0199999999999996</v>
      </c>
      <c r="F1400">
        <v>5.04</v>
      </c>
      <c r="G1400">
        <v>5.0599999999999996</v>
      </c>
      <c r="H1400">
        <v>5.08</v>
      </c>
      <c r="I1400">
        <v>5.14</v>
      </c>
      <c r="K1400">
        <f t="shared" si="171"/>
        <v>0</v>
      </c>
      <c r="L1400">
        <f t="shared" si="172"/>
        <v>0</v>
      </c>
      <c r="M1400">
        <f t="shared" si="173"/>
        <v>0</v>
      </c>
      <c r="N1400">
        <f t="shared" si="174"/>
        <v>0</v>
      </c>
      <c r="O1400">
        <f t="shared" si="175"/>
        <v>0</v>
      </c>
      <c r="P1400">
        <f t="shared" si="176"/>
        <v>0.99999999999997868</v>
      </c>
      <c r="Q1400">
        <f t="shared" si="177"/>
        <v>0</v>
      </c>
      <c r="R1400">
        <f t="shared" si="178"/>
        <v>0</v>
      </c>
    </row>
    <row r="1401" spans="1:18">
      <c r="A1401" s="9">
        <v>38757</v>
      </c>
      <c r="B1401">
        <v>5.0599999999999996</v>
      </c>
      <c r="C1401">
        <v>5.04</v>
      </c>
      <c r="D1401">
        <v>5.03</v>
      </c>
      <c r="E1401">
        <v>5.03</v>
      </c>
      <c r="F1401">
        <v>5.05</v>
      </c>
      <c r="G1401">
        <v>5.07</v>
      </c>
      <c r="H1401">
        <v>5.0999999999999996</v>
      </c>
      <c r="I1401">
        <v>5.17</v>
      </c>
      <c r="K1401">
        <f t="shared" si="171"/>
        <v>0.99999999999997868</v>
      </c>
      <c r="L1401">
        <f t="shared" si="172"/>
        <v>2.0000000000000462</v>
      </c>
      <c r="M1401">
        <f t="shared" si="173"/>
        <v>2.0000000000000462</v>
      </c>
      <c r="N1401">
        <f t="shared" si="174"/>
        <v>1.0000000000000675</v>
      </c>
      <c r="O1401">
        <f t="shared" si="175"/>
        <v>0.99999999999997868</v>
      </c>
      <c r="P1401">
        <f t="shared" si="176"/>
        <v>1.0000000000000675</v>
      </c>
      <c r="Q1401">
        <f t="shared" si="177"/>
        <v>1.9999999999999574</v>
      </c>
      <c r="R1401">
        <f t="shared" si="178"/>
        <v>3.0000000000000249</v>
      </c>
    </row>
    <row r="1402" spans="1:18">
      <c r="A1402" s="9">
        <v>38758</v>
      </c>
      <c r="B1402">
        <v>5.07</v>
      </c>
      <c r="C1402">
        <v>5.04</v>
      </c>
      <c r="D1402">
        <v>5.0199999999999996</v>
      </c>
      <c r="E1402">
        <v>5.0199999999999996</v>
      </c>
      <c r="F1402">
        <v>5.03</v>
      </c>
      <c r="G1402">
        <v>5.04</v>
      </c>
      <c r="H1402">
        <v>5.0599999999999996</v>
      </c>
      <c r="I1402">
        <v>5.09</v>
      </c>
      <c r="K1402">
        <f t="shared" si="171"/>
        <v>1.0000000000000675</v>
      </c>
      <c r="L1402">
        <f t="shared" si="172"/>
        <v>0</v>
      </c>
      <c r="M1402">
        <f t="shared" si="173"/>
        <v>-1.0000000000000675</v>
      </c>
      <c r="N1402">
        <f t="shared" si="174"/>
        <v>-1.0000000000000675</v>
      </c>
      <c r="O1402">
        <f t="shared" si="175"/>
        <v>-1.9999999999999574</v>
      </c>
      <c r="P1402">
        <f t="shared" si="176"/>
        <v>-3.0000000000000249</v>
      </c>
      <c r="Q1402">
        <f t="shared" si="177"/>
        <v>-4.0000000000000036</v>
      </c>
      <c r="R1402">
        <f t="shared" si="178"/>
        <v>-8.0000000000000071</v>
      </c>
    </row>
    <row r="1403" spans="1:18">
      <c r="A1403" s="9">
        <v>38761</v>
      </c>
      <c r="B1403">
        <v>5.09</v>
      </c>
      <c r="C1403">
        <v>5.08</v>
      </c>
      <c r="D1403">
        <v>5.07</v>
      </c>
      <c r="E1403">
        <v>5.08</v>
      </c>
      <c r="F1403">
        <v>5.09</v>
      </c>
      <c r="G1403">
        <v>5.1100000000000003</v>
      </c>
      <c r="H1403">
        <v>5.12</v>
      </c>
      <c r="I1403">
        <v>5.16</v>
      </c>
      <c r="K1403">
        <f t="shared" si="171"/>
        <v>1.9999999999999574</v>
      </c>
      <c r="L1403">
        <f t="shared" si="172"/>
        <v>4.0000000000000036</v>
      </c>
      <c r="M1403">
        <f t="shared" si="173"/>
        <v>5.0000000000000711</v>
      </c>
      <c r="N1403">
        <f t="shared" si="174"/>
        <v>6.0000000000000497</v>
      </c>
      <c r="O1403">
        <f t="shared" si="175"/>
        <v>5.9999999999999609</v>
      </c>
      <c r="P1403">
        <f t="shared" si="176"/>
        <v>7.0000000000000284</v>
      </c>
      <c r="Q1403">
        <f t="shared" si="177"/>
        <v>6.0000000000000497</v>
      </c>
      <c r="R1403">
        <f t="shared" si="178"/>
        <v>7.0000000000000284</v>
      </c>
    </row>
    <row r="1404" spans="1:18">
      <c r="A1404" s="9">
        <v>38762</v>
      </c>
      <c r="B1404">
        <v>5.0999999999999996</v>
      </c>
      <c r="C1404">
        <v>5.08</v>
      </c>
      <c r="D1404">
        <v>5.07</v>
      </c>
      <c r="E1404">
        <v>5.08</v>
      </c>
      <c r="F1404">
        <v>5.09</v>
      </c>
      <c r="G1404">
        <v>5.1100000000000003</v>
      </c>
      <c r="H1404">
        <v>5.13</v>
      </c>
      <c r="I1404">
        <v>5.16</v>
      </c>
      <c r="K1404">
        <f t="shared" si="171"/>
        <v>0.99999999999997868</v>
      </c>
      <c r="L1404">
        <f t="shared" si="172"/>
        <v>0</v>
      </c>
      <c r="M1404">
        <f t="shared" si="173"/>
        <v>0</v>
      </c>
      <c r="N1404">
        <f t="shared" si="174"/>
        <v>0</v>
      </c>
      <c r="O1404">
        <f t="shared" si="175"/>
        <v>0</v>
      </c>
      <c r="P1404">
        <f t="shared" si="176"/>
        <v>0</v>
      </c>
      <c r="Q1404">
        <f t="shared" si="177"/>
        <v>0.99999999999997868</v>
      </c>
      <c r="R1404">
        <f t="shared" si="178"/>
        <v>0</v>
      </c>
    </row>
    <row r="1405" spans="1:18">
      <c r="A1405" s="9">
        <v>38763</v>
      </c>
      <c r="B1405">
        <v>5.09</v>
      </c>
      <c r="C1405">
        <v>5.08</v>
      </c>
      <c r="D1405">
        <v>5.07</v>
      </c>
      <c r="E1405">
        <v>5.08</v>
      </c>
      <c r="F1405">
        <v>5.0999999999999996</v>
      </c>
      <c r="G1405">
        <v>5.1100000000000003</v>
      </c>
      <c r="H1405">
        <v>5.12</v>
      </c>
      <c r="I1405">
        <v>5.16</v>
      </c>
      <c r="K1405">
        <f t="shared" si="171"/>
        <v>-0.99999999999997868</v>
      </c>
      <c r="L1405">
        <f t="shared" si="172"/>
        <v>0</v>
      </c>
      <c r="M1405">
        <f t="shared" si="173"/>
        <v>0</v>
      </c>
      <c r="N1405">
        <f t="shared" si="174"/>
        <v>0</v>
      </c>
      <c r="O1405">
        <f t="shared" si="175"/>
        <v>0.99999999999997868</v>
      </c>
      <c r="P1405">
        <f t="shared" si="176"/>
        <v>0</v>
      </c>
      <c r="Q1405">
        <f t="shared" si="177"/>
        <v>-0.99999999999997868</v>
      </c>
      <c r="R1405">
        <f t="shared" si="178"/>
        <v>0</v>
      </c>
    </row>
    <row r="1406" spans="1:18">
      <c r="A1406" s="9">
        <v>38764</v>
      </c>
      <c r="B1406">
        <v>5.0999999999999996</v>
      </c>
      <c r="C1406">
        <v>5.09</v>
      </c>
      <c r="D1406">
        <v>5.08</v>
      </c>
      <c r="E1406">
        <v>5.09</v>
      </c>
      <c r="F1406">
        <v>5.0999999999999996</v>
      </c>
      <c r="G1406">
        <v>5.1100000000000003</v>
      </c>
      <c r="H1406">
        <v>5.12</v>
      </c>
      <c r="I1406">
        <v>5.17</v>
      </c>
      <c r="K1406">
        <f t="shared" si="171"/>
        <v>0.99999999999997868</v>
      </c>
      <c r="L1406">
        <f t="shared" si="172"/>
        <v>0.99999999999997868</v>
      </c>
      <c r="M1406">
        <f t="shared" si="173"/>
        <v>0.99999999999997868</v>
      </c>
      <c r="N1406">
        <f t="shared" si="174"/>
        <v>0.99999999999997868</v>
      </c>
      <c r="O1406">
        <f t="shared" si="175"/>
        <v>0</v>
      </c>
      <c r="P1406">
        <f t="shared" si="176"/>
        <v>0</v>
      </c>
      <c r="Q1406">
        <f t="shared" si="177"/>
        <v>0</v>
      </c>
      <c r="R1406">
        <f t="shared" si="178"/>
        <v>0.99999999999997868</v>
      </c>
    </row>
    <row r="1407" spans="1:18">
      <c r="A1407" s="9">
        <v>38765</v>
      </c>
      <c r="B1407">
        <v>5.09</v>
      </c>
      <c r="C1407">
        <v>5.0599999999999996</v>
      </c>
      <c r="D1407">
        <v>5.0599999999999996</v>
      </c>
      <c r="E1407">
        <v>5.05</v>
      </c>
      <c r="F1407">
        <v>5.0599999999999996</v>
      </c>
      <c r="G1407">
        <v>5.07</v>
      </c>
      <c r="H1407">
        <v>5.08</v>
      </c>
      <c r="I1407">
        <v>5.1100000000000003</v>
      </c>
      <c r="K1407">
        <f t="shared" si="171"/>
        <v>-0.99999999999997868</v>
      </c>
      <c r="L1407">
        <f t="shared" si="172"/>
        <v>-3.0000000000000249</v>
      </c>
      <c r="M1407">
        <f t="shared" si="173"/>
        <v>-2.0000000000000462</v>
      </c>
      <c r="N1407">
        <f t="shared" si="174"/>
        <v>-4.0000000000000036</v>
      </c>
      <c r="O1407">
        <f t="shared" si="175"/>
        <v>-4.0000000000000036</v>
      </c>
      <c r="P1407">
        <f t="shared" si="176"/>
        <v>-4.0000000000000036</v>
      </c>
      <c r="Q1407">
        <f t="shared" si="177"/>
        <v>-4.0000000000000036</v>
      </c>
      <c r="R1407">
        <f t="shared" si="178"/>
        <v>-5.9999999999999609</v>
      </c>
    </row>
    <row r="1408" spans="1:18">
      <c r="A1408" s="9">
        <v>38769</v>
      </c>
      <c r="B1408">
        <v>5.1100000000000003</v>
      </c>
      <c r="C1408">
        <v>5.08</v>
      </c>
      <c r="D1408">
        <v>5.08</v>
      </c>
      <c r="E1408">
        <v>5.08</v>
      </c>
      <c r="F1408">
        <v>5.08</v>
      </c>
      <c r="G1408">
        <v>5.09</v>
      </c>
      <c r="H1408">
        <v>5.09</v>
      </c>
      <c r="I1408">
        <v>5.1100000000000003</v>
      </c>
      <c r="K1408">
        <f t="shared" si="171"/>
        <v>2.0000000000000462</v>
      </c>
      <c r="L1408">
        <f t="shared" si="172"/>
        <v>2.0000000000000462</v>
      </c>
      <c r="M1408">
        <f t="shared" si="173"/>
        <v>2.0000000000000462</v>
      </c>
      <c r="N1408">
        <f t="shared" si="174"/>
        <v>3.0000000000000249</v>
      </c>
      <c r="O1408">
        <f t="shared" si="175"/>
        <v>2.0000000000000462</v>
      </c>
      <c r="P1408">
        <f t="shared" si="176"/>
        <v>1.9999999999999574</v>
      </c>
      <c r="Q1408">
        <f t="shared" si="177"/>
        <v>0.99999999999997868</v>
      </c>
      <c r="R1408">
        <f t="shared" si="178"/>
        <v>0</v>
      </c>
    </row>
    <row r="1409" spans="1:18">
      <c r="A1409" s="9">
        <v>38770</v>
      </c>
      <c r="B1409">
        <v>5.12</v>
      </c>
      <c r="C1409">
        <v>5.09</v>
      </c>
      <c r="D1409">
        <v>5.07</v>
      </c>
      <c r="E1409">
        <v>5.0599999999999996</v>
      </c>
      <c r="F1409">
        <v>5.07</v>
      </c>
      <c r="G1409">
        <v>5.07</v>
      </c>
      <c r="H1409">
        <v>5.0599999999999996</v>
      </c>
      <c r="I1409">
        <v>5.07</v>
      </c>
      <c r="K1409">
        <f t="shared" si="171"/>
        <v>0.99999999999997868</v>
      </c>
      <c r="L1409">
        <f t="shared" si="172"/>
        <v>0.99999999999997868</v>
      </c>
      <c r="M1409">
        <f t="shared" si="173"/>
        <v>-0.99999999999997868</v>
      </c>
      <c r="N1409">
        <f t="shared" si="174"/>
        <v>-2.0000000000000462</v>
      </c>
      <c r="O1409">
        <f t="shared" si="175"/>
        <v>-0.99999999999997868</v>
      </c>
      <c r="P1409">
        <f t="shared" si="176"/>
        <v>-1.9999999999999574</v>
      </c>
      <c r="Q1409">
        <f t="shared" si="177"/>
        <v>-3.0000000000000249</v>
      </c>
      <c r="R1409">
        <f t="shared" si="178"/>
        <v>-4.0000000000000036</v>
      </c>
    </row>
    <row r="1410" spans="1:18">
      <c r="A1410" s="9">
        <v>38771</v>
      </c>
      <c r="B1410">
        <v>5.14</v>
      </c>
      <c r="C1410">
        <v>5.12</v>
      </c>
      <c r="D1410">
        <v>5.1100000000000003</v>
      </c>
      <c r="E1410">
        <v>5.0999999999999996</v>
      </c>
      <c r="F1410">
        <v>5.0999999999999996</v>
      </c>
      <c r="G1410">
        <v>5.0999999999999996</v>
      </c>
      <c r="H1410">
        <v>5.0999999999999996</v>
      </c>
      <c r="I1410">
        <v>5.1100000000000003</v>
      </c>
      <c r="K1410">
        <f t="shared" si="171"/>
        <v>1.9999999999999574</v>
      </c>
      <c r="L1410">
        <f t="shared" si="172"/>
        <v>3.0000000000000249</v>
      </c>
      <c r="M1410">
        <f t="shared" si="173"/>
        <v>4.0000000000000036</v>
      </c>
      <c r="N1410">
        <f t="shared" si="174"/>
        <v>4.0000000000000036</v>
      </c>
      <c r="O1410">
        <f t="shared" si="175"/>
        <v>2.9999999999999361</v>
      </c>
      <c r="P1410">
        <f t="shared" si="176"/>
        <v>2.9999999999999361</v>
      </c>
      <c r="Q1410">
        <f t="shared" si="177"/>
        <v>4.0000000000000036</v>
      </c>
      <c r="R1410">
        <f t="shared" si="178"/>
        <v>4.0000000000000036</v>
      </c>
    </row>
    <row r="1411" spans="1:18">
      <c r="A1411" s="9">
        <v>38772</v>
      </c>
      <c r="B1411">
        <v>5.15</v>
      </c>
      <c r="C1411">
        <v>5.12</v>
      </c>
      <c r="D1411">
        <v>5.0999999999999996</v>
      </c>
      <c r="E1411">
        <v>5.0999999999999996</v>
      </c>
      <c r="F1411">
        <v>5.0999999999999996</v>
      </c>
      <c r="G1411">
        <v>5.0999999999999996</v>
      </c>
      <c r="H1411">
        <v>5.0999999999999996</v>
      </c>
      <c r="I1411">
        <v>5.0999999999999996</v>
      </c>
      <c r="K1411">
        <f t="shared" si="171"/>
        <v>1.0000000000000675</v>
      </c>
      <c r="L1411">
        <f t="shared" si="172"/>
        <v>0</v>
      </c>
      <c r="M1411">
        <f t="shared" si="173"/>
        <v>-1.0000000000000675</v>
      </c>
      <c r="N1411">
        <f t="shared" si="174"/>
        <v>0</v>
      </c>
      <c r="O1411">
        <f t="shared" si="175"/>
        <v>0</v>
      </c>
      <c r="P1411">
        <f t="shared" si="176"/>
        <v>0</v>
      </c>
      <c r="Q1411">
        <f t="shared" si="177"/>
        <v>0</v>
      </c>
      <c r="R1411">
        <f t="shared" si="178"/>
        <v>-1.0000000000000675</v>
      </c>
    </row>
    <row r="1412" spans="1:18">
      <c r="A1412" s="9">
        <v>38775</v>
      </c>
      <c r="B1412">
        <v>5.15</v>
      </c>
      <c r="C1412">
        <v>5.13</v>
      </c>
      <c r="D1412">
        <v>5.1100000000000003</v>
      </c>
      <c r="E1412">
        <v>5.0999999999999996</v>
      </c>
      <c r="F1412">
        <v>5.0999999999999996</v>
      </c>
      <c r="G1412">
        <v>5.0999999999999996</v>
      </c>
      <c r="H1412">
        <v>5.0999999999999996</v>
      </c>
      <c r="I1412">
        <v>5.09</v>
      </c>
      <c r="K1412">
        <f t="shared" si="171"/>
        <v>0</v>
      </c>
      <c r="L1412">
        <f t="shared" si="172"/>
        <v>0.99999999999997868</v>
      </c>
      <c r="M1412">
        <f t="shared" si="173"/>
        <v>1.0000000000000675</v>
      </c>
      <c r="N1412">
        <f t="shared" si="174"/>
        <v>0</v>
      </c>
      <c r="O1412">
        <f t="shared" si="175"/>
        <v>0</v>
      </c>
      <c r="P1412">
        <f t="shared" si="176"/>
        <v>0</v>
      </c>
      <c r="Q1412">
        <f t="shared" si="177"/>
        <v>0</v>
      </c>
      <c r="R1412">
        <f t="shared" si="178"/>
        <v>-0.99999999999997868</v>
      </c>
    </row>
    <row r="1413" spans="1:18">
      <c r="A1413" s="9">
        <v>38776</v>
      </c>
      <c r="B1413">
        <v>5.13</v>
      </c>
      <c r="C1413">
        <v>5.09</v>
      </c>
      <c r="D1413">
        <v>5.07</v>
      </c>
      <c r="E1413">
        <v>5.07</v>
      </c>
      <c r="F1413">
        <v>5.08</v>
      </c>
      <c r="G1413">
        <v>5.08</v>
      </c>
      <c r="H1413">
        <v>5.09</v>
      </c>
      <c r="I1413">
        <v>5.0999999999999996</v>
      </c>
      <c r="K1413">
        <f t="shared" ref="K1413:K1476" si="179">(B1413-B1412)*100</f>
        <v>-2.0000000000000462</v>
      </c>
      <c r="L1413">
        <f t="shared" ref="L1413:L1476" si="180">(C1413-C1412)*100</f>
        <v>-4.0000000000000036</v>
      </c>
      <c r="M1413">
        <f t="shared" ref="M1413:M1476" si="181">(D1413-D1412)*100</f>
        <v>-4.0000000000000036</v>
      </c>
      <c r="N1413">
        <f t="shared" ref="N1413:N1476" si="182">(E1413-E1412)*100</f>
        <v>-2.9999999999999361</v>
      </c>
      <c r="O1413">
        <f t="shared" ref="O1413:O1476" si="183">(F1413-F1412)*100</f>
        <v>-1.9999999999999574</v>
      </c>
      <c r="P1413">
        <f t="shared" ref="P1413:P1476" si="184">(G1413-G1412)*100</f>
        <v>-1.9999999999999574</v>
      </c>
      <c r="Q1413">
        <f t="shared" ref="Q1413:Q1476" si="185">(H1413-H1412)*100</f>
        <v>-0.99999999999997868</v>
      </c>
      <c r="R1413">
        <f t="shared" ref="R1413:R1476" si="186">(I1413-I1412)*100</f>
        <v>0.99999999999997868</v>
      </c>
    </row>
    <row r="1414" spans="1:18">
      <c r="A1414" s="9">
        <v>38777</v>
      </c>
      <c r="B1414">
        <v>5.12</v>
      </c>
      <c r="C1414">
        <v>5.09</v>
      </c>
      <c r="D1414">
        <v>5.07</v>
      </c>
      <c r="E1414">
        <v>5.07</v>
      </c>
      <c r="F1414">
        <v>5.08</v>
      </c>
      <c r="G1414">
        <v>5.09</v>
      </c>
      <c r="H1414">
        <v>5.1100000000000003</v>
      </c>
      <c r="I1414">
        <v>5.13</v>
      </c>
      <c r="K1414">
        <f t="shared" si="179"/>
        <v>-0.99999999999997868</v>
      </c>
      <c r="L1414">
        <f t="shared" si="180"/>
        <v>0</v>
      </c>
      <c r="M1414">
        <f t="shared" si="181"/>
        <v>0</v>
      </c>
      <c r="N1414">
        <f t="shared" si="182"/>
        <v>0</v>
      </c>
      <c r="O1414">
        <f t="shared" si="183"/>
        <v>0</v>
      </c>
      <c r="P1414">
        <f t="shared" si="184"/>
        <v>0.99999999999997868</v>
      </c>
      <c r="Q1414">
        <f t="shared" si="185"/>
        <v>2.0000000000000462</v>
      </c>
      <c r="R1414">
        <f t="shared" si="186"/>
        <v>3.0000000000000249</v>
      </c>
    </row>
    <row r="1415" spans="1:18">
      <c r="A1415" s="9">
        <v>38778</v>
      </c>
      <c r="B1415">
        <v>5.16</v>
      </c>
      <c r="C1415">
        <v>5.14</v>
      </c>
      <c r="D1415">
        <v>5.13</v>
      </c>
      <c r="E1415">
        <v>5.15</v>
      </c>
      <c r="F1415">
        <v>5.16</v>
      </c>
      <c r="G1415">
        <v>5.18</v>
      </c>
      <c r="H1415">
        <v>5.2</v>
      </c>
      <c r="I1415">
        <v>5.22</v>
      </c>
      <c r="K1415">
        <f t="shared" si="179"/>
        <v>4.0000000000000036</v>
      </c>
      <c r="L1415">
        <f t="shared" si="180"/>
        <v>4.9999999999999822</v>
      </c>
      <c r="M1415">
        <f t="shared" si="181"/>
        <v>5.9999999999999609</v>
      </c>
      <c r="N1415">
        <f t="shared" si="182"/>
        <v>8.0000000000000071</v>
      </c>
      <c r="O1415">
        <f t="shared" si="183"/>
        <v>8.0000000000000071</v>
      </c>
      <c r="P1415">
        <f t="shared" si="184"/>
        <v>8.9999999999999858</v>
      </c>
      <c r="Q1415">
        <f t="shared" si="185"/>
        <v>8.9999999999999858</v>
      </c>
      <c r="R1415">
        <f t="shared" si="186"/>
        <v>8.9999999999999858</v>
      </c>
    </row>
    <row r="1416" spans="1:18">
      <c r="A1416" s="9">
        <v>38779</v>
      </c>
      <c r="B1416">
        <v>5.18</v>
      </c>
      <c r="C1416">
        <v>5.17</v>
      </c>
      <c r="D1416">
        <v>5.16</v>
      </c>
      <c r="E1416">
        <v>5.18</v>
      </c>
      <c r="F1416">
        <v>5.2</v>
      </c>
      <c r="G1416">
        <v>5.21</v>
      </c>
      <c r="H1416">
        <v>5.23</v>
      </c>
      <c r="I1416">
        <v>5.25</v>
      </c>
      <c r="K1416">
        <f t="shared" si="179"/>
        <v>1.9999999999999574</v>
      </c>
      <c r="L1416">
        <f t="shared" si="180"/>
        <v>3.0000000000000249</v>
      </c>
      <c r="M1416">
        <f t="shared" si="181"/>
        <v>3.0000000000000249</v>
      </c>
      <c r="N1416">
        <f t="shared" si="182"/>
        <v>2.9999999999999361</v>
      </c>
      <c r="O1416">
        <f t="shared" si="183"/>
        <v>4.0000000000000036</v>
      </c>
      <c r="P1416">
        <f t="shared" si="184"/>
        <v>3.0000000000000249</v>
      </c>
      <c r="Q1416">
        <f t="shared" si="185"/>
        <v>3.0000000000000249</v>
      </c>
      <c r="R1416">
        <f t="shared" si="186"/>
        <v>3.0000000000000249</v>
      </c>
    </row>
    <row r="1417" spans="1:18">
      <c r="A1417" s="9">
        <v>38782</v>
      </c>
      <c r="B1417">
        <v>5.18</v>
      </c>
      <c r="C1417">
        <v>5.18</v>
      </c>
      <c r="D1417">
        <v>5.18</v>
      </c>
      <c r="E1417">
        <v>5.19</v>
      </c>
      <c r="F1417">
        <v>5.21</v>
      </c>
      <c r="G1417">
        <v>5.24</v>
      </c>
      <c r="H1417">
        <v>5.26</v>
      </c>
      <c r="I1417">
        <v>5.3</v>
      </c>
      <c r="K1417">
        <f t="shared" si="179"/>
        <v>0</v>
      </c>
      <c r="L1417">
        <f t="shared" si="180"/>
        <v>0.99999999999997868</v>
      </c>
      <c r="M1417">
        <f t="shared" si="181"/>
        <v>1.9999999999999574</v>
      </c>
      <c r="N1417">
        <f t="shared" si="182"/>
        <v>1.0000000000000675</v>
      </c>
      <c r="O1417">
        <f t="shared" si="183"/>
        <v>0.99999999999997868</v>
      </c>
      <c r="P1417">
        <f t="shared" si="184"/>
        <v>3.0000000000000249</v>
      </c>
      <c r="Q1417">
        <f t="shared" si="185"/>
        <v>2.9999999999999361</v>
      </c>
      <c r="R1417">
        <f t="shared" si="186"/>
        <v>4.9999999999999822</v>
      </c>
    </row>
    <row r="1418" spans="1:18">
      <c r="A1418" s="9">
        <v>38783</v>
      </c>
      <c r="B1418">
        <v>5.2</v>
      </c>
      <c r="C1418">
        <v>5.21</v>
      </c>
      <c r="D1418">
        <v>5.21</v>
      </c>
      <c r="E1418">
        <v>5.23</v>
      </c>
      <c r="F1418">
        <v>5.25</v>
      </c>
      <c r="G1418">
        <v>5.27</v>
      </c>
      <c r="H1418">
        <v>5.3</v>
      </c>
      <c r="I1418">
        <v>5.33</v>
      </c>
      <c r="K1418">
        <f t="shared" si="179"/>
        <v>2.0000000000000462</v>
      </c>
      <c r="L1418">
        <f t="shared" si="180"/>
        <v>3.0000000000000249</v>
      </c>
      <c r="M1418">
        <f t="shared" si="181"/>
        <v>3.0000000000000249</v>
      </c>
      <c r="N1418">
        <f t="shared" si="182"/>
        <v>4.0000000000000036</v>
      </c>
      <c r="O1418">
        <f t="shared" si="183"/>
        <v>4.0000000000000036</v>
      </c>
      <c r="P1418">
        <f t="shared" si="184"/>
        <v>2.9999999999999361</v>
      </c>
      <c r="Q1418">
        <f t="shared" si="185"/>
        <v>4.0000000000000036</v>
      </c>
      <c r="R1418">
        <f t="shared" si="186"/>
        <v>3.0000000000000249</v>
      </c>
    </row>
    <row r="1419" spans="1:18">
      <c r="A1419" s="9">
        <v>38784</v>
      </c>
      <c r="B1419">
        <v>5.19</v>
      </c>
      <c r="C1419">
        <v>5.2</v>
      </c>
      <c r="D1419">
        <v>5.2</v>
      </c>
      <c r="E1419">
        <v>5.22</v>
      </c>
      <c r="F1419">
        <v>5.23</v>
      </c>
      <c r="G1419">
        <v>5.26</v>
      </c>
      <c r="H1419">
        <v>5.29</v>
      </c>
      <c r="I1419">
        <v>5.32</v>
      </c>
      <c r="K1419">
        <f t="shared" si="179"/>
        <v>-0.99999999999997868</v>
      </c>
      <c r="L1419">
        <f t="shared" si="180"/>
        <v>-0.99999999999997868</v>
      </c>
      <c r="M1419">
        <f t="shared" si="181"/>
        <v>-0.99999999999997868</v>
      </c>
      <c r="N1419">
        <f t="shared" si="182"/>
        <v>-1.0000000000000675</v>
      </c>
      <c r="O1419">
        <f t="shared" si="183"/>
        <v>-1.9999999999999574</v>
      </c>
      <c r="P1419">
        <f t="shared" si="184"/>
        <v>-0.99999999999997868</v>
      </c>
      <c r="Q1419">
        <f t="shared" si="185"/>
        <v>-0.99999999999997868</v>
      </c>
      <c r="R1419">
        <f t="shared" si="186"/>
        <v>-0.99999999999997868</v>
      </c>
    </row>
    <row r="1420" spans="1:18">
      <c r="A1420" s="9">
        <v>38785</v>
      </c>
      <c r="B1420">
        <v>5.19</v>
      </c>
      <c r="C1420">
        <v>5.19</v>
      </c>
      <c r="D1420">
        <v>5.2</v>
      </c>
      <c r="E1420">
        <v>5.21</v>
      </c>
      <c r="F1420">
        <v>5.23</v>
      </c>
      <c r="G1420">
        <v>5.26</v>
      </c>
      <c r="H1420">
        <v>5.29</v>
      </c>
      <c r="I1420">
        <v>5.32</v>
      </c>
      <c r="K1420">
        <f t="shared" si="179"/>
        <v>0</v>
      </c>
      <c r="L1420">
        <f t="shared" si="180"/>
        <v>-0.99999999999997868</v>
      </c>
      <c r="M1420">
        <f t="shared" si="181"/>
        <v>0</v>
      </c>
      <c r="N1420">
        <f t="shared" si="182"/>
        <v>-0.99999999999997868</v>
      </c>
      <c r="O1420">
        <f t="shared" si="183"/>
        <v>0</v>
      </c>
      <c r="P1420">
        <f t="shared" si="184"/>
        <v>0</v>
      </c>
      <c r="Q1420">
        <f t="shared" si="185"/>
        <v>0</v>
      </c>
      <c r="R1420">
        <f t="shared" si="186"/>
        <v>0</v>
      </c>
    </row>
    <row r="1421" spans="1:18">
      <c r="A1421" s="9">
        <v>38786</v>
      </c>
      <c r="B1421">
        <v>5.23</v>
      </c>
      <c r="C1421">
        <v>5.23</v>
      </c>
      <c r="D1421">
        <v>5.23</v>
      </c>
      <c r="E1421">
        <v>5.24</v>
      </c>
      <c r="F1421">
        <v>5.26</v>
      </c>
      <c r="G1421">
        <v>5.29</v>
      </c>
      <c r="H1421">
        <v>5.32</v>
      </c>
      <c r="I1421">
        <v>5.35</v>
      </c>
      <c r="K1421">
        <f t="shared" si="179"/>
        <v>4.0000000000000036</v>
      </c>
      <c r="L1421">
        <f t="shared" si="180"/>
        <v>4.0000000000000036</v>
      </c>
      <c r="M1421">
        <f t="shared" si="181"/>
        <v>3.0000000000000249</v>
      </c>
      <c r="N1421">
        <f t="shared" si="182"/>
        <v>3.0000000000000249</v>
      </c>
      <c r="O1421">
        <f t="shared" si="183"/>
        <v>2.9999999999999361</v>
      </c>
      <c r="P1421">
        <f t="shared" si="184"/>
        <v>3.0000000000000249</v>
      </c>
      <c r="Q1421">
        <f t="shared" si="185"/>
        <v>3.0000000000000249</v>
      </c>
      <c r="R1421">
        <f t="shared" si="186"/>
        <v>2.9999999999999361</v>
      </c>
    </row>
    <row r="1422" spans="1:18">
      <c r="A1422" s="9">
        <v>38789</v>
      </c>
      <c r="B1422">
        <v>5.23</v>
      </c>
      <c r="C1422">
        <v>5.22</v>
      </c>
      <c r="D1422">
        <v>5.23</v>
      </c>
      <c r="E1422">
        <v>5.24</v>
      </c>
      <c r="F1422">
        <v>5.26</v>
      </c>
      <c r="G1422">
        <v>5.29</v>
      </c>
      <c r="H1422">
        <v>5.32</v>
      </c>
      <c r="I1422">
        <v>5.36</v>
      </c>
      <c r="K1422">
        <f t="shared" si="179"/>
        <v>0</v>
      </c>
      <c r="L1422">
        <f t="shared" si="180"/>
        <v>-1.0000000000000675</v>
      </c>
      <c r="M1422">
        <f t="shared" si="181"/>
        <v>0</v>
      </c>
      <c r="N1422">
        <f t="shared" si="182"/>
        <v>0</v>
      </c>
      <c r="O1422">
        <f t="shared" si="183"/>
        <v>0</v>
      </c>
      <c r="P1422">
        <f t="shared" si="184"/>
        <v>0</v>
      </c>
      <c r="Q1422">
        <f t="shared" si="185"/>
        <v>0</v>
      </c>
      <c r="R1422">
        <f t="shared" si="186"/>
        <v>1.0000000000000675</v>
      </c>
    </row>
    <row r="1423" spans="1:18">
      <c r="A1423" s="9">
        <v>38790</v>
      </c>
      <c r="B1423">
        <v>5.19</v>
      </c>
      <c r="C1423">
        <v>5.16</v>
      </c>
      <c r="D1423">
        <v>5.16</v>
      </c>
      <c r="E1423">
        <v>5.17</v>
      </c>
      <c r="F1423">
        <v>5.19</v>
      </c>
      <c r="G1423">
        <v>5.21</v>
      </c>
      <c r="H1423">
        <v>5.25</v>
      </c>
      <c r="I1423">
        <v>5.3</v>
      </c>
      <c r="K1423">
        <f t="shared" si="179"/>
        <v>-4.0000000000000036</v>
      </c>
      <c r="L1423">
        <f t="shared" si="180"/>
        <v>-5.9999999999999609</v>
      </c>
      <c r="M1423">
        <f t="shared" si="181"/>
        <v>-7.0000000000000284</v>
      </c>
      <c r="N1423">
        <f t="shared" si="182"/>
        <v>-7.0000000000000284</v>
      </c>
      <c r="O1423">
        <f t="shared" si="183"/>
        <v>-6.9999999999999396</v>
      </c>
      <c r="P1423">
        <f t="shared" si="184"/>
        <v>-8.0000000000000071</v>
      </c>
      <c r="Q1423">
        <f t="shared" si="185"/>
        <v>-7.0000000000000284</v>
      </c>
      <c r="R1423">
        <f t="shared" si="186"/>
        <v>-6.0000000000000497</v>
      </c>
    </row>
    <row r="1424" spans="1:18">
      <c r="A1424" s="9">
        <v>38791</v>
      </c>
      <c r="B1424">
        <v>5.17</v>
      </c>
      <c r="C1424">
        <v>5.15</v>
      </c>
      <c r="D1424">
        <v>5.14</v>
      </c>
      <c r="E1424">
        <v>5.16</v>
      </c>
      <c r="F1424">
        <v>5.18</v>
      </c>
      <c r="G1424">
        <v>5.22</v>
      </c>
      <c r="H1424">
        <v>5.27</v>
      </c>
      <c r="I1424">
        <v>5.35</v>
      </c>
      <c r="K1424">
        <f t="shared" si="179"/>
        <v>-2.0000000000000462</v>
      </c>
      <c r="L1424">
        <f t="shared" si="180"/>
        <v>-0.99999999999997868</v>
      </c>
      <c r="M1424">
        <f t="shared" si="181"/>
        <v>-2.0000000000000462</v>
      </c>
      <c r="N1424">
        <f t="shared" si="182"/>
        <v>-0.99999999999997868</v>
      </c>
      <c r="O1424">
        <f t="shared" si="183"/>
        <v>-1.0000000000000675</v>
      </c>
      <c r="P1424">
        <f t="shared" si="184"/>
        <v>0.99999999999997868</v>
      </c>
      <c r="Q1424">
        <f t="shared" si="185"/>
        <v>1.9999999999999574</v>
      </c>
      <c r="R1424">
        <f t="shared" si="186"/>
        <v>4.9999999999999822</v>
      </c>
    </row>
    <row r="1425" spans="1:18">
      <c r="A1425" s="9">
        <v>38792</v>
      </c>
      <c r="B1425">
        <v>5.13</v>
      </c>
      <c r="C1425">
        <v>5.09</v>
      </c>
      <c r="D1425">
        <v>5.07</v>
      </c>
      <c r="E1425">
        <v>5.09</v>
      </c>
      <c r="F1425">
        <v>5.1100000000000003</v>
      </c>
      <c r="G1425">
        <v>5.16</v>
      </c>
      <c r="H1425">
        <v>5.2</v>
      </c>
      <c r="I1425">
        <v>5.28</v>
      </c>
      <c r="K1425">
        <f t="shared" si="179"/>
        <v>-4.0000000000000036</v>
      </c>
      <c r="L1425">
        <f t="shared" si="180"/>
        <v>-6.0000000000000497</v>
      </c>
      <c r="M1425">
        <f t="shared" si="181"/>
        <v>-6.9999999999999396</v>
      </c>
      <c r="N1425">
        <f t="shared" si="182"/>
        <v>-7.0000000000000284</v>
      </c>
      <c r="O1425">
        <f t="shared" si="183"/>
        <v>-6.9999999999999396</v>
      </c>
      <c r="P1425">
        <f t="shared" si="184"/>
        <v>-5.9999999999999609</v>
      </c>
      <c r="Q1425">
        <f t="shared" si="185"/>
        <v>-6.9999999999999396</v>
      </c>
      <c r="R1425">
        <f t="shared" si="186"/>
        <v>-6.9999999999999396</v>
      </c>
    </row>
    <row r="1426" spans="1:18">
      <c r="A1426" s="9">
        <v>38793</v>
      </c>
      <c r="B1426">
        <v>5.14</v>
      </c>
      <c r="C1426">
        <v>5.08</v>
      </c>
      <c r="D1426">
        <v>5.0599999999999996</v>
      </c>
      <c r="E1426">
        <v>5.08</v>
      </c>
      <c r="F1426">
        <v>5.1100000000000003</v>
      </c>
      <c r="G1426">
        <v>5.15</v>
      </c>
      <c r="H1426">
        <v>5.21</v>
      </c>
      <c r="I1426">
        <v>5.3</v>
      </c>
      <c r="K1426">
        <f t="shared" si="179"/>
        <v>0.99999999999997868</v>
      </c>
      <c r="L1426">
        <f t="shared" si="180"/>
        <v>-0.99999999999997868</v>
      </c>
      <c r="M1426">
        <f t="shared" si="181"/>
        <v>-1.0000000000000675</v>
      </c>
      <c r="N1426">
        <f t="shared" si="182"/>
        <v>-0.99999999999997868</v>
      </c>
      <c r="O1426">
        <f t="shared" si="183"/>
        <v>0</v>
      </c>
      <c r="P1426">
        <f t="shared" si="184"/>
        <v>-0.99999999999997868</v>
      </c>
      <c r="Q1426">
        <f t="shared" si="185"/>
        <v>0.99999999999997868</v>
      </c>
      <c r="R1426">
        <f t="shared" si="186"/>
        <v>1.9999999999999574</v>
      </c>
    </row>
    <row r="1427" spans="1:18">
      <c r="A1427" s="9">
        <v>38796</v>
      </c>
      <c r="B1427">
        <v>5.12</v>
      </c>
      <c r="C1427">
        <v>5.0599999999999996</v>
      </c>
      <c r="D1427">
        <v>5.05</v>
      </c>
      <c r="E1427">
        <v>5.0599999999999996</v>
      </c>
      <c r="F1427">
        <v>5.08</v>
      </c>
      <c r="G1427">
        <v>5.12</v>
      </c>
      <c r="H1427">
        <v>5.18</v>
      </c>
      <c r="I1427">
        <v>5.26</v>
      </c>
      <c r="K1427">
        <f t="shared" si="179"/>
        <v>-1.9999999999999574</v>
      </c>
      <c r="L1427">
        <f t="shared" si="180"/>
        <v>-2.0000000000000462</v>
      </c>
      <c r="M1427">
        <f t="shared" si="181"/>
        <v>-0.99999999999997868</v>
      </c>
      <c r="N1427">
        <f t="shared" si="182"/>
        <v>-2.0000000000000462</v>
      </c>
      <c r="O1427">
        <f t="shared" si="183"/>
        <v>-3.0000000000000249</v>
      </c>
      <c r="P1427">
        <f t="shared" si="184"/>
        <v>-3.0000000000000249</v>
      </c>
      <c r="Q1427">
        <f t="shared" si="185"/>
        <v>-3.0000000000000249</v>
      </c>
      <c r="R1427">
        <f t="shared" si="186"/>
        <v>-4.0000000000000036</v>
      </c>
    </row>
    <row r="1428" spans="1:18">
      <c r="A1428" s="9">
        <v>38797</v>
      </c>
      <c r="B1428">
        <v>5.18</v>
      </c>
      <c r="C1428">
        <v>5.14</v>
      </c>
      <c r="D1428">
        <v>5.13</v>
      </c>
      <c r="E1428">
        <v>5.14</v>
      </c>
      <c r="F1428">
        <v>5.16</v>
      </c>
      <c r="G1428">
        <v>5.2</v>
      </c>
      <c r="H1428">
        <v>5.25</v>
      </c>
      <c r="I1428">
        <v>5.32</v>
      </c>
      <c r="K1428">
        <f t="shared" si="179"/>
        <v>5.9999999999999609</v>
      </c>
      <c r="L1428">
        <f t="shared" si="180"/>
        <v>8.0000000000000071</v>
      </c>
      <c r="M1428">
        <f t="shared" si="181"/>
        <v>8.0000000000000071</v>
      </c>
      <c r="N1428">
        <f t="shared" si="182"/>
        <v>8.0000000000000071</v>
      </c>
      <c r="O1428">
        <f t="shared" si="183"/>
        <v>8.0000000000000071</v>
      </c>
      <c r="P1428">
        <f t="shared" si="184"/>
        <v>8.0000000000000071</v>
      </c>
      <c r="Q1428">
        <f t="shared" si="185"/>
        <v>7.0000000000000284</v>
      </c>
      <c r="R1428">
        <f t="shared" si="186"/>
        <v>6.0000000000000497</v>
      </c>
    </row>
    <row r="1429" spans="1:18">
      <c r="A1429" s="9">
        <v>38798</v>
      </c>
      <c r="B1429">
        <v>5.19</v>
      </c>
      <c r="C1429">
        <v>5.16</v>
      </c>
      <c r="D1429">
        <v>5.14</v>
      </c>
      <c r="E1429">
        <v>5.15</v>
      </c>
      <c r="F1429">
        <v>5.17</v>
      </c>
      <c r="G1429">
        <v>5.2</v>
      </c>
      <c r="H1429">
        <v>5.24</v>
      </c>
      <c r="I1429">
        <v>5.31</v>
      </c>
      <c r="K1429">
        <f t="shared" si="179"/>
        <v>1.0000000000000675</v>
      </c>
      <c r="L1429">
        <f t="shared" si="180"/>
        <v>2.0000000000000462</v>
      </c>
      <c r="M1429">
        <f t="shared" si="181"/>
        <v>0.99999999999997868</v>
      </c>
      <c r="N1429">
        <f t="shared" si="182"/>
        <v>1.0000000000000675</v>
      </c>
      <c r="O1429">
        <f t="shared" si="183"/>
        <v>0.99999999999997868</v>
      </c>
      <c r="P1429">
        <f t="shared" si="184"/>
        <v>0</v>
      </c>
      <c r="Q1429">
        <f t="shared" si="185"/>
        <v>-0.99999999999997868</v>
      </c>
      <c r="R1429">
        <f t="shared" si="186"/>
        <v>-1.0000000000000675</v>
      </c>
    </row>
    <row r="1430" spans="1:18">
      <c r="A1430" s="9">
        <v>38799</v>
      </c>
      <c r="B1430">
        <v>5.21</v>
      </c>
      <c r="C1430">
        <v>5.19</v>
      </c>
      <c r="D1430">
        <v>5.17</v>
      </c>
      <c r="E1430">
        <v>5.19</v>
      </c>
      <c r="F1430">
        <v>5.2</v>
      </c>
      <c r="G1430">
        <v>5.23</v>
      </c>
      <c r="H1430">
        <v>5.26</v>
      </c>
      <c r="I1430">
        <v>5.32</v>
      </c>
      <c r="K1430">
        <f t="shared" si="179"/>
        <v>1.9999999999999574</v>
      </c>
      <c r="L1430">
        <f t="shared" si="180"/>
        <v>3.0000000000000249</v>
      </c>
      <c r="M1430">
        <f t="shared" si="181"/>
        <v>3.0000000000000249</v>
      </c>
      <c r="N1430">
        <f t="shared" si="182"/>
        <v>4.0000000000000036</v>
      </c>
      <c r="O1430">
        <f t="shared" si="183"/>
        <v>3.0000000000000249</v>
      </c>
      <c r="P1430">
        <f t="shared" si="184"/>
        <v>3.0000000000000249</v>
      </c>
      <c r="Q1430">
        <f t="shared" si="185"/>
        <v>1.9999999999999574</v>
      </c>
      <c r="R1430">
        <f t="shared" si="186"/>
        <v>1.0000000000000675</v>
      </c>
    </row>
    <row r="1431" spans="1:18">
      <c r="A1431" s="9">
        <v>38800</v>
      </c>
      <c r="B1431">
        <v>5.18</v>
      </c>
      <c r="C1431">
        <v>5.15</v>
      </c>
      <c r="D1431">
        <v>5.13</v>
      </c>
      <c r="E1431">
        <v>5.14</v>
      </c>
      <c r="F1431">
        <v>5.15</v>
      </c>
      <c r="G1431">
        <v>5.18</v>
      </c>
      <c r="H1431">
        <v>5.21</v>
      </c>
      <c r="I1431">
        <v>5.28</v>
      </c>
      <c r="K1431">
        <f t="shared" si="179"/>
        <v>-3.0000000000000249</v>
      </c>
      <c r="L1431">
        <f t="shared" si="180"/>
        <v>-4.0000000000000036</v>
      </c>
      <c r="M1431">
        <f t="shared" si="181"/>
        <v>-4.0000000000000036</v>
      </c>
      <c r="N1431">
        <f t="shared" si="182"/>
        <v>-5.0000000000000711</v>
      </c>
      <c r="O1431">
        <f t="shared" si="183"/>
        <v>-4.9999999999999822</v>
      </c>
      <c r="P1431">
        <f t="shared" si="184"/>
        <v>-5.0000000000000711</v>
      </c>
      <c r="Q1431">
        <f t="shared" si="185"/>
        <v>-4.9999999999999822</v>
      </c>
      <c r="R1431">
        <f t="shared" si="186"/>
        <v>-4.0000000000000036</v>
      </c>
    </row>
    <row r="1432" spans="1:18">
      <c r="A1432" s="9">
        <v>38803</v>
      </c>
      <c r="B1432">
        <v>5.17</v>
      </c>
      <c r="C1432">
        <v>5.15</v>
      </c>
      <c r="D1432">
        <v>5.13</v>
      </c>
      <c r="E1432">
        <v>5.14</v>
      </c>
      <c r="F1432">
        <v>5.16</v>
      </c>
      <c r="G1432">
        <v>5.19</v>
      </c>
      <c r="H1432">
        <v>5.23</v>
      </c>
      <c r="I1432">
        <v>5.3</v>
      </c>
      <c r="K1432">
        <f t="shared" si="179"/>
        <v>-0.99999999999997868</v>
      </c>
      <c r="L1432">
        <f t="shared" si="180"/>
        <v>0</v>
      </c>
      <c r="M1432">
        <f t="shared" si="181"/>
        <v>0</v>
      </c>
      <c r="N1432">
        <f t="shared" si="182"/>
        <v>0</v>
      </c>
      <c r="O1432">
        <f t="shared" si="183"/>
        <v>0.99999999999997868</v>
      </c>
      <c r="P1432">
        <f t="shared" si="184"/>
        <v>1.0000000000000675</v>
      </c>
      <c r="Q1432">
        <f t="shared" si="185"/>
        <v>2.0000000000000462</v>
      </c>
      <c r="R1432">
        <f t="shared" si="186"/>
        <v>1.9999999999999574</v>
      </c>
    </row>
    <row r="1433" spans="1:18">
      <c r="A1433" s="9">
        <v>38804</v>
      </c>
      <c r="B1433">
        <v>5.2</v>
      </c>
      <c r="C1433">
        <v>5.17</v>
      </c>
      <c r="D1433">
        <v>5.16</v>
      </c>
      <c r="E1433">
        <v>5.18</v>
      </c>
      <c r="F1433">
        <v>5.21</v>
      </c>
      <c r="G1433">
        <v>5.24</v>
      </c>
      <c r="H1433">
        <v>5.29</v>
      </c>
      <c r="I1433">
        <v>5.37</v>
      </c>
      <c r="K1433">
        <f t="shared" si="179"/>
        <v>3.0000000000000249</v>
      </c>
      <c r="L1433">
        <f t="shared" si="180"/>
        <v>1.9999999999999574</v>
      </c>
      <c r="M1433">
        <f t="shared" si="181"/>
        <v>3.0000000000000249</v>
      </c>
      <c r="N1433">
        <f t="shared" si="182"/>
        <v>4.0000000000000036</v>
      </c>
      <c r="O1433">
        <f t="shared" si="183"/>
        <v>4.9999999999999822</v>
      </c>
      <c r="P1433">
        <f t="shared" si="184"/>
        <v>4.9999999999999822</v>
      </c>
      <c r="Q1433">
        <f t="shared" si="185"/>
        <v>5.9999999999999609</v>
      </c>
      <c r="R1433">
        <f t="shared" si="186"/>
        <v>7.0000000000000284</v>
      </c>
    </row>
    <row r="1434" spans="1:18">
      <c r="A1434" s="9">
        <v>38805</v>
      </c>
      <c r="B1434">
        <v>5.24</v>
      </c>
      <c r="C1434">
        <v>5.23</v>
      </c>
      <c r="D1434">
        <v>5.23</v>
      </c>
      <c r="E1434">
        <v>5.25</v>
      </c>
      <c r="F1434">
        <v>5.27</v>
      </c>
      <c r="G1434">
        <v>5.3</v>
      </c>
      <c r="H1434">
        <v>5.33</v>
      </c>
      <c r="I1434">
        <v>5.41</v>
      </c>
      <c r="K1434">
        <f t="shared" si="179"/>
        <v>4.0000000000000036</v>
      </c>
      <c r="L1434">
        <f t="shared" si="180"/>
        <v>6.0000000000000497</v>
      </c>
      <c r="M1434">
        <f t="shared" si="181"/>
        <v>7.0000000000000284</v>
      </c>
      <c r="N1434">
        <f t="shared" si="182"/>
        <v>7.0000000000000284</v>
      </c>
      <c r="O1434">
        <f t="shared" si="183"/>
        <v>5.9999999999999609</v>
      </c>
      <c r="P1434">
        <f t="shared" si="184"/>
        <v>5.9999999999999609</v>
      </c>
      <c r="Q1434">
        <f t="shared" si="185"/>
        <v>4.0000000000000036</v>
      </c>
      <c r="R1434">
        <f t="shared" si="186"/>
        <v>4.0000000000000036</v>
      </c>
    </row>
    <row r="1435" spans="1:18">
      <c r="A1435" s="9">
        <v>38806</v>
      </c>
      <c r="B1435">
        <v>5.27</v>
      </c>
      <c r="C1435">
        <v>5.26</v>
      </c>
      <c r="D1435">
        <v>5.26</v>
      </c>
      <c r="E1435">
        <v>5.28</v>
      </c>
      <c r="F1435">
        <v>5.31</v>
      </c>
      <c r="G1435">
        <v>5.35</v>
      </c>
      <c r="H1435">
        <v>5.39</v>
      </c>
      <c r="I1435">
        <v>5.49</v>
      </c>
      <c r="K1435">
        <f t="shared" si="179"/>
        <v>2.9999999999999361</v>
      </c>
      <c r="L1435">
        <f t="shared" si="180"/>
        <v>2.9999999999999361</v>
      </c>
      <c r="M1435">
        <f t="shared" si="181"/>
        <v>2.9999999999999361</v>
      </c>
      <c r="N1435">
        <f t="shared" si="182"/>
        <v>3.0000000000000249</v>
      </c>
      <c r="O1435">
        <f t="shared" si="183"/>
        <v>4.0000000000000036</v>
      </c>
      <c r="P1435">
        <f t="shared" si="184"/>
        <v>4.9999999999999822</v>
      </c>
      <c r="Q1435">
        <f t="shared" si="185"/>
        <v>5.9999999999999609</v>
      </c>
      <c r="R1435">
        <f t="shared" si="186"/>
        <v>8.0000000000000071</v>
      </c>
    </row>
    <row r="1436" spans="1:18">
      <c r="A1436" s="9">
        <v>38807</v>
      </c>
      <c r="B1436">
        <v>5.28</v>
      </c>
      <c r="C1436">
        <v>5.27</v>
      </c>
      <c r="D1436">
        <v>5.26</v>
      </c>
      <c r="E1436">
        <v>5.27</v>
      </c>
      <c r="F1436">
        <v>5.3</v>
      </c>
      <c r="G1436">
        <v>5.33</v>
      </c>
      <c r="H1436">
        <v>5.39</v>
      </c>
      <c r="I1436">
        <v>5.49</v>
      </c>
      <c r="K1436">
        <f t="shared" si="179"/>
        <v>1.0000000000000675</v>
      </c>
      <c r="L1436">
        <f t="shared" si="180"/>
        <v>0.99999999999997868</v>
      </c>
      <c r="M1436">
        <f t="shared" si="181"/>
        <v>0</v>
      </c>
      <c r="N1436">
        <f t="shared" si="182"/>
        <v>-1.0000000000000675</v>
      </c>
      <c r="O1436">
        <f t="shared" si="183"/>
        <v>-0.99999999999997868</v>
      </c>
      <c r="P1436">
        <f t="shared" si="184"/>
        <v>-1.9999999999999574</v>
      </c>
      <c r="Q1436">
        <f t="shared" si="185"/>
        <v>0</v>
      </c>
      <c r="R1436">
        <f t="shared" si="186"/>
        <v>0</v>
      </c>
    </row>
    <row r="1437" spans="1:18">
      <c r="A1437" s="9">
        <v>38810</v>
      </c>
      <c r="B1437">
        <v>5.3</v>
      </c>
      <c r="C1437">
        <v>5.3</v>
      </c>
      <c r="D1437">
        <v>5.29</v>
      </c>
      <c r="E1437">
        <v>5.31</v>
      </c>
      <c r="F1437">
        <v>5.34</v>
      </c>
      <c r="G1437">
        <v>5.37</v>
      </c>
      <c r="H1437">
        <v>5.42</v>
      </c>
      <c r="I1437">
        <v>5.51</v>
      </c>
      <c r="K1437">
        <f t="shared" si="179"/>
        <v>1.9999999999999574</v>
      </c>
      <c r="L1437">
        <f t="shared" si="180"/>
        <v>3.0000000000000249</v>
      </c>
      <c r="M1437">
        <f t="shared" si="181"/>
        <v>3.0000000000000249</v>
      </c>
      <c r="N1437">
        <f t="shared" si="182"/>
        <v>4.0000000000000036</v>
      </c>
      <c r="O1437">
        <f t="shared" si="183"/>
        <v>4.0000000000000036</v>
      </c>
      <c r="P1437">
        <f t="shared" si="184"/>
        <v>4.0000000000000036</v>
      </c>
      <c r="Q1437">
        <f t="shared" si="185"/>
        <v>3.0000000000000249</v>
      </c>
      <c r="R1437">
        <f t="shared" si="186"/>
        <v>1.9999999999999574</v>
      </c>
    </row>
    <row r="1438" spans="1:18">
      <c r="A1438" s="9">
        <v>38811</v>
      </c>
      <c r="B1438">
        <v>5.29</v>
      </c>
      <c r="C1438">
        <v>5.27</v>
      </c>
      <c r="D1438">
        <v>5.26</v>
      </c>
      <c r="E1438">
        <v>5.28</v>
      </c>
      <c r="F1438">
        <v>5.3</v>
      </c>
      <c r="G1438">
        <v>5.34</v>
      </c>
      <c r="H1438">
        <v>5.39</v>
      </c>
      <c r="I1438">
        <v>5.48</v>
      </c>
      <c r="K1438">
        <f t="shared" si="179"/>
        <v>-0.99999999999997868</v>
      </c>
      <c r="L1438">
        <f t="shared" si="180"/>
        <v>-3.0000000000000249</v>
      </c>
      <c r="M1438">
        <f t="shared" si="181"/>
        <v>-3.0000000000000249</v>
      </c>
      <c r="N1438">
        <f t="shared" si="182"/>
        <v>-2.9999999999999361</v>
      </c>
      <c r="O1438">
        <f t="shared" si="183"/>
        <v>-4.0000000000000036</v>
      </c>
      <c r="P1438">
        <f t="shared" si="184"/>
        <v>-3.0000000000000249</v>
      </c>
      <c r="Q1438">
        <f t="shared" si="185"/>
        <v>-3.0000000000000249</v>
      </c>
      <c r="R1438">
        <f t="shared" si="186"/>
        <v>-2.9999999999999361</v>
      </c>
    </row>
    <row r="1439" spans="1:18">
      <c r="A1439" s="9">
        <v>38812</v>
      </c>
      <c r="B1439">
        <v>5.28</v>
      </c>
      <c r="C1439">
        <v>5.25</v>
      </c>
      <c r="D1439">
        <v>5.25</v>
      </c>
      <c r="E1439">
        <v>5.26</v>
      </c>
      <c r="F1439">
        <v>5.29</v>
      </c>
      <c r="G1439">
        <v>5.33</v>
      </c>
      <c r="H1439">
        <v>5.39</v>
      </c>
      <c r="I1439">
        <v>5.49</v>
      </c>
      <c r="K1439">
        <f t="shared" si="179"/>
        <v>-0.99999999999997868</v>
      </c>
      <c r="L1439">
        <f t="shared" si="180"/>
        <v>-1.9999999999999574</v>
      </c>
      <c r="M1439">
        <f t="shared" si="181"/>
        <v>-0.99999999999997868</v>
      </c>
      <c r="N1439">
        <f t="shared" si="182"/>
        <v>-2.0000000000000462</v>
      </c>
      <c r="O1439">
        <f t="shared" si="183"/>
        <v>-0.99999999999997868</v>
      </c>
      <c r="P1439">
        <f t="shared" si="184"/>
        <v>-0.99999999999997868</v>
      </c>
      <c r="Q1439">
        <f t="shared" si="185"/>
        <v>0</v>
      </c>
      <c r="R1439">
        <f t="shared" si="186"/>
        <v>0.99999999999997868</v>
      </c>
    </row>
    <row r="1440" spans="1:18">
      <c r="A1440" s="9">
        <v>38813</v>
      </c>
      <c r="B1440">
        <v>5.29</v>
      </c>
      <c r="C1440">
        <v>5.27</v>
      </c>
      <c r="D1440">
        <v>5.27</v>
      </c>
      <c r="E1440">
        <v>5.29</v>
      </c>
      <c r="F1440">
        <v>5.32</v>
      </c>
      <c r="G1440">
        <v>5.37</v>
      </c>
      <c r="H1440">
        <v>5.44</v>
      </c>
      <c r="I1440">
        <v>5.55</v>
      </c>
      <c r="K1440">
        <f t="shared" si="179"/>
        <v>0.99999999999997868</v>
      </c>
      <c r="L1440">
        <f t="shared" si="180"/>
        <v>1.9999999999999574</v>
      </c>
      <c r="M1440">
        <f t="shared" si="181"/>
        <v>1.9999999999999574</v>
      </c>
      <c r="N1440">
        <f t="shared" si="182"/>
        <v>3.0000000000000249</v>
      </c>
      <c r="O1440">
        <f t="shared" si="183"/>
        <v>3.0000000000000249</v>
      </c>
      <c r="P1440">
        <f t="shared" si="184"/>
        <v>4.0000000000000036</v>
      </c>
      <c r="Q1440">
        <f t="shared" si="185"/>
        <v>5.0000000000000711</v>
      </c>
      <c r="R1440">
        <f t="shared" si="186"/>
        <v>5.9999999999999609</v>
      </c>
    </row>
    <row r="1441" spans="1:18">
      <c r="A1441" s="9">
        <v>38814</v>
      </c>
      <c r="B1441">
        <v>5.31</v>
      </c>
      <c r="C1441">
        <v>5.31</v>
      </c>
      <c r="D1441">
        <v>5.3</v>
      </c>
      <c r="E1441">
        <v>5.33</v>
      </c>
      <c r="F1441">
        <v>5.36</v>
      </c>
      <c r="G1441">
        <v>5.41</v>
      </c>
      <c r="H1441">
        <v>5.48</v>
      </c>
      <c r="I1441">
        <v>5.61</v>
      </c>
      <c r="K1441">
        <f t="shared" si="179"/>
        <v>1.9999999999999574</v>
      </c>
      <c r="L1441">
        <f t="shared" si="180"/>
        <v>4.0000000000000036</v>
      </c>
      <c r="M1441">
        <f t="shared" si="181"/>
        <v>3.0000000000000249</v>
      </c>
      <c r="N1441">
        <f t="shared" si="182"/>
        <v>4.0000000000000036</v>
      </c>
      <c r="O1441">
        <f t="shared" si="183"/>
        <v>4.0000000000000036</v>
      </c>
      <c r="P1441">
        <f t="shared" si="184"/>
        <v>4.0000000000000036</v>
      </c>
      <c r="Q1441">
        <f t="shared" si="185"/>
        <v>4.0000000000000036</v>
      </c>
      <c r="R1441">
        <f t="shared" si="186"/>
        <v>6.0000000000000497</v>
      </c>
    </row>
    <row r="1442" spans="1:18">
      <c r="A1442" s="9">
        <v>38817</v>
      </c>
      <c r="B1442">
        <v>5.34</v>
      </c>
      <c r="C1442">
        <v>5.34</v>
      </c>
      <c r="D1442">
        <v>5.34</v>
      </c>
      <c r="E1442">
        <v>5.36</v>
      </c>
      <c r="F1442">
        <v>5.39</v>
      </c>
      <c r="G1442">
        <v>5.44</v>
      </c>
      <c r="H1442">
        <v>5.51</v>
      </c>
      <c r="I1442">
        <v>5.63</v>
      </c>
      <c r="K1442">
        <f t="shared" si="179"/>
        <v>3.0000000000000249</v>
      </c>
      <c r="L1442">
        <f t="shared" si="180"/>
        <v>3.0000000000000249</v>
      </c>
      <c r="M1442">
        <f t="shared" si="181"/>
        <v>4.0000000000000036</v>
      </c>
      <c r="N1442">
        <f t="shared" si="182"/>
        <v>3.0000000000000249</v>
      </c>
      <c r="O1442">
        <f t="shared" si="183"/>
        <v>2.9999999999999361</v>
      </c>
      <c r="P1442">
        <f t="shared" si="184"/>
        <v>3.0000000000000249</v>
      </c>
      <c r="Q1442">
        <f t="shared" si="185"/>
        <v>2.9999999999999361</v>
      </c>
      <c r="R1442">
        <f t="shared" si="186"/>
        <v>1.9999999999999574</v>
      </c>
    </row>
    <row r="1443" spans="1:18">
      <c r="A1443" s="9">
        <v>38818</v>
      </c>
      <c r="B1443">
        <v>5.33</v>
      </c>
      <c r="C1443">
        <v>5.32</v>
      </c>
      <c r="D1443">
        <v>5.31</v>
      </c>
      <c r="E1443">
        <v>5.33</v>
      </c>
      <c r="F1443">
        <v>5.37</v>
      </c>
      <c r="G1443">
        <v>5.41</v>
      </c>
      <c r="H1443">
        <v>5.48</v>
      </c>
      <c r="I1443">
        <v>5.59</v>
      </c>
      <c r="K1443">
        <f t="shared" si="179"/>
        <v>-0.99999999999997868</v>
      </c>
      <c r="L1443">
        <f t="shared" si="180"/>
        <v>-1.9999999999999574</v>
      </c>
      <c r="M1443">
        <f t="shared" si="181"/>
        <v>-3.0000000000000249</v>
      </c>
      <c r="N1443">
        <f t="shared" si="182"/>
        <v>-3.0000000000000249</v>
      </c>
      <c r="O1443">
        <f t="shared" si="183"/>
        <v>-1.9999999999999574</v>
      </c>
      <c r="P1443">
        <f t="shared" si="184"/>
        <v>-3.0000000000000249</v>
      </c>
      <c r="Q1443">
        <f t="shared" si="185"/>
        <v>-2.9999999999999361</v>
      </c>
      <c r="R1443">
        <f t="shared" si="186"/>
        <v>-4.0000000000000036</v>
      </c>
    </row>
    <row r="1444" spans="1:18">
      <c r="A1444" s="9">
        <v>38819</v>
      </c>
      <c r="B1444">
        <v>5.34</v>
      </c>
      <c r="C1444">
        <v>5.33</v>
      </c>
      <c r="D1444">
        <v>5.33</v>
      </c>
      <c r="E1444">
        <v>5.35</v>
      </c>
      <c r="F1444">
        <v>5.38</v>
      </c>
      <c r="G1444">
        <v>5.42</v>
      </c>
      <c r="H1444">
        <v>5.49</v>
      </c>
      <c r="I1444">
        <v>5.61</v>
      </c>
      <c r="K1444">
        <f t="shared" si="179"/>
        <v>0.99999999999997868</v>
      </c>
      <c r="L1444">
        <f t="shared" si="180"/>
        <v>0.99999999999997868</v>
      </c>
      <c r="M1444">
        <f t="shared" si="181"/>
        <v>2.0000000000000462</v>
      </c>
      <c r="N1444">
        <f t="shared" si="182"/>
        <v>1.9999999999999574</v>
      </c>
      <c r="O1444">
        <f t="shared" si="183"/>
        <v>0.99999999999997868</v>
      </c>
      <c r="P1444">
        <f t="shared" si="184"/>
        <v>0.99999999999997868</v>
      </c>
      <c r="Q1444">
        <f t="shared" si="185"/>
        <v>0.99999999999997868</v>
      </c>
      <c r="R1444">
        <f t="shared" si="186"/>
        <v>2.0000000000000462</v>
      </c>
    </row>
    <row r="1445" spans="1:18">
      <c r="A1445" s="9">
        <v>38820</v>
      </c>
      <c r="B1445">
        <v>5.37</v>
      </c>
      <c r="C1445">
        <v>5.37</v>
      </c>
      <c r="D1445">
        <v>5.38</v>
      </c>
      <c r="E1445">
        <v>5.41</v>
      </c>
      <c r="F1445">
        <v>5.45</v>
      </c>
      <c r="G1445">
        <v>5.5</v>
      </c>
      <c r="H1445">
        <v>5.58</v>
      </c>
      <c r="I1445">
        <v>5.7</v>
      </c>
      <c r="K1445">
        <f t="shared" si="179"/>
        <v>3.0000000000000249</v>
      </c>
      <c r="L1445">
        <f t="shared" si="180"/>
        <v>4.0000000000000036</v>
      </c>
      <c r="M1445">
        <f t="shared" si="181"/>
        <v>4.9999999999999822</v>
      </c>
      <c r="N1445">
        <f t="shared" si="182"/>
        <v>6.0000000000000497</v>
      </c>
      <c r="O1445">
        <f t="shared" si="183"/>
        <v>7.0000000000000284</v>
      </c>
      <c r="P1445">
        <f t="shared" si="184"/>
        <v>8.0000000000000071</v>
      </c>
      <c r="Q1445">
        <f t="shared" si="185"/>
        <v>8.9999999999999858</v>
      </c>
      <c r="R1445">
        <f t="shared" si="186"/>
        <v>8.9999999999999858</v>
      </c>
    </row>
    <row r="1446" spans="1:18">
      <c r="A1446" s="9">
        <v>38824</v>
      </c>
      <c r="B1446">
        <v>5.35</v>
      </c>
      <c r="C1446">
        <v>5.35</v>
      </c>
      <c r="D1446">
        <v>5.36</v>
      </c>
      <c r="E1446">
        <v>5.4</v>
      </c>
      <c r="F1446">
        <v>5.44</v>
      </c>
      <c r="G1446">
        <v>5.49</v>
      </c>
      <c r="H1446">
        <v>5.56</v>
      </c>
      <c r="I1446">
        <v>5.69</v>
      </c>
      <c r="K1446">
        <f t="shared" si="179"/>
        <v>-2.0000000000000462</v>
      </c>
      <c r="L1446">
        <f t="shared" si="180"/>
        <v>-2.0000000000000462</v>
      </c>
      <c r="M1446">
        <f t="shared" si="181"/>
        <v>-1.9999999999999574</v>
      </c>
      <c r="N1446">
        <f t="shared" si="182"/>
        <v>-0.99999999999997868</v>
      </c>
      <c r="O1446">
        <f t="shared" si="183"/>
        <v>-0.99999999999997868</v>
      </c>
      <c r="P1446">
        <f t="shared" si="184"/>
        <v>-0.99999999999997868</v>
      </c>
      <c r="Q1446">
        <f t="shared" si="185"/>
        <v>-2.0000000000000462</v>
      </c>
      <c r="R1446">
        <f t="shared" si="186"/>
        <v>-0.99999999999997868</v>
      </c>
    </row>
    <row r="1447" spans="1:18">
      <c r="A1447" s="9">
        <v>38825</v>
      </c>
      <c r="B1447">
        <v>5.31</v>
      </c>
      <c r="C1447">
        <v>5.3</v>
      </c>
      <c r="D1447">
        <v>5.32</v>
      </c>
      <c r="E1447">
        <v>5.35</v>
      </c>
      <c r="F1447">
        <v>5.39</v>
      </c>
      <c r="G1447">
        <v>5.46</v>
      </c>
      <c r="H1447">
        <v>5.54</v>
      </c>
      <c r="I1447">
        <v>5.67</v>
      </c>
      <c r="K1447">
        <f t="shared" si="179"/>
        <v>-4.0000000000000036</v>
      </c>
      <c r="L1447">
        <f t="shared" si="180"/>
        <v>-4.9999999999999822</v>
      </c>
      <c r="M1447">
        <f t="shared" si="181"/>
        <v>-4.0000000000000036</v>
      </c>
      <c r="N1447">
        <f t="shared" si="182"/>
        <v>-5.0000000000000711</v>
      </c>
      <c r="O1447">
        <f t="shared" si="183"/>
        <v>-5.0000000000000711</v>
      </c>
      <c r="P1447">
        <f t="shared" si="184"/>
        <v>-3.0000000000000249</v>
      </c>
      <c r="Q1447">
        <f t="shared" si="185"/>
        <v>-1.9999999999999574</v>
      </c>
      <c r="R1447">
        <f t="shared" si="186"/>
        <v>-2.0000000000000462</v>
      </c>
    </row>
    <row r="1448" spans="1:18">
      <c r="A1448" s="9">
        <v>38826</v>
      </c>
      <c r="B1448">
        <v>5.32</v>
      </c>
      <c r="C1448">
        <v>5.3</v>
      </c>
      <c r="D1448">
        <v>5.32</v>
      </c>
      <c r="E1448">
        <v>5.36</v>
      </c>
      <c r="F1448">
        <v>5.4</v>
      </c>
      <c r="G1448">
        <v>5.48</v>
      </c>
      <c r="H1448">
        <v>5.57</v>
      </c>
      <c r="I1448">
        <v>5.71</v>
      </c>
      <c r="K1448">
        <f t="shared" si="179"/>
        <v>1.0000000000000675</v>
      </c>
      <c r="L1448">
        <f t="shared" si="180"/>
        <v>0</v>
      </c>
      <c r="M1448">
        <f t="shared" si="181"/>
        <v>0</v>
      </c>
      <c r="N1448">
        <f t="shared" si="182"/>
        <v>1.0000000000000675</v>
      </c>
      <c r="O1448">
        <f t="shared" si="183"/>
        <v>1.0000000000000675</v>
      </c>
      <c r="P1448">
        <f t="shared" si="184"/>
        <v>2.0000000000000462</v>
      </c>
      <c r="Q1448">
        <f t="shared" si="185"/>
        <v>3.0000000000000249</v>
      </c>
      <c r="R1448">
        <f t="shared" si="186"/>
        <v>4.0000000000000036</v>
      </c>
    </row>
    <row r="1449" spans="1:18">
      <c r="A1449" s="9">
        <v>38827</v>
      </c>
      <c r="B1449">
        <v>5.32</v>
      </c>
      <c r="C1449">
        <v>5.31</v>
      </c>
      <c r="D1449">
        <v>5.32</v>
      </c>
      <c r="E1449">
        <v>5.36</v>
      </c>
      <c r="F1449">
        <v>5.4</v>
      </c>
      <c r="G1449">
        <v>5.48</v>
      </c>
      <c r="H1449">
        <v>5.57</v>
      </c>
      <c r="I1449">
        <v>5.71</v>
      </c>
      <c r="K1449">
        <f t="shared" si="179"/>
        <v>0</v>
      </c>
      <c r="L1449">
        <f t="shared" si="180"/>
        <v>0.99999999999997868</v>
      </c>
      <c r="M1449">
        <f t="shared" si="181"/>
        <v>0</v>
      </c>
      <c r="N1449">
        <f t="shared" si="182"/>
        <v>0</v>
      </c>
      <c r="O1449">
        <f t="shared" si="183"/>
        <v>0</v>
      </c>
      <c r="P1449">
        <f t="shared" si="184"/>
        <v>0</v>
      </c>
      <c r="Q1449">
        <f t="shared" si="185"/>
        <v>0</v>
      </c>
      <c r="R1449">
        <f t="shared" si="186"/>
        <v>0</v>
      </c>
    </row>
    <row r="1450" spans="1:18">
      <c r="A1450" s="9">
        <v>38828</v>
      </c>
      <c r="B1450">
        <v>5.33</v>
      </c>
      <c r="C1450">
        <v>5.32</v>
      </c>
      <c r="D1450">
        <v>5.33</v>
      </c>
      <c r="E1450">
        <v>5.37</v>
      </c>
      <c r="F1450">
        <v>5.41</v>
      </c>
      <c r="G1450">
        <v>5.48</v>
      </c>
      <c r="H1450">
        <v>5.57</v>
      </c>
      <c r="I1450">
        <v>5.71</v>
      </c>
      <c r="K1450">
        <f t="shared" si="179"/>
        <v>0.99999999999997868</v>
      </c>
      <c r="L1450">
        <f t="shared" si="180"/>
        <v>1.0000000000000675</v>
      </c>
      <c r="M1450">
        <f t="shared" si="181"/>
        <v>0.99999999999997868</v>
      </c>
      <c r="N1450">
        <f t="shared" si="182"/>
        <v>0.99999999999997868</v>
      </c>
      <c r="O1450">
        <f t="shared" si="183"/>
        <v>0.99999999999997868</v>
      </c>
      <c r="P1450">
        <f t="shared" si="184"/>
        <v>0</v>
      </c>
      <c r="Q1450">
        <f t="shared" si="185"/>
        <v>0</v>
      </c>
      <c r="R1450">
        <f t="shared" si="186"/>
        <v>0</v>
      </c>
    </row>
    <row r="1451" spans="1:18">
      <c r="A1451" s="9">
        <v>38831</v>
      </c>
      <c r="B1451">
        <v>5.33</v>
      </c>
      <c r="C1451">
        <v>5.31</v>
      </c>
      <c r="D1451">
        <v>5.31</v>
      </c>
      <c r="E1451">
        <v>5.34</v>
      </c>
      <c r="F1451">
        <v>5.37</v>
      </c>
      <c r="G1451">
        <v>5.43</v>
      </c>
      <c r="H1451">
        <v>5.51</v>
      </c>
      <c r="I1451">
        <v>5.63</v>
      </c>
      <c r="K1451">
        <f t="shared" si="179"/>
        <v>0</v>
      </c>
      <c r="L1451">
        <f t="shared" si="180"/>
        <v>-1.0000000000000675</v>
      </c>
      <c r="M1451">
        <f t="shared" si="181"/>
        <v>-2.0000000000000462</v>
      </c>
      <c r="N1451">
        <f t="shared" si="182"/>
        <v>-3.0000000000000249</v>
      </c>
      <c r="O1451">
        <f t="shared" si="183"/>
        <v>-4.0000000000000036</v>
      </c>
      <c r="P1451">
        <f t="shared" si="184"/>
        <v>-5.0000000000000711</v>
      </c>
      <c r="Q1451">
        <f t="shared" si="185"/>
        <v>-6.0000000000000497</v>
      </c>
      <c r="R1451">
        <f t="shared" si="186"/>
        <v>-8.0000000000000071</v>
      </c>
    </row>
    <row r="1452" spans="1:18">
      <c r="A1452" s="9">
        <v>38832</v>
      </c>
      <c r="B1452">
        <v>5.37</v>
      </c>
      <c r="C1452">
        <v>5.37</v>
      </c>
      <c r="D1452">
        <v>5.37</v>
      </c>
      <c r="E1452">
        <v>5.41</v>
      </c>
      <c r="F1452">
        <v>5.45</v>
      </c>
      <c r="G1452">
        <v>5.51</v>
      </c>
      <c r="H1452">
        <v>5.59</v>
      </c>
      <c r="I1452">
        <v>5.71</v>
      </c>
      <c r="K1452">
        <f t="shared" si="179"/>
        <v>4.0000000000000036</v>
      </c>
      <c r="L1452">
        <f t="shared" si="180"/>
        <v>6.0000000000000497</v>
      </c>
      <c r="M1452">
        <f t="shared" si="181"/>
        <v>6.0000000000000497</v>
      </c>
      <c r="N1452">
        <f t="shared" si="182"/>
        <v>7.0000000000000284</v>
      </c>
      <c r="O1452">
        <f t="shared" si="183"/>
        <v>8.0000000000000071</v>
      </c>
      <c r="P1452">
        <f t="shared" si="184"/>
        <v>8.0000000000000071</v>
      </c>
      <c r="Q1452">
        <f t="shared" si="185"/>
        <v>8.0000000000000071</v>
      </c>
      <c r="R1452">
        <f t="shared" si="186"/>
        <v>8.0000000000000071</v>
      </c>
    </row>
    <row r="1453" spans="1:18">
      <c r="A1453" s="9">
        <v>38833</v>
      </c>
      <c r="B1453">
        <v>5.4</v>
      </c>
      <c r="C1453">
        <v>5.41</v>
      </c>
      <c r="D1453">
        <v>5.42</v>
      </c>
      <c r="E1453">
        <v>5.45</v>
      </c>
      <c r="F1453">
        <v>5.48</v>
      </c>
      <c r="G1453">
        <v>5.55</v>
      </c>
      <c r="H1453">
        <v>5.62</v>
      </c>
      <c r="I1453">
        <v>5.75</v>
      </c>
      <c r="K1453">
        <f t="shared" si="179"/>
        <v>3.0000000000000249</v>
      </c>
      <c r="L1453">
        <f t="shared" si="180"/>
        <v>4.0000000000000036</v>
      </c>
      <c r="M1453">
        <f t="shared" si="181"/>
        <v>4.9999999999999822</v>
      </c>
      <c r="N1453">
        <f t="shared" si="182"/>
        <v>4.0000000000000036</v>
      </c>
      <c r="O1453">
        <f t="shared" si="183"/>
        <v>3.0000000000000249</v>
      </c>
      <c r="P1453">
        <f t="shared" si="184"/>
        <v>4.0000000000000036</v>
      </c>
      <c r="Q1453">
        <f t="shared" si="185"/>
        <v>3.0000000000000249</v>
      </c>
      <c r="R1453">
        <f t="shared" si="186"/>
        <v>4.0000000000000036</v>
      </c>
    </row>
    <row r="1454" spans="1:18">
      <c r="A1454" s="9">
        <v>38834</v>
      </c>
      <c r="B1454">
        <v>5.35</v>
      </c>
      <c r="C1454">
        <v>5.35</v>
      </c>
      <c r="D1454">
        <v>5.37</v>
      </c>
      <c r="E1454">
        <v>5.41</v>
      </c>
      <c r="F1454">
        <v>5.44</v>
      </c>
      <c r="G1454">
        <v>5.51</v>
      </c>
      <c r="H1454">
        <v>5.6</v>
      </c>
      <c r="I1454">
        <v>5.75</v>
      </c>
      <c r="K1454">
        <f t="shared" si="179"/>
        <v>-5.0000000000000711</v>
      </c>
      <c r="L1454">
        <f t="shared" si="180"/>
        <v>-6.0000000000000497</v>
      </c>
      <c r="M1454">
        <f t="shared" si="181"/>
        <v>-4.9999999999999822</v>
      </c>
      <c r="N1454">
        <f t="shared" si="182"/>
        <v>-4.0000000000000036</v>
      </c>
      <c r="O1454">
        <f t="shared" si="183"/>
        <v>-4.0000000000000036</v>
      </c>
      <c r="P1454">
        <f t="shared" si="184"/>
        <v>-4.0000000000000036</v>
      </c>
      <c r="Q1454">
        <f t="shared" si="185"/>
        <v>-2.0000000000000462</v>
      </c>
      <c r="R1454">
        <f t="shared" si="186"/>
        <v>0</v>
      </c>
    </row>
    <row r="1455" spans="1:18">
      <c r="A1455" s="9">
        <v>38835</v>
      </c>
      <c r="B1455">
        <v>5.33</v>
      </c>
      <c r="C1455">
        <v>5.33</v>
      </c>
      <c r="D1455">
        <v>5.35</v>
      </c>
      <c r="E1455">
        <v>5.39</v>
      </c>
      <c r="F1455">
        <v>5.43</v>
      </c>
      <c r="G1455">
        <v>5.51</v>
      </c>
      <c r="H1455">
        <v>5.61</v>
      </c>
      <c r="I1455">
        <v>5.76</v>
      </c>
      <c r="K1455">
        <f t="shared" si="179"/>
        <v>-1.9999999999999574</v>
      </c>
      <c r="L1455">
        <f t="shared" si="180"/>
        <v>-1.9999999999999574</v>
      </c>
      <c r="M1455">
        <f t="shared" si="181"/>
        <v>-2.0000000000000462</v>
      </c>
      <c r="N1455">
        <f t="shared" si="182"/>
        <v>-2.0000000000000462</v>
      </c>
      <c r="O1455">
        <f t="shared" si="183"/>
        <v>-1.0000000000000675</v>
      </c>
      <c r="P1455">
        <f t="shared" si="184"/>
        <v>0</v>
      </c>
      <c r="Q1455">
        <f t="shared" si="185"/>
        <v>1.0000000000000675</v>
      </c>
      <c r="R1455">
        <f t="shared" si="186"/>
        <v>0.99999999999997868</v>
      </c>
    </row>
    <row r="1456" spans="1:18">
      <c r="A1456" s="9">
        <v>38838</v>
      </c>
      <c r="B1456">
        <v>5.36</v>
      </c>
      <c r="C1456">
        <v>5.37</v>
      </c>
      <c r="D1456">
        <v>5.39</v>
      </c>
      <c r="E1456">
        <v>5.42</v>
      </c>
      <c r="F1456">
        <v>5.47</v>
      </c>
      <c r="G1456">
        <v>5.55</v>
      </c>
      <c r="H1456">
        <v>5.64</v>
      </c>
      <c r="I1456">
        <v>5.79</v>
      </c>
      <c r="K1456">
        <f t="shared" si="179"/>
        <v>3.0000000000000249</v>
      </c>
      <c r="L1456">
        <f t="shared" si="180"/>
        <v>4.0000000000000036</v>
      </c>
      <c r="M1456">
        <f t="shared" si="181"/>
        <v>4.0000000000000036</v>
      </c>
      <c r="N1456">
        <f t="shared" si="182"/>
        <v>3.0000000000000249</v>
      </c>
      <c r="O1456">
        <f t="shared" si="183"/>
        <v>4.0000000000000036</v>
      </c>
      <c r="P1456">
        <f t="shared" si="184"/>
        <v>4.0000000000000036</v>
      </c>
      <c r="Q1456">
        <f t="shared" si="185"/>
        <v>2.9999999999999361</v>
      </c>
      <c r="R1456">
        <f t="shared" si="186"/>
        <v>3.0000000000000249</v>
      </c>
    </row>
    <row r="1457" spans="1:18">
      <c r="A1457" s="9">
        <v>38839</v>
      </c>
      <c r="B1457">
        <v>5.37</v>
      </c>
      <c r="C1457">
        <v>5.37</v>
      </c>
      <c r="D1457">
        <v>5.39</v>
      </c>
      <c r="E1457">
        <v>5.42</v>
      </c>
      <c r="F1457">
        <v>5.46</v>
      </c>
      <c r="G1457">
        <v>5.54</v>
      </c>
      <c r="H1457">
        <v>5.63</v>
      </c>
      <c r="I1457">
        <v>5.76</v>
      </c>
      <c r="K1457">
        <f t="shared" si="179"/>
        <v>0.99999999999997868</v>
      </c>
      <c r="L1457">
        <f t="shared" si="180"/>
        <v>0</v>
      </c>
      <c r="M1457">
        <f t="shared" si="181"/>
        <v>0</v>
      </c>
      <c r="N1457">
        <f t="shared" si="182"/>
        <v>0</v>
      </c>
      <c r="O1457">
        <f t="shared" si="183"/>
        <v>-0.99999999999997868</v>
      </c>
      <c r="P1457">
        <f t="shared" si="184"/>
        <v>-0.99999999999997868</v>
      </c>
      <c r="Q1457">
        <f t="shared" si="185"/>
        <v>-0.99999999999997868</v>
      </c>
      <c r="R1457">
        <f t="shared" si="186"/>
        <v>-3.0000000000000249</v>
      </c>
    </row>
    <row r="1458" spans="1:18">
      <c r="A1458" s="9">
        <v>38840</v>
      </c>
      <c r="B1458">
        <v>5.4</v>
      </c>
      <c r="C1458">
        <v>5.41</v>
      </c>
      <c r="D1458">
        <v>5.43</v>
      </c>
      <c r="E1458">
        <v>5.47</v>
      </c>
      <c r="F1458">
        <v>5.52</v>
      </c>
      <c r="G1458">
        <v>5.59</v>
      </c>
      <c r="H1458">
        <v>5.69</v>
      </c>
      <c r="I1458">
        <v>5.83</v>
      </c>
      <c r="K1458">
        <f t="shared" si="179"/>
        <v>3.0000000000000249</v>
      </c>
      <c r="L1458">
        <f t="shared" si="180"/>
        <v>4.0000000000000036</v>
      </c>
      <c r="M1458">
        <f t="shared" si="181"/>
        <v>4.0000000000000036</v>
      </c>
      <c r="N1458">
        <f t="shared" si="182"/>
        <v>4.9999999999999822</v>
      </c>
      <c r="O1458">
        <f t="shared" si="183"/>
        <v>5.9999999999999609</v>
      </c>
      <c r="P1458">
        <f t="shared" si="184"/>
        <v>4.9999999999999822</v>
      </c>
      <c r="Q1458">
        <f t="shared" si="185"/>
        <v>6.0000000000000497</v>
      </c>
      <c r="R1458">
        <f t="shared" si="186"/>
        <v>7.0000000000000284</v>
      </c>
    </row>
    <row r="1459" spans="1:18">
      <c r="A1459" s="9">
        <v>38841</v>
      </c>
      <c r="B1459">
        <v>5.41</v>
      </c>
      <c r="C1459">
        <v>5.43</v>
      </c>
      <c r="D1459">
        <v>5.45</v>
      </c>
      <c r="E1459">
        <v>5.48</v>
      </c>
      <c r="F1459">
        <v>5.53</v>
      </c>
      <c r="G1459">
        <v>5.6</v>
      </c>
      <c r="H1459">
        <v>5.68</v>
      </c>
      <c r="I1459">
        <v>5.81</v>
      </c>
      <c r="K1459">
        <f t="shared" si="179"/>
        <v>0.99999999999997868</v>
      </c>
      <c r="L1459">
        <f t="shared" si="180"/>
        <v>1.9999999999999574</v>
      </c>
      <c r="M1459">
        <f t="shared" si="181"/>
        <v>2.0000000000000462</v>
      </c>
      <c r="N1459">
        <f t="shared" si="182"/>
        <v>1.0000000000000675</v>
      </c>
      <c r="O1459">
        <f t="shared" si="183"/>
        <v>1.0000000000000675</v>
      </c>
      <c r="P1459">
        <f t="shared" si="184"/>
        <v>0.99999999999997868</v>
      </c>
      <c r="Q1459">
        <f t="shared" si="185"/>
        <v>-1.0000000000000675</v>
      </c>
      <c r="R1459">
        <f t="shared" si="186"/>
        <v>-2.0000000000000462</v>
      </c>
    </row>
    <row r="1460" spans="1:18">
      <c r="A1460" s="9">
        <v>38842</v>
      </c>
      <c r="B1460">
        <v>5.39</v>
      </c>
      <c r="C1460">
        <v>5.39</v>
      </c>
      <c r="D1460">
        <v>5.41</v>
      </c>
      <c r="E1460">
        <v>5.44</v>
      </c>
      <c r="F1460">
        <v>5.48</v>
      </c>
      <c r="G1460">
        <v>5.55</v>
      </c>
      <c r="H1460">
        <v>5.64</v>
      </c>
      <c r="I1460">
        <v>5.77</v>
      </c>
      <c r="K1460">
        <f t="shared" si="179"/>
        <v>-2.0000000000000462</v>
      </c>
      <c r="L1460">
        <f t="shared" si="180"/>
        <v>-4.0000000000000036</v>
      </c>
      <c r="M1460">
        <f t="shared" si="181"/>
        <v>-4.0000000000000036</v>
      </c>
      <c r="N1460">
        <f t="shared" si="182"/>
        <v>-4.0000000000000036</v>
      </c>
      <c r="O1460">
        <f t="shared" si="183"/>
        <v>-4.9999999999999822</v>
      </c>
      <c r="P1460">
        <f t="shared" si="184"/>
        <v>-4.9999999999999822</v>
      </c>
      <c r="Q1460">
        <f t="shared" si="185"/>
        <v>-4.0000000000000036</v>
      </c>
      <c r="R1460">
        <f t="shared" si="186"/>
        <v>-4.0000000000000036</v>
      </c>
    </row>
    <row r="1461" spans="1:18">
      <c r="A1461" s="9">
        <v>38845</v>
      </c>
      <c r="B1461">
        <v>5.4</v>
      </c>
      <c r="C1461">
        <v>5.42</v>
      </c>
      <c r="D1461">
        <v>5.43</v>
      </c>
      <c r="E1461">
        <v>5.46</v>
      </c>
      <c r="F1461">
        <v>5.5</v>
      </c>
      <c r="G1461">
        <v>5.57</v>
      </c>
      <c r="H1461">
        <v>5.65</v>
      </c>
      <c r="I1461">
        <v>5.77</v>
      </c>
      <c r="K1461">
        <f t="shared" si="179"/>
        <v>1.0000000000000675</v>
      </c>
      <c r="L1461">
        <f t="shared" si="180"/>
        <v>3.0000000000000249</v>
      </c>
      <c r="M1461">
        <f t="shared" si="181"/>
        <v>1.9999999999999574</v>
      </c>
      <c r="N1461">
        <f t="shared" si="182"/>
        <v>1.9999999999999574</v>
      </c>
      <c r="O1461">
        <f t="shared" si="183"/>
        <v>1.9999999999999574</v>
      </c>
      <c r="P1461">
        <f t="shared" si="184"/>
        <v>2.0000000000000462</v>
      </c>
      <c r="Q1461">
        <f t="shared" si="185"/>
        <v>1.0000000000000675</v>
      </c>
      <c r="R1461">
        <f t="shared" si="186"/>
        <v>0</v>
      </c>
    </row>
    <row r="1462" spans="1:18">
      <c r="A1462" s="9">
        <v>38846</v>
      </c>
      <c r="B1462">
        <v>5.4</v>
      </c>
      <c r="C1462">
        <v>5.42</v>
      </c>
      <c r="D1462">
        <v>5.43</v>
      </c>
      <c r="E1462">
        <v>5.46</v>
      </c>
      <c r="F1462">
        <v>5.5</v>
      </c>
      <c r="G1462">
        <v>5.56</v>
      </c>
      <c r="H1462">
        <v>5.64</v>
      </c>
      <c r="I1462">
        <v>5.76</v>
      </c>
      <c r="K1462">
        <f t="shared" si="179"/>
        <v>0</v>
      </c>
      <c r="L1462">
        <f t="shared" si="180"/>
        <v>0</v>
      </c>
      <c r="M1462">
        <f t="shared" si="181"/>
        <v>0</v>
      </c>
      <c r="N1462">
        <f t="shared" si="182"/>
        <v>0</v>
      </c>
      <c r="O1462">
        <f t="shared" si="183"/>
        <v>0</v>
      </c>
      <c r="P1462">
        <f t="shared" si="184"/>
        <v>-1.0000000000000675</v>
      </c>
      <c r="Q1462">
        <f t="shared" si="185"/>
        <v>-1.0000000000000675</v>
      </c>
      <c r="R1462">
        <f t="shared" si="186"/>
        <v>-0.99999999999997868</v>
      </c>
    </row>
    <row r="1463" spans="1:18">
      <c r="A1463" s="9">
        <v>38847</v>
      </c>
      <c r="B1463">
        <v>5.38</v>
      </c>
      <c r="C1463">
        <v>5.4</v>
      </c>
      <c r="D1463">
        <v>5.41</v>
      </c>
      <c r="E1463">
        <v>5.44</v>
      </c>
      <c r="F1463">
        <v>5.47</v>
      </c>
      <c r="G1463">
        <v>5.54</v>
      </c>
      <c r="H1463">
        <v>5.62</v>
      </c>
      <c r="I1463">
        <v>5.75</v>
      </c>
      <c r="K1463">
        <f t="shared" si="179"/>
        <v>-2.0000000000000462</v>
      </c>
      <c r="L1463">
        <f t="shared" si="180"/>
        <v>-1.9999999999999574</v>
      </c>
      <c r="M1463">
        <f t="shared" si="181"/>
        <v>-1.9999999999999574</v>
      </c>
      <c r="N1463">
        <f t="shared" si="182"/>
        <v>-1.9999999999999574</v>
      </c>
      <c r="O1463">
        <f t="shared" si="183"/>
        <v>-3.0000000000000249</v>
      </c>
      <c r="P1463">
        <f t="shared" si="184"/>
        <v>-1.9999999999999574</v>
      </c>
      <c r="Q1463">
        <f t="shared" si="185"/>
        <v>-1.9999999999999574</v>
      </c>
      <c r="R1463">
        <f t="shared" si="186"/>
        <v>-0.99999999999997868</v>
      </c>
    </row>
    <row r="1464" spans="1:18">
      <c r="A1464" s="9">
        <v>38848</v>
      </c>
      <c r="B1464">
        <v>5.42</v>
      </c>
      <c r="C1464">
        <v>5.44</v>
      </c>
      <c r="D1464">
        <v>5.46</v>
      </c>
      <c r="E1464">
        <v>5.48</v>
      </c>
      <c r="F1464">
        <v>5.52</v>
      </c>
      <c r="G1464">
        <v>5.59</v>
      </c>
      <c r="H1464">
        <v>5.67</v>
      </c>
      <c r="I1464">
        <v>5.79</v>
      </c>
      <c r="K1464">
        <f t="shared" si="179"/>
        <v>4.0000000000000036</v>
      </c>
      <c r="L1464">
        <f t="shared" si="180"/>
        <v>4.0000000000000036</v>
      </c>
      <c r="M1464">
        <f t="shared" si="181"/>
        <v>4.9999999999999822</v>
      </c>
      <c r="N1464">
        <f t="shared" si="182"/>
        <v>4.0000000000000036</v>
      </c>
      <c r="O1464">
        <f t="shared" si="183"/>
        <v>4.9999999999999822</v>
      </c>
      <c r="P1464">
        <f t="shared" si="184"/>
        <v>4.9999999999999822</v>
      </c>
      <c r="Q1464">
        <f t="shared" si="185"/>
        <v>4.9999999999999822</v>
      </c>
      <c r="R1464">
        <f t="shared" si="186"/>
        <v>4.0000000000000036</v>
      </c>
    </row>
    <row r="1465" spans="1:18">
      <c r="A1465" s="9">
        <v>38849</v>
      </c>
      <c r="B1465">
        <v>5.4</v>
      </c>
      <c r="C1465">
        <v>5.43</v>
      </c>
      <c r="D1465">
        <v>5.45</v>
      </c>
      <c r="E1465">
        <v>5.48</v>
      </c>
      <c r="F1465">
        <v>5.53</v>
      </c>
      <c r="G1465">
        <v>5.6</v>
      </c>
      <c r="H1465">
        <v>5.69</v>
      </c>
      <c r="I1465">
        <v>5.83</v>
      </c>
      <c r="K1465">
        <f t="shared" si="179"/>
        <v>-1.9999999999999574</v>
      </c>
      <c r="L1465">
        <f t="shared" si="180"/>
        <v>-1.0000000000000675</v>
      </c>
      <c r="M1465">
        <f t="shared" si="181"/>
        <v>-0.99999999999997868</v>
      </c>
      <c r="N1465">
        <f t="shared" si="182"/>
        <v>0</v>
      </c>
      <c r="O1465">
        <f t="shared" si="183"/>
        <v>1.0000000000000675</v>
      </c>
      <c r="P1465">
        <f t="shared" si="184"/>
        <v>0.99999999999997868</v>
      </c>
      <c r="Q1465">
        <f t="shared" si="185"/>
        <v>2.0000000000000462</v>
      </c>
      <c r="R1465">
        <f t="shared" si="186"/>
        <v>4.0000000000000036</v>
      </c>
    </row>
    <row r="1466" spans="1:18">
      <c r="A1466" s="9">
        <v>38852</v>
      </c>
      <c r="B1466">
        <v>5.39</v>
      </c>
      <c r="C1466">
        <v>5.42</v>
      </c>
      <c r="D1466">
        <v>5.44</v>
      </c>
      <c r="E1466">
        <v>5.48</v>
      </c>
      <c r="F1466">
        <v>5.52</v>
      </c>
      <c r="G1466">
        <v>5.6</v>
      </c>
      <c r="H1466">
        <v>5.69</v>
      </c>
      <c r="I1466">
        <v>5.83</v>
      </c>
      <c r="K1466">
        <f t="shared" si="179"/>
        <v>-1.0000000000000675</v>
      </c>
      <c r="L1466">
        <f t="shared" si="180"/>
        <v>-0.99999999999997868</v>
      </c>
      <c r="M1466">
        <f t="shared" si="181"/>
        <v>-0.99999999999997868</v>
      </c>
      <c r="N1466">
        <f t="shared" si="182"/>
        <v>0</v>
      </c>
      <c r="O1466">
        <f t="shared" si="183"/>
        <v>-1.0000000000000675</v>
      </c>
      <c r="P1466">
        <f t="shared" si="184"/>
        <v>0</v>
      </c>
      <c r="Q1466">
        <f t="shared" si="185"/>
        <v>0</v>
      </c>
      <c r="R1466">
        <f t="shared" si="186"/>
        <v>0</v>
      </c>
    </row>
    <row r="1467" spans="1:18">
      <c r="A1467" s="9">
        <v>38853</v>
      </c>
      <c r="B1467">
        <v>5.37</v>
      </c>
      <c r="C1467">
        <v>5.39</v>
      </c>
      <c r="D1467">
        <v>5.4</v>
      </c>
      <c r="E1467">
        <v>5.43</v>
      </c>
      <c r="F1467">
        <v>5.47</v>
      </c>
      <c r="G1467">
        <v>5.55</v>
      </c>
      <c r="H1467">
        <v>5.63</v>
      </c>
      <c r="I1467">
        <v>5.78</v>
      </c>
      <c r="K1467">
        <f t="shared" si="179"/>
        <v>-1.9999999999999574</v>
      </c>
      <c r="L1467">
        <f t="shared" si="180"/>
        <v>-3.0000000000000249</v>
      </c>
      <c r="M1467">
        <f t="shared" si="181"/>
        <v>-4.0000000000000036</v>
      </c>
      <c r="N1467">
        <f t="shared" si="182"/>
        <v>-5.0000000000000711</v>
      </c>
      <c r="O1467">
        <f t="shared" si="183"/>
        <v>-4.9999999999999822</v>
      </c>
      <c r="P1467">
        <f t="shared" si="184"/>
        <v>-4.9999999999999822</v>
      </c>
      <c r="Q1467">
        <f t="shared" si="185"/>
        <v>-6.0000000000000497</v>
      </c>
      <c r="R1467">
        <f t="shared" si="186"/>
        <v>-4.9999999999999822</v>
      </c>
    </row>
    <row r="1468" spans="1:18">
      <c r="A1468" s="9">
        <v>38854</v>
      </c>
      <c r="B1468">
        <v>5.42</v>
      </c>
      <c r="C1468">
        <v>5.44</v>
      </c>
      <c r="D1468">
        <v>5.46</v>
      </c>
      <c r="E1468">
        <v>5.5</v>
      </c>
      <c r="F1468">
        <v>5.54</v>
      </c>
      <c r="G1468">
        <v>5.61</v>
      </c>
      <c r="H1468">
        <v>5.7</v>
      </c>
      <c r="I1468">
        <v>5.84</v>
      </c>
      <c r="K1468">
        <f t="shared" si="179"/>
        <v>4.9999999999999822</v>
      </c>
      <c r="L1468">
        <f t="shared" si="180"/>
        <v>5.0000000000000711</v>
      </c>
      <c r="M1468">
        <f t="shared" si="181"/>
        <v>5.9999999999999609</v>
      </c>
      <c r="N1468">
        <f t="shared" si="182"/>
        <v>7.0000000000000284</v>
      </c>
      <c r="O1468">
        <f t="shared" si="183"/>
        <v>7.0000000000000284</v>
      </c>
      <c r="P1468">
        <f t="shared" si="184"/>
        <v>6.0000000000000497</v>
      </c>
      <c r="Q1468">
        <f t="shared" si="185"/>
        <v>7.0000000000000284</v>
      </c>
      <c r="R1468">
        <f t="shared" si="186"/>
        <v>5.9999999999999609</v>
      </c>
    </row>
    <row r="1469" spans="1:18">
      <c r="A1469" s="9">
        <v>38855</v>
      </c>
      <c r="B1469">
        <v>5.39</v>
      </c>
      <c r="C1469">
        <v>5.38</v>
      </c>
      <c r="D1469">
        <v>5.39</v>
      </c>
      <c r="E1469">
        <v>5.42</v>
      </c>
      <c r="F1469">
        <v>5.46</v>
      </c>
      <c r="G1469">
        <v>5.53</v>
      </c>
      <c r="H1469">
        <v>5.62</v>
      </c>
      <c r="I1469">
        <v>5.76</v>
      </c>
      <c r="K1469">
        <f t="shared" si="179"/>
        <v>-3.0000000000000249</v>
      </c>
      <c r="L1469">
        <f t="shared" si="180"/>
        <v>-6.0000000000000497</v>
      </c>
      <c r="M1469">
        <f t="shared" si="181"/>
        <v>-7.0000000000000284</v>
      </c>
      <c r="N1469">
        <f t="shared" si="182"/>
        <v>-8.0000000000000071</v>
      </c>
      <c r="O1469">
        <f t="shared" si="183"/>
        <v>-8.0000000000000071</v>
      </c>
      <c r="P1469">
        <f t="shared" si="184"/>
        <v>-8.0000000000000071</v>
      </c>
      <c r="Q1469">
        <f t="shared" si="185"/>
        <v>-8.0000000000000071</v>
      </c>
      <c r="R1469">
        <f t="shared" si="186"/>
        <v>-8.0000000000000071</v>
      </c>
    </row>
    <row r="1470" spans="1:18">
      <c r="A1470" s="9">
        <v>38856</v>
      </c>
      <c r="B1470">
        <v>5.4</v>
      </c>
      <c r="C1470">
        <v>5.39</v>
      </c>
      <c r="D1470">
        <v>5.39</v>
      </c>
      <c r="E1470">
        <v>5.41</v>
      </c>
      <c r="F1470">
        <v>5.44</v>
      </c>
      <c r="G1470">
        <v>5.5</v>
      </c>
      <c r="H1470">
        <v>5.57</v>
      </c>
      <c r="I1470">
        <v>5.69</v>
      </c>
      <c r="K1470">
        <f t="shared" si="179"/>
        <v>1.0000000000000675</v>
      </c>
      <c r="L1470">
        <f t="shared" si="180"/>
        <v>0.99999999999997868</v>
      </c>
      <c r="M1470">
        <f t="shared" si="181"/>
        <v>0</v>
      </c>
      <c r="N1470">
        <f t="shared" si="182"/>
        <v>-0.99999999999997868</v>
      </c>
      <c r="O1470">
        <f t="shared" si="183"/>
        <v>-1.9999999999999574</v>
      </c>
      <c r="P1470">
        <f t="shared" si="184"/>
        <v>-3.0000000000000249</v>
      </c>
      <c r="Q1470">
        <f t="shared" si="185"/>
        <v>-4.9999999999999822</v>
      </c>
      <c r="R1470">
        <f t="shared" si="186"/>
        <v>-6.9999999999999396</v>
      </c>
    </row>
    <row r="1471" spans="1:18">
      <c r="A1471" s="9">
        <v>38859</v>
      </c>
      <c r="B1471">
        <v>5.4</v>
      </c>
      <c r="C1471">
        <v>5.37</v>
      </c>
      <c r="D1471">
        <v>5.37</v>
      </c>
      <c r="E1471">
        <v>5.39</v>
      </c>
      <c r="F1471">
        <v>5.42</v>
      </c>
      <c r="G1471">
        <v>5.48</v>
      </c>
      <c r="H1471">
        <v>5.55</v>
      </c>
      <c r="I1471">
        <v>5.67</v>
      </c>
      <c r="K1471">
        <f t="shared" si="179"/>
        <v>0</v>
      </c>
      <c r="L1471">
        <f t="shared" si="180"/>
        <v>-1.9999999999999574</v>
      </c>
      <c r="M1471">
        <f t="shared" si="181"/>
        <v>-1.9999999999999574</v>
      </c>
      <c r="N1471">
        <f t="shared" si="182"/>
        <v>-2.0000000000000462</v>
      </c>
      <c r="O1471">
        <f t="shared" si="183"/>
        <v>-2.0000000000000462</v>
      </c>
      <c r="P1471">
        <f t="shared" si="184"/>
        <v>-1.9999999999999574</v>
      </c>
      <c r="Q1471">
        <f t="shared" si="185"/>
        <v>-2.0000000000000462</v>
      </c>
      <c r="R1471">
        <f t="shared" si="186"/>
        <v>-2.0000000000000462</v>
      </c>
    </row>
    <row r="1472" spans="1:18">
      <c r="A1472" s="9">
        <v>38860</v>
      </c>
      <c r="B1472">
        <v>5.42</v>
      </c>
      <c r="C1472">
        <v>5.41</v>
      </c>
      <c r="D1472">
        <v>5.42</v>
      </c>
      <c r="E1472">
        <v>5.44</v>
      </c>
      <c r="F1472">
        <v>5.47</v>
      </c>
      <c r="G1472">
        <v>5.54</v>
      </c>
      <c r="H1472">
        <v>5.62</v>
      </c>
      <c r="I1472">
        <v>5.74</v>
      </c>
      <c r="K1472">
        <f t="shared" si="179"/>
        <v>1.9999999999999574</v>
      </c>
      <c r="L1472">
        <f t="shared" si="180"/>
        <v>4.0000000000000036</v>
      </c>
      <c r="M1472">
        <f t="shared" si="181"/>
        <v>4.9999999999999822</v>
      </c>
      <c r="N1472">
        <f t="shared" si="182"/>
        <v>5.0000000000000711</v>
      </c>
      <c r="O1472">
        <f t="shared" si="183"/>
        <v>4.9999999999999822</v>
      </c>
      <c r="P1472">
        <f t="shared" si="184"/>
        <v>5.9999999999999609</v>
      </c>
      <c r="Q1472">
        <f t="shared" si="185"/>
        <v>7.0000000000000284</v>
      </c>
      <c r="R1472">
        <f t="shared" si="186"/>
        <v>7.0000000000000284</v>
      </c>
    </row>
    <row r="1473" spans="1:18">
      <c r="A1473" s="9">
        <v>38861</v>
      </c>
      <c r="B1473">
        <v>5.41</v>
      </c>
      <c r="C1473">
        <v>5.38</v>
      </c>
      <c r="D1473">
        <v>5.39</v>
      </c>
      <c r="E1473">
        <v>5.41</v>
      </c>
      <c r="F1473">
        <v>5.45</v>
      </c>
      <c r="G1473">
        <v>5.51</v>
      </c>
      <c r="H1473">
        <v>5.59</v>
      </c>
      <c r="I1473">
        <v>5.72</v>
      </c>
      <c r="K1473">
        <f t="shared" si="179"/>
        <v>-0.99999999999997868</v>
      </c>
      <c r="L1473">
        <f t="shared" si="180"/>
        <v>-3.0000000000000249</v>
      </c>
      <c r="M1473">
        <f t="shared" si="181"/>
        <v>-3.0000000000000249</v>
      </c>
      <c r="N1473">
        <f t="shared" si="182"/>
        <v>-3.0000000000000249</v>
      </c>
      <c r="O1473">
        <f t="shared" si="183"/>
        <v>-1.9999999999999574</v>
      </c>
      <c r="P1473">
        <f t="shared" si="184"/>
        <v>-3.0000000000000249</v>
      </c>
      <c r="Q1473">
        <f t="shared" si="185"/>
        <v>-3.0000000000000249</v>
      </c>
      <c r="R1473">
        <f t="shared" si="186"/>
        <v>-2.0000000000000462</v>
      </c>
    </row>
    <row r="1474" spans="1:18">
      <c r="A1474" s="9">
        <v>38862</v>
      </c>
      <c r="B1474">
        <v>5.4</v>
      </c>
      <c r="C1474">
        <v>5.37</v>
      </c>
      <c r="D1474">
        <v>5.38</v>
      </c>
      <c r="E1474">
        <v>5.4</v>
      </c>
      <c r="F1474">
        <v>5.44</v>
      </c>
      <c r="G1474">
        <v>5.5</v>
      </c>
      <c r="H1474">
        <v>5.58</v>
      </c>
      <c r="I1474">
        <v>5.71</v>
      </c>
      <c r="K1474">
        <f t="shared" si="179"/>
        <v>-0.99999999999997868</v>
      </c>
      <c r="L1474">
        <f t="shared" si="180"/>
        <v>-0.99999999999997868</v>
      </c>
      <c r="M1474">
        <f t="shared" si="181"/>
        <v>-0.99999999999997868</v>
      </c>
      <c r="N1474">
        <f t="shared" si="182"/>
        <v>-0.99999999999997868</v>
      </c>
      <c r="O1474">
        <f t="shared" si="183"/>
        <v>-0.99999999999997868</v>
      </c>
      <c r="P1474">
        <f t="shared" si="184"/>
        <v>-0.99999999999997868</v>
      </c>
      <c r="Q1474">
        <f t="shared" si="185"/>
        <v>-0.99999999999997868</v>
      </c>
      <c r="R1474">
        <f t="shared" si="186"/>
        <v>-0.99999999999997868</v>
      </c>
    </row>
    <row r="1475" spans="1:18">
      <c r="A1475" s="9">
        <v>38863</v>
      </c>
      <c r="B1475">
        <v>5.41</v>
      </c>
      <c r="C1475">
        <v>5.38</v>
      </c>
      <c r="D1475">
        <v>5.39</v>
      </c>
      <c r="E1475">
        <v>5.42</v>
      </c>
      <c r="F1475">
        <v>5.45</v>
      </c>
      <c r="G1475">
        <v>5.52</v>
      </c>
      <c r="H1475">
        <v>5.59</v>
      </c>
      <c r="I1475">
        <v>5.73</v>
      </c>
      <c r="K1475">
        <f t="shared" si="179"/>
        <v>0.99999999999997868</v>
      </c>
      <c r="L1475">
        <f t="shared" si="180"/>
        <v>0.99999999999997868</v>
      </c>
      <c r="M1475">
        <f t="shared" si="181"/>
        <v>0.99999999999997868</v>
      </c>
      <c r="N1475">
        <f t="shared" si="182"/>
        <v>1.9999999999999574</v>
      </c>
      <c r="O1475">
        <f t="shared" si="183"/>
        <v>0.99999999999997868</v>
      </c>
      <c r="P1475">
        <f t="shared" si="184"/>
        <v>1.9999999999999574</v>
      </c>
      <c r="Q1475">
        <f t="shared" si="185"/>
        <v>0.99999999999997868</v>
      </c>
      <c r="R1475">
        <f t="shared" si="186"/>
        <v>2.0000000000000462</v>
      </c>
    </row>
    <row r="1476" spans="1:18">
      <c r="A1476" s="9">
        <v>38867</v>
      </c>
      <c r="B1476">
        <v>5.42</v>
      </c>
      <c r="C1476">
        <v>5.41</v>
      </c>
      <c r="D1476">
        <v>5.42</v>
      </c>
      <c r="E1476">
        <v>5.45</v>
      </c>
      <c r="F1476">
        <v>5.48</v>
      </c>
      <c r="G1476">
        <v>5.55</v>
      </c>
      <c r="H1476">
        <v>5.63</v>
      </c>
      <c r="I1476">
        <v>5.77</v>
      </c>
      <c r="K1476">
        <f t="shared" si="179"/>
        <v>0.99999999999997868</v>
      </c>
      <c r="L1476">
        <f t="shared" si="180"/>
        <v>3.0000000000000249</v>
      </c>
      <c r="M1476">
        <f t="shared" si="181"/>
        <v>3.0000000000000249</v>
      </c>
      <c r="N1476">
        <f t="shared" si="182"/>
        <v>3.0000000000000249</v>
      </c>
      <c r="O1476">
        <f t="shared" si="183"/>
        <v>3.0000000000000249</v>
      </c>
      <c r="P1476">
        <f t="shared" si="184"/>
        <v>3.0000000000000249</v>
      </c>
      <c r="Q1476">
        <f t="shared" si="185"/>
        <v>4.0000000000000036</v>
      </c>
      <c r="R1476">
        <f t="shared" si="186"/>
        <v>3.9999999999999147</v>
      </c>
    </row>
    <row r="1477" spans="1:18">
      <c r="A1477" s="9">
        <v>38868</v>
      </c>
      <c r="B1477">
        <v>5.44</v>
      </c>
      <c r="C1477">
        <v>5.44</v>
      </c>
      <c r="D1477">
        <v>5.44</v>
      </c>
      <c r="E1477">
        <v>5.46</v>
      </c>
      <c r="F1477">
        <v>5.5</v>
      </c>
      <c r="G1477">
        <v>5.56</v>
      </c>
      <c r="H1477">
        <v>5.63</v>
      </c>
      <c r="I1477">
        <v>5.76</v>
      </c>
      <c r="K1477">
        <f t="shared" ref="K1477:K1540" si="187">(B1477-B1476)*100</f>
        <v>2.0000000000000462</v>
      </c>
      <c r="L1477">
        <f t="shared" ref="L1477:L1540" si="188">(C1477-C1476)*100</f>
        <v>3.0000000000000249</v>
      </c>
      <c r="M1477">
        <f t="shared" ref="M1477:M1540" si="189">(D1477-D1476)*100</f>
        <v>2.0000000000000462</v>
      </c>
      <c r="N1477">
        <f t="shared" ref="N1477:N1540" si="190">(E1477-E1476)*100</f>
        <v>0.99999999999997868</v>
      </c>
      <c r="O1477">
        <f t="shared" ref="O1477:O1540" si="191">(F1477-F1476)*100</f>
        <v>1.9999999999999574</v>
      </c>
      <c r="P1477">
        <f t="shared" ref="P1477:P1540" si="192">(G1477-G1476)*100</f>
        <v>0.99999999999997868</v>
      </c>
      <c r="Q1477">
        <f t="shared" ref="Q1477:Q1540" si="193">(H1477-H1476)*100</f>
        <v>0</v>
      </c>
      <c r="R1477">
        <f t="shared" ref="R1477:R1540" si="194">(I1477-I1476)*100</f>
        <v>-0.99999999999997868</v>
      </c>
    </row>
    <row r="1478" spans="1:18">
      <c r="A1478" s="9">
        <v>38869</v>
      </c>
      <c r="B1478">
        <v>5.48</v>
      </c>
      <c r="C1478">
        <v>5.47</v>
      </c>
      <c r="D1478">
        <v>5.48</v>
      </c>
      <c r="E1478">
        <v>5.5</v>
      </c>
      <c r="F1478">
        <v>5.53</v>
      </c>
      <c r="G1478">
        <v>5.59</v>
      </c>
      <c r="H1478">
        <v>5.65</v>
      </c>
      <c r="I1478">
        <v>5.77</v>
      </c>
      <c r="K1478">
        <f t="shared" si="187"/>
        <v>4.0000000000000036</v>
      </c>
      <c r="L1478">
        <f t="shared" si="188"/>
        <v>2.9999999999999361</v>
      </c>
      <c r="M1478">
        <f t="shared" si="189"/>
        <v>4.0000000000000036</v>
      </c>
      <c r="N1478">
        <f t="shared" si="190"/>
        <v>4.0000000000000036</v>
      </c>
      <c r="O1478">
        <f t="shared" si="191"/>
        <v>3.0000000000000249</v>
      </c>
      <c r="P1478">
        <f t="shared" si="192"/>
        <v>3.0000000000000249</v>
      </c>
      <c r="Q1478">
        <f t="shared" si="193"/>
        <v>2.0000000000000462</v>
      </c>
      <c r="R1478">
        <f t="shared" si="194"/>
        <v>0.99999999999997868</v>
      </c>
    </row>
    <row r="1479" spans="1:18">
      <c r="A1479" s="9">
        <v>38870</v>
      </c>
      <c r="B1479">
        <v>5.4</v>
      </c>
      <c r="C1479">
        <v>5.37</v>
      </c>
      <c r="D1479">
        <v>5.38</v>
      </c>
      <c r="E1479">
        <v>5.4</v>
      </c>
      <c r="F1479">
        <v>5.43</v>
      </c>
      <c r="G1479">
        <v>5.49</v>
      </c>
      <c r="H1479">
        <v>5.57</v>
      </c>
      <c r="I1479">
        <v>5.7</v>
      </c>
      <c r="K1479">
        <f t="shared" si="187"/>
        <v>-8.0000000000000071</v>
      </c>
      <c r="L1479">
        <f t="shared" si="188"/>
        <v>-9.9999999999999645</v>
      </c>
      <c r="M1479">
        <f t="shared" si="189"/>
        <v>-10.000000000000053</v>
      </c>
      <c r="N1479">
        <f t="shared" si="190"/>
        <v>-9.9999999999999645</v>
      </c>
      <c r="O1479">
        <f t="shared" si="191"/>
        <v>-10.000000000000053</v>
      </c>
      <c r="P1479">
        <f t="shared" si="192"/>
        <v>-9.9999999999999645</v>
      </c>
      <c r="Q1479">
        <f t="shared" si="193"/>
        <v>-8.0000000000000071</v>
      </c>
      <c r="R1479">
        <f t="shared" si="194"/>
        <v>-6.9999999999999396</v>
      </c>
    </row>
    <row r="1480" spans="1:18">
      <c r="A1480" s="9">
        <v>38873</v>
      </c>
      <c r="B1480">
        <v>5.4</v>
      </c>
      <c r="C1480">
        <v>5.37</v>
      </c>
      <c r="D1480">
        <v>5.37</v>
      </c>
      <c r="E1480">
        <v>5.39</v>
      </c>
      <c r="F1480">
        <v>5.42</v>
      </c>
      <c r="G1480">
        <v>5.48</v>
      </c>
      <c r="H1480">
        <v>5.55</v>
      </c>
      <c r="I1480">
        <v>5.7</v>
      </c>
      <c r="K1480">
        <f t="shared" si="187"/>
        <v>0</v>
      </c>
      <c r="L1480">
        <f t="shared" si="188"/>
        <v>0</v>
      </c>
      <c r="M1480">
        <f t="shared" si="189"/>
        <v>-0.99999999999997868</v>
      </c>
      <c r="N1480">
        <f t="shared" si="190"/>
        <v>-1.0000000000000675</v>
      </c>
      <c r="O1480">
        <f t="shared" si="191"/>
        <v>-0.99999999999997868</v>
      </c>
      <c r="P1480">
        <f t="shared" si="192"/>
        <v>-0.99999999999997868</v>
      </c>
      <c r="Q1480">
        <f t="shared" si="193"/>
        <v>-2.0000000000000462</v>
      </c>
      <c r="R1480">
        <f t="shared" si="194"/>
        <v>0</v>
      </c>
    </row>
    <row r="1481" spans="1:18">
      <c r="A1481" s="9">
        <v>38874</v>
      </c>
      <c r="B1481">
        <v>5.48</v>
      </c>
      <c r="C1481">
        <v>5.44</v>
      </c>
      <c r="D1481">
        <v>5.44</v>
      </c>
      <c r="E1481">
        <v>5.45</v>
      </c>
      <c r="F1481">
        <v>5.47</v>
      </c>
      <c r="G1481">
        <v>5.52</v>
      </c>
      <c r="H1481">
        <v>5.59</v>
      </c>
      <c r="I1481">
        <v>5.69</v>
      </c>
      <c r="K1481">
        <f t="shared" si="187"/>
        <v>8.0000000000000071</v>
      </c>
      <c r="L1481">
        <f t="shared" si="188"/>
        <v>7.0000000000000284</v>
      </c>
      <c r="M1481">
        <f t="shared" si="189"/>
        <v>7.0000000000000284</v>
      </c>
      <c r="N1481">
        <f t="shared" si="190"/>
        <v>6.0000000000000497</v>
      </c>
      <c r="O1481">
        <f t="shared" si="191"/>
        <v>4.9999999999999822</v>
      </c>
      <c r="P1481">
        <f t="shared" si="192"/>
        <v>3.9999999999999147</v>
      </c>
      <c r="Q1481">
        <f t="shared" si="193"/>
        <v>4.0000000000000036</v>
      </c>
      <c r="R1481">
        <f t="shared" si="194"/>
        <v>-0.99999999999997868</v>
      </c>
    </row>
    <row r="1482" spans="1:18">
      <c r="A1482" s="9">
        <v>38875</v>
      </c>
      <c r="B1482">
        <v>5.49</v>
      </c>
      <c r="C1482">
        <v>5.45</v>
      </c>
      <c r="D1482">
        <v>5.45</v>
      </c>
      <c r="E1482">
        <v>5.46</v>
      </c>
      <c r="F1482">
        <v>5.49</v>
      </c>
      <c r="G1482">
        <v>5.53</v>
      </c>
      <c r="H1482">
        <v>5.58</v>
      </c>
      <c r="I1482">
        <v>5.7</v>
      </c>
      <c r="K1482">
        <f t="shared" si="187"/>
        <v>0.99999999999997868</v>
      </c>
      <c r="L1482">
        <f t="shared" si="188"/>
        <v>0.99999999999997868</v>
      </c>
      <c r="M1482">
        <f t="shared" si="189"/>
        <v>0.99999999999997868</v>
      </c>
      <c r="N1482">
        <f t="shared" si="190"/>
        <v>0.99999999999997868</v>
      </c>
      <c r="O1482">
        <f t="shared" si="191"/>
        <v>2.0000000000000462</v>
      </c>
      <c r="P1482">
        <f t="shared" si="192"/>
        <v>1.0000000000000675</v>
      </c>
      <c r="Q1482">
        <f t="shared" si="193"/>
        <v>-0.99999999999997868</v>
      </c>
      <c r="R1482">
        <f t="shared" si="194"/>
        <v>0.99999999999997868</v>
      </c>
    </row>
    <row r="1483" spans="1:18">
      <c r="A1483" s="9">
        <v>38876</v>
      </c>
      <c r="B1483">
        <v>5.49</v>
      </c>
      <c r="C1483">
        <v>5.45</v>
      </c>
      <c r="D1483">
        <v>5.44</v>
      </c>
      <c r="E1483">
        <v>5.44</v>
      </c>
      <c r="F1483">
        <v>5.46</v>
      </c>
      <c r="G1483">
        <v>5.5</v>
      </c>
      <c r="H1483">
        <v>5.55</v>
      </c>
      <c r="I1483">
        <v>5.65</v>
      </c>
      <c r="K1483">
        <f t="shared" si="187"/>
        <v>0</v>
      </c>
      <c r="L1483">
        <f t="shared" si="188"/>
        <v>0</v>
      </c>
      <c r="M1483">
        <f t="shared" si="189"/>
        <v>-0.99999999999997868</v>
      </c>
      <c r="N1483">
        <f t="shared" si="190"/>
        <v>-1.9999999999999574</v>
      </c>
      <c r="O1483">
        <f t="shared" si="191"/>
        <v>-3.0000000000000249</v>
      </c>
      <c r="P1483">
        <f t="shared" si="192"/>
        <v>-3.0000000000000249</v>
      </c>
      <c r="Q1483">
        <f t="shared" si="193"/>
        <v>-3.0000000000000249</v>
      </c>
      <c r="R1483">
        <f t="shared" si="194"/>
        <v>-4.9999999999999822</v>
      </c>
    </row>
    <row r="1484" spans="1:18">
      <c r="A1484" s="9">
        <v>38877</v>
      </c>
      <c r="B1484">
        <v>5.5</v>
      </c>
      <c r="C1484">
        <v>5.44</v>
      </c>
      <c r="D1484">
        <v>5.43</v>
      </c>
      <c r="E1484">
        <v>5.44</v>
      </c>
      <c r="F1484">
        <v>5.46</v>
      </c>
      <c r="G1484">
        <v>5.49</v>
      </c>
      <c r="H1484">
        <v>5.54</v>
      </c>
      <c r="I1484">
        <v>5.62</v>
      </c>
      <c r="K1484">
        <f t="shared" si="187"/>
        <v>0.99999999999997868</v>
      </c>
      <c r="L1484">
        <f t="shared" si="188"/>
        <v>-0.99999999999997868</v>
      </c>
      <c r="M1484">
        <f t="shared" si="189"/>
        <v>-1.0000000000000675</v>
      </c>
      <c r="N1484">
        <f t="shared" si="190"/>
        <v>0</v>
      </c>
      <c r="O1484">
        <f t="shared" si="191"/>
        <v>0</v>
      </c>
      <c r="P1484">
        <f t="shared" si="192"/>
        <v>-0.99999999999997868</v>
      </c>
      <c r="Q1484">
        <f t="shared" si="193"/>
        <v>-0.99999999999997868</v>
      </c>
      <c r="R1484">
        <f t="shared" si="194"/>
        <v>-3.0000000000000249</v>
      </c>
    </row>
    <row r="1485" spans="1:18">
      <c r="A1485" s="9">
        <v>38880</v>
      </c>
      <c r="B1485">
        <v>5.51</v>
      </c>
      <c r="C1485">
        <v>5.46</v>
      </c>
      <c r="D1485">
        <v>5.44</v>
      </c>
      <c r="E1485">
        <v>5.45</v>
      </c>
      <c r="F1485">
        <v>5.47</v>
      </c>
      <c r="G1485">
        <v>5.5</v>
      </c>
      <c r="H1485">
        <v>5.54</v>
      </c>
      <c r="I1485">
        <v>5.62</v>
      </c>
      <c r="K1485">
        <f t="shared" si="187"/>
        <v>0.99999999999997868</v>
      </c>
      <c r="L1485">
        <f t="shared" si="188"/>
        <v>1.9999999999999574</v>
      </c>
      <c r="M1485">
        <f t="shared" si="189"/>
        <v>1.0000000000000675</v>
      </c>
      <c r="N1485">
        <f t="shared" si="190"/>
        <v>0.99999999999997868</v>
      </c>
      <c r="O1485">
        <f t="shared" si="191"/>
        <v>0.99999999999997868</v>
      </c>
      <c r="P1485">
        <f t="shared" si="192"/>
        <v>0.99999999999997868</v>
      </c>
      <c r="Q1485">
        <f t="shared" si="193"/>
        <v>0</v>
      </c>
      <c r="R1485">
        <f t="shared" si="194"/>
        <v>0</v>
      </c>
    </row>
    <row r="1486" spans="1:18">
      <c r="A1486" s="9">
        <v>38881</v>
      </c>
      <c r="B1486">
        <v>5.5</v>
      </c>
      <c r="C1486">
        <v>5.44</v>
      </c>
      <c r="D1486">
        <v>5.42</v>
      </c>
      <c r="E1486">
        <v>5.43</v>
      </c>
      <c r="F1486">
        <v>5.45</v>
      </c>
      <c r="G1486">
        <v>5.48</v>
      </c>
      <c r="H1486">
        <v>5.52</v>
      </c>
      <c r="I1486">
        <v>5.61</v>
      </c>
      <c r="K1486">
        <f t="shared" si="187"/>
        <v>-0.99999999999997868</v>
      </c>
      <c r="L1486">
        <f t="shared" si="188"/>
        <v>-1.9999999999999574</v>
      </c>
      <c r="M1486">
        <f t="shared" si="189"/>
        <v>-2.0000000000000462</v>
      </c>
      <c r="N1486">
        <f t="shared" si="190"/>
        <v>-2.0000000000000462</v>
      </c>
      <c r="O1486">
        <f t="shared" si="191"/>
        <v>-1.9999999999999574</v>
      </c>
      <c r="P1486">
        <f t="shared" si="192"/>
        <v>-1.9999999999999574</v>
      </c>
      <c r="Q1486">
        <f t="shared" si="193"/>
        <v>-2.0000000000000462</v>
      </c>
      <c r="R1486">
        <f t="shared" si="194"/>
        <v>-0.99999999999997868</v>
      </c>
    </row>
    <row r="1487" spans="1:18">
      <c r="A1487" s="9">
        <v>38882</v>
      </c>
      <c r="B1487">
        <v>5.57</v>
      </c>
      <c r="C1487">
        <v>5.52</v>
      </c>
      <c r="D1487">
        <v>5.5</v>
      </c>
      <c r="E1487">
        <v>5.51</v>
      </c>
      <c r="F1487">
        <v>5.52</v>
      </c>
      <c r="G1487">
        <v>5.55</v>
      </c>
      <c r="H1487">
        <v>5.59</v>
      </c>
      <c r="I1487">
        <v>5.67</v>
      </c>
      <c r="K1487">
        <f t="shared" si="187"/>
        <v>7.0000000000000284</v>
      </c>
      <c r="L1487">
        <f t="shared" si="188"/>
        <v>7.9999999999999183</v>
      </c>
      <c r="M1487">
        <f t="shared" si="189"/>
        <v>8.0000000000000071</v>
      </c>
      <c r="N1487">
        <f t="shared" si="190"/>
        <v>8.0000000000000071</v>
      </c>
      <c r="O1487">
        <f t="shared" si="191"/>
        <v>6.9999999999999396</v>
      </c>
      <c r="P1487">
        <f t="shared" si="192"/>
        <v>6.9999999999999396</v>
      </c>
      <c r="Q1487">
        <f t="shared" si="193"/>
        <v>7.0000000000000284</v>
      </c>
      <c r="R1487">
        <f t="shared" si="194"/>
        <v>5.9999999999999609</v>
      </c>
    </row>
    <row r="1488" spans="1:18">
      <c r="A1488" s="9">
        <v>38883</v>
      </c>
      <c r="B1488">
        <v>5.64</v>
      </c>
      <c r="C1488">
        <v>5.59</v>
      </c>
      <c r="D1488">
        <v>5.58</v>
      </c>
      <c r="E1488">
        <v>5.59</v>
      </c>
      <c r="F1488">
        <v>5.61</v>
      </c>
      <c r="G1488">
        <v>5.63</v>
      </c>
      <c r="H1488">
        <v>5.68</v>
      </c>
      <c r="I1488">
        <v>5.74</v>
      </c>
      <c r="K1488">
        <f t="shared" si="187"/>
        <v>6.9999999999999396</v>
      </c>
      <c r="L1488">
        <f t="shared" si="188"/>
        <v>7.0000000000000284</v>
      </c>
      <c r="M1488">
        <f t="shared" si="189"/>
        <v>8.0000000000000071</v>
      </c>
      <c r="N1488">
        <f t="shared" si="190"/>
        <v>8.0000000000000071</v>
      </c>
      <c r="O1488">
        <f t="shared" si="191"/>
        <v>9.0000000000000746</v>
      </c>
      <c r="P1488">
        <f t="shared" si="192"/>
        <v>8.0000000000000071</v>
      </c>
      <c r="Q1488">
        <f t="shared" si="193"/>
        <v>8.9999999999999858</v>
      </c>
      <c r="R1488">
        <f t="shared" si="194"/>
        <v>7.0000000000000284</v>
      </c>
    </row>
    <row r="1489" spans="1:18">
      <c r="A1489" s="9">
        <v>38884</v>
      </c>
      <c r="B1489">
        <v>5.63</v>
      </c>
      <c r="C1489">
        <v>5.58</v>
      </c>
      <c r="D1489">
        <v>5.57</v>
      </c>
      <c r="E1489">
        <v>5.58</v>
      </c>
      <c r="F1489">
        <v>5.59</v>
      </c>
      <c r="G1489">
        <v>5.62</v>
      </c>
      <c r="H1489">
        <v>5.67</v>
      </c>
      <c r="I1489">
        <v>5.73</v>
      </c>
      <c r="K1489">
        <f t="shared" si="187"/>
        <v>-0.99999999999997868</v>
      </c>
      <c r="L1489">
        <f t="shared" si="188"/>
        <v>-0.99999999999997868</v>
      </c>
      <c r="M1489">
        <f t="shared" si="189"/>
        <v>-0.99999999999997868</v>
      </c>
      <c r="N1489">
        <f t="shared" si="190"/>
        <v>-0.99999999999997868</v>
      </c>
      <c r="O1489">
        <f t="shared" si="191"/>
        <v>-2.0000000000000462</v>
      </c>
      <c r="P1489">
        <f t="shared" si="192"/>
        <v>-0.99999999999997868</v>
      </c>
      <c r="Q1489">
        <f t="shared" si="193"/>
        <v>-0.99999999999997868</v>
      </c>
      <c r="R1489">
        <f t="shared" si="194"/>
        <v>-0.99999999999997868</v>
      </c>
    </row>
    <row r="1490" spans="1:18">
      <c r="A1490" s="9">
        <v>38887</v>
      </c>
      <c r="B1490">
        <v>5.67</v>
      </c>
      <c r="C1490">
        <v>5.63</v>
      </c>
      <c r="D1490">
        <v>5.62</v>
      </c>
      <c r="E1490">
        <v>5.64</v>
      </c>
      <c r="F1490">
        <v>5.65</v>
      </c>
      <c r="G1490">
        <v>5.68</v>
      </c>
      <c r="H1490">
        <v>5.72</v>
      </c>
      <c r="I1490">
        <v>5.79</v>
      </c>
      <c r="K1490">
        <f t="shared" si="187"/>
        <v>4.0000000000000036</v>
      </c>
      <c r="L1490">
        <f t="shared" si="188"/>
        <v>4.9999999999999822</v>
      </c>
      <c r="M1490">
        <f t="shared" si="189"/>
        <v>4.9999999999999822</v>
      </c>
      <c r="N1490">
        <f t="shared" si="190"/>
        <v>5.9999999999999609</v>
      </c>
      <c r="O1490">
        <f t="shared" si="191"/>
        <v>6.0000000000000497</v>
      </c>
      <c r="P1490">
        <f t="shared" si="192"/>
        <v>5.9999999999999609</v>
      </c>
      <c r="Q1490">
        <f t="shared" si="193"/>
        <v>4.9999999999999822</v>
      </c>
      <c r="R1490">
        <f t="shared" si="194"/>
        <v>5.9999999999999609</v>
      </c>
    </row>
    <row r="1491" spans="1:18">
      <c r="A1491" s="9">
        <v>38888</v>
      </c>
      <c r="B1491">
        <v>5.68</v>
      </c>
      <c r="C1491">
        <v>5.65</v>
      </c>
      <c r="D1491">
        <v>5.64</v>
      </c>
      <c r="E1491">
        <v>5.65</v>
      </c>
      <c r="F1491">
        <v>5.67</v>
      </c>
      <c r="G1491">
        <v>5.69</v>
      </c>
      <c r="H1491">
        <v>5.73</v>
      </c>
      <c r="I1491">
        <v>5.8</v>
      </c>
      <c r="K1491">
        <f t="shared" si="187"/>
        <v>0.99999999999997868</v>
      </c>
      <c r="L1491">
        <f t="shared" si="188"/>
        <v>2.0000000000000462</v>
      </c>
      <c r="M1491">
        <f t="shared" si="189"/>
        <v>1.9999999999999574</v>
      </c>
      <c r="N1491">
        <f t="shared" si="190"/>
        <v>1.0000000000000675</v>
      </c>
      <c r="O1491">
        <f t="shared" si="191"/>
        <v>1.9999999999999574</v>
      </c>
      <c r="P1491">
        <f t="shared" si="192"/>
        <v>1.0000000000000675</v>
      </c>
      <c r="Q1491">
        <f t="shared" si="193"/>
        <v>1.0000000000000675</v>
      </c>
      <c r="R1491">
        <f t="shared" si="194"/>
        <v>0.99999999999997868</v>
      </c>
    </row>
    <row r="1492" spans="1:18">
      <c r="A1492" s="9">
        <v>38889</v>
      </c>
      <c r="B1492">
        <v>5.68</v>
      </c>
      <c r="C1492">
        <v>5.65</v>
      </c>
      <c r="D1492">
        <v>5.63</v>
      </c>
      <c r="E1492">
        <v>5.64</v>
      </c>
      <c r="F1492">
        <v>5.66</v>
      </c>
      <c r="G1492">
        <v>5.68</v>
      </c>
      <c r="H1492">
        <v>5.72</v>
      </c>
      <c r="I1492">
        <v>5.79</v>
      </c>
      <c r="K1492">
        <f t="shared" si="187"/>
        <v>0</v>
      </c>
      <c r="L1492">
        <f t="shared" si="188"/>
        <v>0</v>
      </c>
      <c r="M1492">
        <f t="shared" si="189"/>
        <v>-0.99999999999997868</v>
      </c>
      <c r="N1492">
        <f t="shared" si="190"/>
        <v>-1.0000000000000675</v>
      </c>
      <c r="O1492">
        <f t="shared" si="191"/>
        <v>-0.99999999999997868</v>
      </c>
      <c r="P1492">
        <f t="shared" si="192"/>
        <v>-1.0000000000000675</v>
      </c>
      <c r="Q1492">
        <f t="shared" si="193"/>
        <v>-1.0000000000000675</v>
      </c>
      <c r="R1492">
        <f t="shared" si="194"/>
        <v>-0.99999999999997868</v>
      </c>
    </row>
    <row r="1493" spans="1:18">
      <c r="A1493" s="9">
        <v>38890</v>
      </c>
      <c r="B1493">
        <v>5.71</v>
      </c>
      <c r="C1493">
        <v>5.68</v>
      </c>
      <c r="D1493">
        <v>5.68</v>
      </c>
      <c r="E1493">
        <v>5.69</v>
      </c>
      <c r="F1493">
        <v>5.71</v>
      </c>
      <c r="G1493">
        <v>5.74</v>
      </c>
      <c r="H1493">
        <v>5.78</v>
      </c>
      <c r="I1493">
        <v>5.84</v>
      </c>
      <c r="K1493">
        <f t="shared" si="187"/>
        <v>3.0000000000000249</v>
      </c>
      <c r="L1493">
        <f t="shared" si="188"/>
        <v>2.9999999999999361</v>
      </c>
      <c r="M1493">
        <f t="shared" si="189"/>
        <v>4.9999999999999822</v>
      </c>
      <c r="N1493">
        <f t="shared" si="190"/>
        <v>5.0000000000000711</v>
      </c>
      <c r="O1493">
        <f t="shared" si="191"/>
        <v>4.9999999999999822</v>
      </c>
      <c r="P1493">
        <f t="shared" si="192"/>
        <v>6.0000000000000497</v>
      </c>
      <c r="Q1493">
        <f t="shared" si="193"/>
        <v>6.0000000000000497</v>
      </c>
      <c r="R1493">
        <f t="shared" si="194"/>
        <v>4.9999999999999822</v>
      </c>
    </row>
    <row r="1494" spans="1:18">
      <c r="A1494" s="9">
        <v>38891</v>
      </c>
      <c r="B1494">
        <v>5.74</v>
      </c>
      <c r="C1494">
        <v>5.72</v>
      </c>
      <c r="D1494">
        <v>5.71</v>
      </c>
      <c r="E1494">
        <v>5.72</v>
      </c>
      <c r="F1494">
        <v>5.74</v>
      </c>
      <c r="G1494">
        <v>5.76</v>
      </c>
      <c r="H1494">
        <v>5.81</v>
      </c>
      <c r="I1494">
        <v>5.86</v>
      </c>
      <c r="K1494">
        <f t="shared" si="187"/>
        <v>3.0000000000000249</v>
      </c>
      <c r="L1494">
        <f t="shared" si="188"/>
        <v>4.0000000000000036</v>
      </c>
      <c r="M1494">
        <f t="shared" si="189"/>
        <v>3.0000000000000249</v>
      </c>
      <c r="N1494">
        <f t="shared" si="190"/>
        <v>2.9999999999999361</v>
      </c>
      <c r="O1494">
        <f t="shared" si="191"/>
        <v>3.0000000000000249</v>
      </c>
      <c r="P1494">
        <f t="shared" si="192"/>
        <v>1.9999999999999574</v>
      </c>
      <c r="Q1494">
        <f t="shared" si="193"/>
        <v>2.9999999999999361</v>
      </c>
      <c r="R1494">
        <f t="shared" si="194"/>
        <v>2.0000000000000462</v>
      </c>
    </row>
    <row r="1495" spans="1:18">
      <c r="A1495" s="9">
        <v>38894</v>
      </c>
      <c r="B1495">
        <v>5.76</v>
      </c>
      <c r="C1495">
        <v>5.73</v>
      </c>
      <c r="D1495">
        <v>5.72</v>
      </c>
      <c r="E1495">
        <v>5.74</v>
      </c>
      <c r="F1495">
        <v>5.75</v>
      </c>
      <c r="G1495">
        <v>5.78</v>
      </c>
      <c r="H1495">
        <v>5.82</v>
      </c>
      <c r="I1495">
        <v>5.89</v>
      </c>
      <c r="K1495">
        <f t="shared" si="187"/>
        <v>1.9999999999999574</v>
      </c>
      <c r="L1495">
        <f t="shared" si="188"/>
        <v>1.0000000000000675</v>
      </c>
      <c r="M1495">
        <f t="shared" si="189"/>
        <v>0.99999999999997868</v>
      </c>
      <c r="N1495">
        <f t="shared" si="190"/>
        <v>2.0000000000000462</v>
      </c>
      <c r="O1495">
        <f t="shared" si="191"/>
        <v>0.99999999999997868</v>
      </c>
      <c r="P1495">
        <f t="shared" si="192"/>
        <v>2.0000000000000462</v>
      </c>
      <c r="Q1495">
        <f t="shared" si="193"/>
        <v>1.0000000000000675</v>
      </c>
      <c r="R1495">
        <f t="shared" si="194"/>
        <v>2.9999999999999361</v>
      </c>
    </row>
    <row r="1496" spans="1:18">
      <c r="A1496" s="9">
        <v>38895</v>
      </c>
      <c r="B1496">
        <v>5.74</v>
      </c>
      <c r="C1496">
        <v>5.7</v>
      </c>
      <c r="D1496">
        <v>5.69</v>
      </c>
      <c r="E1496">
        <v>5.7</v>
      </c>
      <c r="F1496">
        <v>5.72</v>
      </c>
      <c r="G1496">
        <v>5.75</v>
      </c>
      <c r="H1496">
        <v>5.79</v>
      </c>
      <c r="I1496">
        <v>5.86</v>
      </c>
      <c r="K1496">
        <f t="shared" si="187"/>
        <v>-1.9999999999999574</v>
      </c>
      <c r="L1496">
        <f t="shared" si="188"/>
        <v>-3.0000000000000249</v>
      </c>
      <c r="M1496">
        <f t="shared" si="189"/>
        <v>-2.9999999999999361</v>
      </c>
      <c r="N1496">
        <f t="shared" si="190"/>
        <v>-4.0000000000000036</v>
      </c>
      <c r="O1496">
        <f t="shared" si="191"/>
        <v>-3.0000000000000249</v>
      </c>
      <c r="P1496">
        <f t="shared" si="192"/>
        <v>-3.0000000000000249</v>
      </c>
      <c r="Q1496">
        <f t="shared" si="193"/>
        <v>-3.0000000000000249</v>
      </c>
      <c r="R1496">
        <f t="shared" si="194"/>
        <v>-2.9999999999999361</v>
      </c>
    </row>
    <row r="1497" spans="1:18">
      <c r="A1497" s="9">
        <v>38896</v>
      </c>
      <c r="B1497">
        <v>5.74</v>
      </c>
      <c r="C1497">
        <v>5.71</v>
      </c>
      <c r="D1497">
        <v>5.71</v>
      </c>
      <c r="E1497">
        <v>5.72</v>
      </c>
      <c r="F1497">
        <v>5.74</v>
      </c>
      <c r="G1497">
        <v>5.76</v>
      </c>
      <c r="H1497">
        <v>5.8</v>
      </c>
      <c r="I1497">
        <v>5.87</v>
      </c>
      <c r="K1497">
        <f t="shared" si="187"/>
        <v>0</v>
      </c>
      <c r="L1497">
        <f t="shared" si="188"/>
        <v>0.99999999999997868</v>
      </c>
      <c r="M1497">
        <f t="shared" si="189"/>
        <v>1.9999999999999574</v>
      </c>
      <c r="N1497">
        <f t="shared" si="190"/>
        <v>1.9999999999999574</v>
      </c>
      <c r="O1497">
        <f t="shared" si="191"/>
        <v>2.0000000000000462</v>
      </c>
      <c r="P1497">
        <f t="shared" si="192"/>
        <v>0.99999999999997868</v>
      </c>
      <c r="Q1497">
        <f t="shared" si="193"/>
        <v>0.99999999999997868</v>
      </c>
      <c r="R1497">
        <f t="shared" si="194"/>
        <v>0.99999999999997868</v>
      </c>
    </row>
    <row r="1498" spans="1:18">
      <c r="A1498" s="9">
        <v>38897</v>
      </c>
      <c r="B1498">
        <v>5.75</v>
      </c>
      <c r="C1498">
        <v>5.72</v>
      </c>
      <c r="D1498">
        <v>5.72</v>
      </c>
      <c r="E1498">
        <v>5.73</v>
      </c>
      <c r="F1498">
        <v>5.75</v>
      </c>
      <c r="G1498">
        <v>5.77</v>
      </c>
      <c r="H1498">
        <v>5.81</v>
      </c>
      <c r="I1498">
        <v>5.88</v>
      </c>
      <c r="K1498">
        <f t="shared" si="187"/>
        <v>0.99999999999997868</v>
      </c>
      <c r="L1498">
        <f t="shared" si="188"/>
        <v>0.99999999999997868</v>
      </c>
      <c r="M1498">
        <f t="shared" si="189"/>
        <v>0.99999999999997868</v>
      </c>
      <c r="N1498">
        <f t="shared" si="190"/>
        <v>1.0000000000000675</v>
      </c>
      <c r="O1498">
        <f t="shared" si="191"/>
        <v>0.99999999999997868</v>
      </c>
      <c r="P1498">
        <f t="shared" si="192"/>
        <v>0.99999999999997868</v>
      </c>
      <c r="Q1498">
        <f t="shared" si="193"/>
        <v>0.99999999999997868</v>
      </c>
      <c r="R1498">
        <f t="shared" si="194"/>
        <v>0.99999999999997868</v>
      </c>
    </row>
    <row r="1499" spans="1:18">
      <c r="A1499" s="9">
        <v>38898</v>
      </c>
      <c r="B1499">
        <v>5.68</v>
      </c>
      <c r="C1499">
        <v>5.65</v>
      </c>
      <c r="D1499">
        <v>5.65</v>
      </c>
      <c r="E1499">
        <v>5.67</v>
      </c>
      <c r="F1499">
        <v>5.69</v>
      </c>
      <c r="G1499">
        <v>5.73</v>
      </c>
      <c r="H1499">
        <v>5.79</v>
      </c>
      <c r="I1499">
        <v>5.86</v>
      </c>
      <c r="K1499">
        <f t="shared" si="187"/>
        <v>-7.0000000000000284</v>
      </c>
      <c r="L1499">
        <f t="shared" si="188"/>
        <v>-6.9999999999999396</v>
      </c>
      <c r="M1499">
        <f t="shared" si="189"/>
        <v>-6.9999999999999396</v>
      </c>
      <c r="N1499">
        <f t="shared" si="190"/>
        <v>-6.0000000000000497</v>
      </c>
      <c r="O1499">
        <f t="shared" si="191"/>
        <v>-5.9999999999999609</v>
      </c>
      <c r="P1499">
        <f t="shared" si="192"/>
        <v>-3.9999999999999147</v>
      </c>
      <c r="Q1499">
        <f t="shared" si="193"/>
        <v>-1.9999999999999574</v>
      </c>
      <c r="R1499">
        <f t="shared" si="194"/>
        <v>-1.9999999999999574</v>
      </c>
    </row>
    <row r="1500" spans="1:18">
      <c r="A1500" s="9">
        <v>38901</v>
      </c>
      <c r="B1500">
        <v>5.68</v>
      </c>
      <c r="C1500">
        <v>5.64</v>
      </c>
      <c r="D1500">
        <v>5.63</v>
      </c>
      <c r="E1500">
        <v>5.65</v>
      </c>
      <c r="F1500">
        <v>5.66</v>
      </c>
      <c r="G1500">
        <v>5.7</v>
      </c>
      <c r="H1500">
        <v>5.76</v>
      </c>
      <c r="I1500">
        <v>5.84</v>
      </c>
      <c r="K1500">
        <f t="shared" si="187"/>
        <v>0</v>
      </c>
      <c r="L1500">
        <f t="shared" si="188"/>
        <v>-1.0000000000000675</v>
      </c>
      <c r="M1500">
        <f t="shared" si="189"/>
        <v>-2.0000000000000462</v>
      </c>
      <c r="N1500">
        <f t="shared" si="190"/>
        <v>-1.9999999999999574</v>
      </c>
      <c r="O1500">
        <f t="shared" si="191"/>
        <v>-3.0000000000000249</v>
      </c>
      <c r="P1500">
        <f t="shared" si="192"/>
        <v>-3.0000000000000249</v>
      </c>
      <c r="Q1500">
        <f t="shared" si="193"/>
        <v>-3.0000000000000249</v>
      </c>
      <c r="R1500">
        <f t="shared" si="194"/>
        <v>-2.0000000000000462</v>
      </c>
    </row>
    <row r="1501" spans="1:18">
      <c r="A1501" s="9">
        <v>38903</v>
      </c>
      <c r="B1501">
        <v>5.75</v>
      </c>
      <c r="C1501">
        <v>5.73</v>
      </c>
      <c r="D1501">
        <v>5.72</v>
      </c>
      <c r="E1501">
        <v>5.74</v>
      </c>
      <c r="F1501">
        <v>5.76</v>
      </c>
      <c r="G1501">
        <v>5.8</v>
      </c>
      <c r="H1501">
        <v>5.85</v>
      </c>
      <c r="I1501">
        <v>5.92</v>
      </c>
      <c r="K1501">
        <f t="shared" si="187"/>
        <v>7.0000000000000284</v>
      </c>
      <c r="L1501">
        <f t="shared" si="188"/>
        <v>9.0000000000000746</v>
      </c>
      <c r="M1501">
        <f t="shared" si="189"/>
        <v>8.9999999999999858</v>
      </c>
      <c r="N1501">
        <f t="shared" si="190"/>
        <v>8.9999999999999858</v>
      </c>
      <c r="O1501">
        <f t="shared" si="191"/>
        <v>9.9999999999999645</v>
      </c>
      <c r="P1501">
        <f t="shared" si="192"/>
        <v>9.9999999999999645</v>
      </c>
      <c r="Q1501">
        <f t="shared" si="193"/>
        <v>8.9999999999999858</v>
      </c>
      <c r="R1501">
        <f t="shared" si="194"/>
        <v>8.0000000000000071</v>
      </c>
    </row>
    <row r="1502" spans="1:18">
      <c r="A1502" s="9">
        <v>38904</v>
      </c>
      <c r="B1502">
        <v>5.74</v>
      </c>
      <c r="C1502">
        <v>5.7</v>
      </c>
      <c r="D1502">
        <v>5.69</v>
      </c>
      <c r="E1502">
        <v>5.71</v>
      </c>
      <c r="F1502">
        <v>5.72</v>
      </c>
      <c r="G1502">
        <v>5.75</v>
      </c>
      <c r="H1502">
        <v>5.8</v>
      </c>
      <c r="I1502">
        <v>5.87</v>
      </c>
      <c r="K1502">
        <f t="shared" si="187"/>
        <v>-0.99999999999997868</v>
      </c>
      <c r="L1502">
        <f t="shared" si="188"/>
        <v>-3.0000000000000249</v>
      </c>
      <c r="M1502">
        <f t="shared" si="189"/>
        <v>-2.9999999999999361</v>
      </c>
      <c r="N1502">
        <f t="shared" si="190"/>
        <v>-3.0000000000000249</v>
      </c>
      <c r="O1502">
        <f t="shared" si="191"/>
        <v>-4.0000000000000036</v>
      </c>
      <c r="P1502">
        <f t="shared" si="192"/>
        <v>-4.9999999999999822</v>
      </c>
      <c r="Q1502">
        <f t="shared" si="193"/>
        <v>-4.9999999999999822</v>
      </c>
      <c r="R1502">
        <f t="shared" si="194"/>
        <v>-4.9999999999999822</v>
      </c>
    </row>
    <row r="1503" spans="1:18">
      <c r="A1503" s="9">
        <v>38905</v>
      </c>
      <c r="B1503">
        <v>5.72</v>
      </c>
      <c r="C1503">
        <v>5.67</v>
      </c>
      <c r="D1503">
        <v>5.65</v>
      </c>
      <c r="E1503">
        <v>5.66</v>
      </c>
      <c r="F1503">
        <v>5.67</v>
      </c>
      <c r="G1503">
        <v>5.7</v>
      </c>
      <c r="H1503">
        <v>5.75</v>
      </c>
      <c r="I1503">
        <v>5.8</v>
      </c>
      <c r="K1503">
        <f t="shared" si="187"/>
        <v>-2.0000000000000462</v>
      </c>
      <c r="L1503">
        <f t="shared" si="188"/>
        <v>-3.0000000000000249</v>
      </c>
      <c r="M1503">
        <f t="shared" si="189"/>
        <v>-4.0000000000000036</v>
      </c>
      <c r="N1503">
        <f t="shared" si="190"/>
        <v>-4.9999999999999822</v>
      </c>
      <c r="O1503">
        <f t="shared" si="191"/>
        <v>-4.9999999999999822</v>
      </c>
      <c r="P1503">
        <f t="shared" si="192"/>
        <v>-4.9999999999999822</v>
      </c>
      <c r="Q1503">
        <f t="shared" si="193"/>
        <v>-4.9999999999999822</v>
      </c>
      <c r="R1503">
        <f t="shared" si="194"/>
        <v>-7.0000000000000284</v>
      </c>
    </row>
    <row r="1504" spans="1:18">
      <c r="A1504" s="9">
        <v>38908</v>
      </c>
      <c r="B1504">
        <v>5.71</v>
      </c>
      <c r="C1504">
        <v>5.66</v>
      </c>
      <c r="D1504">
        <v>5.64</v>
      </c>
      <c r="E1504">
        <v>5.66</v>
      </c>
      <c r="F1504">
        <v>5.68</v>
      </c>
      <c r="G1504">
        <v>5.71</v>
      </c>
      <c r="H1504">
        <v>5.76</v>
      </c>
      <c r="I1504">
        <v>5.83</v>
      </c>
      <c r="K1504">
        <f t="shared" si="187"/>
        <v>-0.99999999999997868</v>
      </c>
      <c r="L1504">
        <f t="shared" si="188"/>
        <v>-0.99999999999997868</v>
      </c>
      <c r="M1504">
        <f t="shared" si="189"/>
        <v>-1.0000000000000675</v>
      </c>
      <c r="N1504">
        <f t="shared" si="190"/>
        <v>0</v>
      </c>
      <c r="O1504">
        <f t="shared" si="191"/>
        <v>0.99999999999997868</v>
      </c>
      <c r="P1504">
        <f t="shared" si="192"/>
        <v>0.99999999999997868</v>
      </c>
      <c r="Q1504">
        <f t="shared" si="193"/>
        <v>0.99999999999997868</v>
      </c>
      <c r="R1504">
        <f t="shared" si="194"/>
        <v>3.0000000000000249</v>
      </c>
    </row>
    <row r="1505" spans="1:18">
      <c r="A1505" s="9">
        <v>38909</v>
      </c>
      <c r="B1505">
        <v>5.69</v>
      </c>
      <c r="C1505">
        <v>5.63</v>
      </c>
      <c r="D1505">
        <v>5.6</v>
      </c>
      <c r="E1505">
        <v>5.61</v>
      </c>
      <c r="F1505">
        <v>5.62</v>
      </c>
      <c r="G1505">
        <v>5.65</v>
      </c>
      <c r="H1505">
        <v>5.69</v>
      </c>
      <c r="I1505">
        <v>5.76</v>
      </c>
      <c r="K1505">
        <f t="shared" si="187"/>
        <v>-1.9999999999999574</v>
      </c>
      <c r="L1505">
        <f t="shared" si="188"/>
        <v>-3.0000000000000249</v>
      </c>
      <c r="M1505">
        <f t="shared" si="189"/>
        <v>-4.0000000000000036</v>
      </c>
      <c r="N1505">
        <f t="shared" si="190"/>
        <v>-4.9999999999999822</v>
      </c>
      <c r="O1505">
        <f t="shared" si="191"/>
        <v>-5.9999999999999609</v>
      </c>
      <c r="P1505">
        <f t="shared" si="192"/>
        <v>-5.9999999999999609</v>
      </c>
      <c r="Q1505">
        <f t="shared" si="193"/>
        <v>-6.9999999999999396</v>
      </c>
      <c r="R1505">
        <f t="shared" si="194"/>
        <v>-7.0000000000000284</v>
      </c>
    </row>
    <row r="1506" spans="1:18">
      <c r="A1506" s="9">
        <v>38910</v>
      </c>
      <c r="B1506">
        <v>5.71</v>
      </c>
      <c r="C1506">
        <v>5.65</v>
      </c>
      <c r="D1506">
        <v>5.63</v>
      </c>
      <c r="E1506">
        <v>5.64</v>
      </c>
      <c r="F1506">
        <v>5.66</v>
      </c>
      <c r="G1506">
        <v>5.69</v>
      </c>
      <c r="H1506">
        <v>5.73</v>
      </c>
      <c r="I1506">
        <v>5.79</v>
      </c>
      <c r="K1506">
        <f t="shared" si="187"/>
        <v>1.9999999999999574</v>
      </c>
      <c r="L1506">
        <f t="shared" si="188"/>
        <v>2.0000000000000462</v>
      </c>
      <c r="M1506">
        <f t="shared" si="189"/>
        <v>3.0000000000000249</v>
      </c>
      <c r="N1506">
        <f t="shared" si="190"/>
        <v>2.9999999999999361</v>
      </c>
      <c r="O1506">
        <f t="shared" si="191"/>
        <v>4.0000000000000036</v>
      </c>
      <c r="P1506">
        <f t="shared" si="192"/>
        <v>4.0000000000000036</v>
      </c>
      <c r="Q1506">
        <f t="shared" si="193"/>
        <v>4.0000000000000036</v>
      </c>
      <c r="R1506">
        <f t="shared" si="194"/>
        <v>3.0000000000000249</v>
      </c>
    </row>
    <row r="1507" spans="1:18">
      <c r="A1507" s="9">
        <v>38911</v>
      </c>
      <c r="B1507">
        <v>5.68</v>
      </c>
      <c r="C1507">
        <v>5.62</v>
      </c>
      <c r="D1507">
        <v>5.59</v>
      </c>
      <c r="E1507">
        <v>5.6</v>
      </c>
      <c r="F1507">
        <v>5.62</v>
      </c>
      <c r="G1507">
        <v>5.65</v>
      </c>
      <c r="H1507">
        <v>5.7</v>
      </c>
      <c r="I1507">
        <v>5.76</v>
      </c>
      <c r="K1507">
        <f t="shared" si="187"/>
        <v>-3.0000000000000249</v>
      </c>
      <c r="L1507">
        <f t="shared" si="188"/>
        <v>-3.0000000000000249</v>
      </c>
      <c r="M1507">
        <f t="shared" si="189"/>
        <v>-4.0000000000000036</v>
      </c>
      <c r="N1507">
        <f t="shared" si="190"/>
        <v>-4.0000000000000036</v>
      </c>
      <c r="O1507">
        <f t="shared" si="191"/>
        <v>-4.0000000000000036</v>
      </c>
      <c r="P1507">
        <f t="shared" si="192"/>
        <v>-4.0000000000000036</v>
      </c>
      <c r="Q1507">
        <f t="shared" si="193"/>
        <v>-3.0000000000000249</v>
      </c>
      <c r="R1507">
        <f t="shared" si="194"/>
        <v>-3.0000000000000249</v>
      </c>
    </row>
    <row r="1508" spans="1:18">
      <c r="A1508" s="9">
        <v>38912</v>
      </c>
      <c r="B1508">
        <v>5.64</v>
      </c>
      <c r="C1508">
        <v>5.57</v>
      </c>
      <c r="D1508">
        <v>5.56</v>
      </c>
      <c r="E1508">
        <v>5.57</v>
      </c>
      <c r="F1508">
        <v>5.59</v>
      </c>
      <c r="G1508">
        <v>5.63</v>
      </c>
      <c r="H1508">
        <v>5.68</v>
      </c>
      <c r="I1508">
        <v>5.75</v>
      </c>
      <c r="K1508">
        <f t="shared" si="187"/>
        <v>-4.0000000000000036</v>
      </c>
      <c r="L1508">
        <f t="shared" si="188"/>
        <v>-4.9999999999999822</v>
      </c>
      <c r="M1508">
        <f t="shared" si="189"/>
        <v>-3.0000000000000249</v>
      </c>
      <c r="N1508">
        <f t="shared" si="190"/>
        <v>-2.9999999999999361</v>
      </c>
      <c r="O1508">
        <f t="shared" si="191"/>
        <v>-3.0000000000000249</v>
      </c>
      <c r="P1508">
        <f t="shared" si="192"/>
        <v>-2.0000000000000462</v>
      </c>
      <c r="Q1508">
        <f t="shared" si="193"/>
        <v>-2.0000000000000462</v>
      </c>
      <c r="R1508">
        <f t="shared" si="194"/>
        <v>-0.99999999999997868</v>
      </c>
    </row>
    <row r="1509" spans="1:18">
      <c r="A1509" s="9">
        <v>38915</v>
      </c>
      <c r="B1509">
        <v>5.66</v>
      </c>
      <c r="C1509">
        <v>5.6</v>
      </c>
      <c r="D1509">
        <v>5.58</v>
      </c>
      <c r="E1509">
        <v>5.59</v>
      </c>
      <c r="F1509">
        <v>5.61</v>
      </c>
      <c r="G1509">
        <v>5.64</v>
      </c>
      <c r="H1509">
        <v>5.69</v>
      </c>
      <c r="I1509">
        <v>5.75</v>
      </c>
      <c r="K1509">
        <f t="shared" si="187"/>
        <v>2.0000000000000462</v>
      </c>
      <c r="L1509">
        <f t="shared" si="188"/>
        <v>2.9999999999999361</v>
      </c>
      <c r="M1509">
        <f t="shared" si="189"/>
        <v>2.0000000000000462</v>
      </c>
      <c r="N1509">
        <f t="shared" si="190"/>
        <v>1.9999999999999574</v>
      </c>
      <c r="O1509">
        <f t="shared" si="191"/>
        <v>2.0000000000000462</v>
      </c>
      <c r="P1509">
        <f t="shared" si="192"/>
        <v>0.99999999999997868</v>
      </c>
      <c r="Q1509">
        <f t="shared" si="193"/>
        <v>1.0000000000000675</v>
      </c>
      <c r="R1509">
        <f t="shared" si="194"/>
        <v>0</v>
      </c>
    </row>
    <row r="1510" spans="1:18">
      <c r="A1510" s="9">
        <v>38916</v>
      </c>
      <c r="B1510">
        <v>5.69</v>
      </c>
      <c r="C1510">
        <v>5.64</v>
      </c>
      <c r="D1510">
        <v>5.62</v>
      </c>
      <c r="E1510">
        <v>5.63</v>
      </c>
      <c r="F1510">
        <v>5.66</v>
      </c>
      <c r="G1510">
        <v>5.69</v>
      </c>
      <c r="H1510">
        <v>5.73</v>
      </c>
      <c r="I1510">
        <v>5.8</v>
      </c>
      <c r="K1510">
        <f t="shared" si="187"/>
        <v>3.0000000000000249</v>
      </c>
      <c r="L1510">
        <f t="shared" si="188"/>
        <v>4.0000000000000036</v>
      </c>
      <c r="M1510">
        <f t="shared" si="189"/>
        <v>4.0000000000000036</v>
      </c>
      <c r="N1510">
        <f t="shared" si="190"/>
        <v>4.0000000000000036</v>
      </c>
      <c r="O1510">
        <f t="shared" si="191"/>
        <v>4.9999999999999822</v>
      </c>
      <c r="P1510">
        <f t="shared" si="192"/>
        <v>5.0000000000000711</v>
      </c>
      <c r="Q1510">
        <f t="shared" si="193"/>
        <v>4.0000000000000036</v>
      </c>
      <c r="R1510">
        <f t="shared" si="194"/>
        <v>4.9999999999999822</v>
      </c>
    </row>
    <row r="1511" spans="1:18">
      <c r="A1511" s="9">
        <v>38917</v>
      </c>
      <c r="B1511">
        <v>5.68</v>
      </c>
      <c r="C1511">
        <v>5.61</v>
      </c>
      <c r="D1511">
        <v>5.59</v>
      </c>
      <c r="E1511">
        <v>5.6</v>
      </c>
      <c r="F1511">
        <v>5.62</v>
      </c>
      <c r="G1511">
        <v>5.65</v>
      </c>
      <c r="H1511">
        <v>5.7</v>
      </c>
      <c r="I1511">
        <v>5.77</v>
      </c>
      <c r="K1511">
        <f t="shared" si="187"/>
        <v>-1.0000000000000675</v>
      </c>
      <c r="L1511">
        <f t="shared" si="188"/>
        <v>-2.9999999999999361</v>
      </c>
      <c r="M1511">
        <f t="shared" si="189"/>
        <v>-3.0000000000000249</v>
      </c>
      <c r="N1511">
        <f t="shared" si="190"/>
        <v>-3.0000000000000249</v>
      </c>
      <c r="O1511">
        <f t="shared" si="191"/>
        <v>-4.0000000000000036</v>
      </c>
      <c r="P1511">
        <f t="shared" si="192"/>
        <v>-4.0000000000000036</v>
      </c>
      <c r="Q1511">
        <f t="shared" si="193"/>
        <v>-3.0000000000000249</v>
      </c>
      <c r="R1511">
        <f t="shared" si="194"/>
        <v>-3.0000000000000249</v>
      </c>
    </row>
    <row r="1512" spans="1:18">
      <c r="A1512" s="9">
        <v>38918</v>
      </c>
      <c r="B1512">
        <v>5.64</v>
      </c>
      <c r="C1512">
        <v>5.55</v>
      </c>
      <c r="D1512">
        <v>5.53</v>
      </c>
      <c r="E1512">
        <v>5.54</v>
      </c>
      <c r="F1512">
        <v>5.55</v>
      </c>
      <c r="G1512">
        <v>5.59</v>
      </c>
      <c r="H1512">
        <v>5.63</v>
      </c>
      <c r="I1512">
        <v>5.71</v>
      </c>
      <c r="K1512">
        <f t="shared" si="187"/>
        <v>-4.0000000000000036</v>
      </c>
      <c r="L1512">
        <f t="shared" si="188"/>
        <v>-6.0000000000000497</v>
      </c>
      <c r="M1512">
        <f t="shared" si="189"/>
        <v>-5.9999999999999609</v>
      </c>
      <c r="N1512">
        <f t="shared" si="190"/>
        <v>-5.9999999999999609</v>
      </c>
      <c r="O1512">
        <f t="shared" si="191"/>
        <v>-7.0000000000000284</v>
      </c>
      <c r="P1512">
        <f t="shared" si="192"/>
        <v>-6.0000000000000497</v>
      </c>
      <c r="Q1512">
        <f t="shared" si="193"/>
        <v>-7.0000000000000284</v>
      </c>
      <c r="R1512">
        <f t="shared" si="194"/>
        <v>-5.9999999999999609</v>
      </c>
    </row>
    <row r="1513" spans="1:18">
      <c r="A1513" s="9">
        <v>38919</v>
      </c>
      <c r="B1513">
        <v>5.58</v>
      </c>
      <c r="C1513">
        <v>5.48</v>
      </c>
      <c r="D1513">
        <v>5.46</v>
      </c>
      <c r="E1513">
        <v>5.48</v>
      </c>
      <c r="F1513">
        <v>5.5</v>
      </c>
      <c r="G1513">
        <v>5.55</v>
      </c>
      <c r="H1513">
        <v>5.61</v>
      </c>
      <c r="I1513">
        <v>5.7</v>
      </c>
      <c r="K1513">
        <f t="shared" si="187"/>
        <v>-5.9999999999999609</v>
      </c>
      <c r="L1513">
        <f t="shared" si="188"/>
        <v>-6.9999999999999396</v>
      </c>
      <c r="M1513">
        <f t="shared" si="189"/>
        <v>-7.0000000000000284</v>
      </c>
      <c r="N1513">
        <f t="shared" si="190"/>
        <v>-5.9999999999999609</v>
      </c>
      <c r="O1513">
        <f t="shared" si="191"/>
        <v>-4.9999999999999822</v>
      </c>
      <c r="P1513">
        <f t="shared" si="192"/>
        <v>-4.0000000000000036</v>
      </c>
      <c r="Q1513">
        <f t="shared" si="193"/>
        <v>-1.9999999999999574</v>
      </c>
      <c r="R1513">
        <f t="shared" si="194"/>
        <v>-0.99999999999997868</v>
      </c>
    </row>
    <row r="1514" spans="1:18">
      <c r="A1514" s="9">
        <v>38922</v>
      </c>
      <c r="B1514">
        <v>5.61</v>
      </c>
      <c r="C1514">
        <v>5.52</v>
      </c>
      <c r="D1514">
        <v>5.49</v>
      </c>
      <c r="E1514">
        <v>5.5</v>
      </c>
      <c r="F1514">
        <v>5.52</v>
      </c>
      <c r="G1514">
        <v>5.56</v>
      </c>
      <c r="H1514">
        <v>5.61</v>
      </c>
      <c r="I1514">
        <v>5.69</v>
      </c>
      <c r="K1514">
        <f t="shared" si="187"/>
        <v>3.0000000000000249</v>
      </c>
      <c r="L1514">
        <f t="shared" si="188"/>
        <v>3.9999999999999147</v>
      </c>
      <c r="M1514">
        <f t="shared" si="189"/>
        <v>3.0000000000000249</v>
      </c>
      <c r="N1514">
        <f t="shared" si="190"/>
        <v>1.9999999999999574</v>
      </c>
      <c r="O1514">
        <f t="shared" si="191"/>
        <v>1.9999999999999574</v>
      </c>
      <c r="P1514">
        <f t="shared" si="192"/>
        <v>0.99999999999997868</v>
      </c>
      <c r="Q1514">
        <f t="shared" si="193"/>
        <v>0</v>
      </c>
      <c r="R1514">
        <f t="shared" si="194"/>
        <v>-0.99999999999997868</v>
      </c>
    </row>
    <row r="1515" spans="1:18">
      <c r="A1515" s="9">
        <v>38923</v>
      </c>
      <c r="B1515">
        <v>5.63</v>
      </c>
      <c r="C1515">
        <v>5.54</v>
      </c>
      <c r="D1515">
        <v>5.52</v>
      </c>
      <c r="E1515">
        <v>5.53</v>
      </c>
      <c r="F1515">
        <v>5.55</v>
      </c>
      <c r="G1515">
        <v>5.59</v>
      </c>
      <c r="H1515">
        <v>5.64</v>
      </c>
      <c r="I1515">
        <v>5.72</v>
      </c>
      <c r="K1515">
        <f t="shared" si="187"/>
        <v>1.9999999999999574</v>
      </c>
      <c r="L1515">
        <f t="shared" si="188"/>
        <v>2.0000000000000462</v>
      </c>
      <c r="M1515">
        <f t="shared" si="189"/>
        <v>2.9999999999999361</v>
      </c>
      <c r="N1515">
        <f t="shared" si="190"/>
        <v>3.0000000000000249</v>
      </c>
      <c r="O1515">
        <f t="shared" si="191"/>
        <v>3.0000000000000249</v>
      </c>
      <c r="P1515">
        <f t="shared" si="192"/>
        <v>3.0000000000000249</v>
      </c>
      <c r="Q1515">
        <f t="shared" si="193"/>
        <v>2.9999999999999361</v>
      </c>
      <c r="R1515">
        <f t="shared" si="194"/>
        <v>2.9999999999999361</v>
      </c>
    </row>
    <row r="1516" spans="1:18">
      <c r="A1516" s="9">
        <v>38924</v>
      </c>
      <c r="B1516">
        <v>5.63</v>
      </c>
      <c r="C1516">
        <v>5.55</v>
      </c>
      <c r="D1516">
        <v>5.52</v>
      </c>
      <c r="E1516">
        <v>5.53</v>
      </c>
      <c r="F1516">
        <v>5.55</v>
      </c>
      <c r="G1516">
        <v>5.59</v>
      </c>
      <c r="H1516">
        <v>5.64</v>
      </c>
      <c r="I1516">
        <v>5.72</v>
      </c>
      <c r="K1516">
        <f t="shared" si="187"/>
        <v>0</v>
      </c>
      <c r="L1516">
        <f t="shared" si="188"/>
        <v>0.99999999999997868</v>
      </c>
      <c r="M1516">
        <f t="shared" si="189"/>
        <v>0</v>
      </c>
      <c r="N1516">
        <f t="shared" si="190"/>
        <v>0</v>
      </c>
      <c r="O1516">
        <f t="shared" si="191"/>
        <v>0</v>
      </c>
      <c r="P1516">
        <f t="shared" si="192"/>
        <v>0</v>
      </c>
      <c r="Q1516">
        <f t="shared" si="193"/>
        <v>0</v>
      </c>
      <c r="R1516">
        <f t="shared" si="194"/>
        <v>0</v>
      </c>
    </row>
    <row r="1517" spans="1:18">
      <c r="A1517" s="9">
        <v>38925</v>
      </c>
      <c r="B1517">
        <v>5.59</v>
      </c>
      <c r="C1517">
        <v>5.49</v>
      </c>
      <c r="D1517">
        <v>5.47</v>
      </c>
      <c r="E1517">
        <v>5.47</v>
      </c>
      <c r="F1517">
        <v>5.5</v>
      </c>
      <c r="G1517">
        <v>5.54</v>
      </c>
      <c r="H1517">
        <v>5.6</v>
      </c>
      <c r="I1517">
        <v>5.69</v>
      </c>
      <c r="K1517">
        <f t="shared" si="187"/>
        <v>-4.0000000000000036</v>
      </c>
      <c r="L1517">
        <f t="shared" si="188"/>
        <v>-5.9999999999999609</v>
      </c>
      <c r="M1517">
        <f t="shared" si="189"/>
        <v>-4.9999999999999822</v>
      </c>
      <c r="N1517">
        <f t="shared" si="190"/>
        <v>-6.0000000000000497</v>
      </c>
      <c r="O1517">
        <f t="shared" si="191"/>
        <v>-4.9999999999999822</v>
      </c>
      <c r="P1517">
        <f t="shared" si="192"/>
        <v>-4.9999999999999822</v>
      </c>
      <c r="Q1517">
        <f t="shared" si="193"/>
        <v>-4.0000000000000036</v>
      </c>
      <c r="R1517">
        <f t="shared" si="194"/>
        <v>-2.9999999999999361</v>
      </c>
    </row>
    <row r="1518" spans="1:18">
      <c r="A1518" s="9">
        <v>38926</v>
      </c>
      <c r="B1518">
        <v>5.55</v>
      </c>
      <c r="C1518">
        <v>5.44</v>
      </c>
      <c r="D1518">
        <v>5.41</v>
      </c>
      <c r="E1518">
        <v>5.42</v>
      </c>
      <c r="F1518">
        <v>5.45</v>
      </c>
      <c r="G1518">
        <v>5.5</v>
      </c>
      <c r="H1518">
        <v>5.56</v>
      </c>
      <c r="I1518">
        <v>5.65</v>
      </c>
      <c r="K1518">
        <f t="shared" si="187"/>
        <v>-4.0000000000000036</v>
      </c>
      <c r="L1518">
        <f t="shared" si="188"/>
        <v>-4.9999999999999822</v>
      </c>
      <c r="M1518">
        <f t="shared" si="189"/>
        <v>-5.9999999999999609</v>
      </c>
      <c r="N1518">
        <f t="shared" si="190"/>
        <v>-4.9999999999999822</v>
      </c>
      <c r="O1518">
        <f t="shared" si="191"/>
        <v>-4.9999999999999822</v>
      </c>
      <c r="P1518">
        <f t="shared" si="192"/>
        <v>-4.0000000000000036</v>
      </c>
      <c r="Q1518">
        <f t="shared" si="193"/>
        <v>-4.0000000000000036</v>
      </c>
      <c r="R1518">
        <f t="shared" si="194"/>
        <v>-4.0000000000000036</v>
      </c>
    </row>
    <row r="1519" spans="1:18">
      <c r="A1519" s="9">
        <v>38929</v>
      </c>
      <c r="B1519">
        <v>5.54</v>
      </c>
      <c r="C1519">
        <v>5.43</v>
      </c>
      <c r="D1519">
        <v>5.41</v>
      </c>
      <c r="E1519">
        <v>5.42</v>
      </c>
      <c r="F1519">
        <v>5.44</v>
      </c>
      <c r="G1519">
        <v>5.5</v>
      </c>
      <c r="H1519">
        <v>5.56</v>
      </c>
      <c r="I1519">
        <v>5.66</v>
      </c>
      <c r="K1519">
        <f t="shared" si="187"/>
        <v>-0.99999999999997868</v>
      </c>
      <c r="L1519">
        <f t="shared" si="188"/>
        <v>-1.0000000000000675</v>
      </c>
      <c r="M1519">
        <f t="shared" si="189"/>
        <v>0</v>
      </c>
      <c r="N1519">
        <f t="shared" si="190"/>
        <v>0</v>
      </c>
      <c r="O1519">
        <f t="shared" si="191"/>
        <v>-0.99999999999997868</v>
      </c>
      <c r="P1519">
        <f t="shared" si="192"/>
        <v>0</v>
      </c>
      <c r="Q1519">
        <f t="shared" si="193"/>
        <v>0</v>
      </c>
      <c r="R1519">
        <f t="shared" si="194"/>
        <v>0.99999999999997868</v>
      </c>
    </row>
    <row r="1520" spans="1:18">
      <c r="A1520" s="9">
        <v>38930</v>
      </c>
      <c r="B1520">
        <v>5.54</v>
      </c>
      <c r="C1520">
        <v>5.42</v>
      </c>
      <c r="D1520">
        <v>5.39</v>
      </c>
      <c r="E1520">
        <v>5.41</v>
      </c>
      <c r="F1520">
        <v>5.43</v>
      </c>
      <c r="G1520">
        <v>5.49</v>
      </c>
      <c r="H1520">
        <v>5.56</v>
      </c>
      <c r="I1520">
        <v>5.66</v>
      </c>
      <c r="K1520">
        <f t="shared" si="187"/>
        <v>0</v>
      </c>
      <c r="L1520">
        <f t="shared" si="188"/>
        <v>-0.99999999999997868</v>
      </c>
      <c r="M1520">
        <f t="shared" si="189"/>
        <v>-2.0000000000000462</v>
      </c>
      <c r="N1520">
        <f t="shared" si="190"/>
        <v>-0.99999999999997868</v>
      </c>
      <c r="O1520">
        <f t="shared" si="191"/>
        <v>-1.0000000000000675</v>
      </c>
      <c r="P1520">
        <f t="shared" si="192"/>
        <v>-0.99999999999997868</v>
      </c>
      <c r="Q1520">
        <f t="shared" si="193"/>
        <v>0</v>
      </c>
      <c r="R1520">
        <f t="shared" si="194"/>
        <v>0</v>
      </c>
    </row>
    <row r="1521" spans="1:18">
      <c r="A1521" s="9">
        <v>38931</v>
      </c>
      <c r="B1521">
        <v>5.54</v>
      </c>
      <c r="C1521">
        <v>5.42</v>
      </c>
      <c r="D1521">
        <v>5.38</v>
      </c>
      <c r="E1521">
        <v>5.4</v>
      </c>
      <c r="F1521">
        <v>5.43</v>
      </c>
      <c r="G1521">
        <v>5.48</v>
      </c>
      <c r="H1521">
        <v>5.55</v>
      </c>
      <c r="I1521">
        <v>5.66</v>
      </c>
      <c r="K1521">
        <f t="shared" si="187"/>
        <v>0</v>
      </c>
      <c r="L1521">
        <f t="shared" si="188"/>
        <v>0</v>
      </c>
      <c r="M1521">
        <f t="shared" si="189"/>
        <v>-0.99999999999997868</v>
      </c>
      <c r="N1521">
        <f t="shared" si="190"/>
        <v>-0.99999999999997868</v>
      </c>
      <c r="O1521">
        <f t="shared" si="191"/>
        <v>0</v>
      </c>
      <c r="P1521">
        <f t="shared" si="192"/>
        <v>-0.99999999999997868</v>
      </c>
      <c r="Q1521">
        <f t="shared" si="193"/>
        <v>-0.99999999999997868</v>
      </c>
      <c r="R1521">
        <f t="shared" si="194"/>
        <v>0</v>
      </c>
    </row>
    <row r="1522" spans="1:18">
      <c r="A1522" s="9">
        <v>38932</v>
      </c>
      <c r="B1522">
        <v>5.57</v>
      </c>
      <c r="C1522">
        <v>5.44</v>
      </c>
      <c r="D1522">
        <v>5.41</v>
      </c>
      <c r="E1522">
        <v>5.42</v>
      </c>
      <c r="F1522">
        <v>5.43</v>
      </c>
      <c r="G1522">
        <v>5.48</v>
      </c>
      <c r="H1522">
        <v>5.54</v>
      </c>
      <c r="I1522">
        <v>5.64</v>
      </c>
      <c r="K1522">
        <f t="shared" si="187"/>
        <v>3.0000000000000249</v>
      </c>
      <c r="L1522">
        <f t="shared" si="188"/>
        <v>2.0000000000000462</v>
      </c>
      <c r="M1522">
        <f t="shared" si="189"/>
        <v>3.0000000000000249</v>
      </c>
      <c r="N1522">
        <f t="shared" si="190"/>
        <v>1.9999999999999574</v>
      </c>
      <c r="O1522">
        <f t="shared" si="191"/>
        <v>0</v>
      </c>
      <c r="P1522">
        <f t="shared" si="192"/>
        <v>0</v>
      </c>
      <c r="Q1522">
        <f t="shared" si="193"/>
        <v>-0.99999999999997868</v>
      </c>
      <c r="R1522">
        <f t="shared" si="194"/>
        <v>-2.0000000000000462</v>
      </c>
    </row>
    <row r="1523" spans="1:18">
      <c r="A1523" s="9">
        <v>38933</v>
      </c>
      <c r="B1523">
        <v>5.51</v>
      </c>
      <c r="C1523">
        <v>5.36</v>
      </c>
      <c r="D1523">
        <v>5.32</v>
      </c>
      <c r="E1523">
        <v>5.33</v>
      </c>
      <c r="F1523">
        <v>5.35</v>
      </c>
      <c r="G1523">
        <v>5.4</v>
      </c>
      <c r="H1523">
        <v>5.46</v>
      </c>
      <c r="I1523">
        <v>5.58</v>
      </c>
      <c r="K1523">
        <f t="shared" si="187"/>
        <v>-6.0000000000000497</v>
      </c>
      <c r="L1523">
        <f t="shared" si="188"/>
        <v>-8.0000000000000071</v>
      </c>
      <c r="M1523">
        <f t="shared" si="189"/>
        <v>-8.9999999999999858</v>
      </c>
      <c r="N1523">
        <f t="shared" si="190"/>
        <v>-8.9999999999999858</v>
      </c>
      <c r="O1523">
        <f t="shared" si="191"/>
        <v>-8.0000000000000071</v>
      </c>
      <c r="P1523">
        <f t="shared" si="192"/>
        <v>-8.0000000000000071</v>
      </c>
      <c r="Q1523">
        <f t="shared" si="193"/>
        <v>-8.0000000000000071</v>
      </c>
      <c r="R1523">
        <f t="shared" si="194"/>
        <v>-5.9999999999999609</v>
      </c>
    </row>
    <row r="1524" spans="1:18">
      <c r="A1524" s="9">
        <v>38936</v>
      </c>
      <c r="B1524">
        <v>5.51</v>
      </c>
      <c r="C1524">
        <v>5.38</v>
      </c>
      <c r="D1524">
        <v>5.34</v>
      </c>
      <c r="E1524">
        <v>5.35</v>
      </c>
      <c r="F1524">
        <v>5.37</v>
      </c>
      <c r="G1524">
        <v>5.41</v>
      </c>
      <c r="H1524">
        <v>5.47</v>
      </c>
      <c r="I1524">
        <v>5.57</v>
      </c>
      <c r="K1524">
        <f t="shared" si="187"/>
        <v>0</v>
      </c>
      <c r="L1524">
        <f t="shared" si="188"/>
        <v>1.9999999999999574</v>
      </c>
      <c r="M1524">
        <f t="shared" si="189"/>
        <v>1.9999999999999574</v>
      </c>
      <c r="N1524">
        <f t="shared" si="190"/>
        <v>1.9999999999999574</v>
      </c>
      <c r="O1524">
        <f t="shared" si="191"/>
        <v>2.0000000000000462</v>
      </c>
      <c r="P1524">
        <f t="shared" si="192"/>
        <v>0.99999999999997868</v>
      </c>
      <c r="Q1524">
        <f t="shared" si="193"/>
        <v>0.99999999999997868</v>
      </c>
      <c r="R1524">
        <f t="shared" si="194"/>
        <v>-0.99999999999997868</v>
      </c>
    </row>
    <row r="1525" spans="1:18">
      <c r="A1525" s="9">
        <v>38937</v>
      </c>
      <c r="B1525">
        <v>5.52</v>
      </c>
      <c r="C1525">
        <v>5.4</v>
      </c>
      <c r="D1525">
        <v>5.36</v>
      </c>
      <c r="E1525">
        <v>5.37</v>
      </c>
      <c r="F1525">
        <v>5.39</v>
      </c>
      <c r="G1525">
        <v>5.43</v>
      </c>
      <c r="H1525">
        <v>5.48</v>
      </c>
      <c r="I1525">
        <v>5.58</v>
      </c>
      <c r="K1525">
        <f t="shared" si="187"/>
        <v>0.99999999999997868</v>
      </c>
      <c r="L1525">
        <f t="shared" si="188"/>
        <v>2.0000000000000462</v>
      </c>
      <c r="M1525">
        <f t="shared" si="189"/>
        <v>2.0000000000000462</v>
      </c>
      <c r="N1525">
        <f t="shared" si="190"/>
        <v>2.0000000000000462</v>
      </c>
      <c r="O1525">
        <f t="shared" si="191"/>
        <v>1.9999999999999574</v>
      </c>
      <c r="P1525">
        <f t="shared" si="192"/>
        <v>1.9999999999999574</v>
      </c>
      <c r="Q1525">
        <f t="shared" si="193"/>
        <v>1.0000000000000675</v>
      </c>
      <c r="R1525">
        <f t="shared" si="194"/>
        <v>0.99999999999997868</v>
      </c>
    </row>
    <row r="1526" spans="1:18">
      <c r="A1526" s="9">
        <v>38938</v>
      </c>
      <c r="B1526">
        <v>5.49</v>
      </c>
      <c r="C1526">
        <v>5.36</v>
      </c>
      <c r="D1526">
        <v>5.32</v>
      </c>
      <c r="E1526">
        <v>5.34</v>
      </c>
      <c r="F1526">
        <v>5.37</v>
      </c>
      <c r="G1526">
        <v>5.42</v>
      </c>
      <c r="H1526">
        <v>5.48</v>
      </c>
      <c r="I1526">
        <v>5.6</v>
      </c>
      <c r="K1526">
        <f t="shared" si="187"/>
        <v>-2.9999999999999361</v>
      </c>
      <c r="L1526">
        <f t="shared" si="188"/>
        <v>-4.0000000000000036</v>
      </c>
      <c r="M1526">
        <f t="shared" si="189"/>
        <v>-4.0000000000000036</v>
      </c>
      <c r="N1526">
        <f t="shared" si="190"/>
        <v>-3.0000000000000249</v>
      </c>
      <c r="O1526">
        <f t="shared" si="191"/>
        <v>-1.9999999999999574</v>
      </c>
      <c r="P1526">
        <f t="shared" si="192"/>
        <v>-0.99999999999997868</v>
      </c>
      <c r="Q1526">
        <f t="shared" si="193"/>
        <v>0</v>
      </c>
      <c r="R1526">
        <f t="shared" si="194"/>
        <v>1.9999999999999574</v>
      </c>
    </row>
    <row r="1527" spans="1:18">
      <c r="A1527" s="9">
        <v>38939</v>
      </c>
      <c r="B1527">
        <v>5.5</v>
      </c>
      <c r="C1527">
        <v>5.38</v>
      </c>
      <c r="D1527">
        <v>5.34</v>
      </c>
      <c r="E1527">
        <v>5.36</v>
      </c>
      <c r="F1527">
        <v>5.38</v>
      </c>
      <c r="G1527">
        <v>5.43</v>
      </c>
      <c r="H1527">
        <v>5.49</v>
      </c>
      <c r="I1527">
        <v>5.61</v>
      </c>
      <c r="K1527">
        <f t="shared" si="187"/>
        <v>0.99999999999997868</v>
      </c>
      <c r="L1527">
        <f t="shared" si="188"/>
        <v>1.9999999999999574</v>
      </c>
      <c r="M1527">
        <f t="shared" si="189"/>
        <v>1.9999999999999574</v>
      </c>
      <c r="N1527">
        <f t="shared" si="190"/>
        <v>2.0000000000000462</v>
      </c>
      <c r="O1527">
        <f t="shared" si="191"/>
        <v>0.99999999999997868</v>
      </c>
      <c r="P1527">
        <f t="shared" si="192"/>
        <v>0.99999999999997868</v>
      </c>
      <c r="Q1527">
        <f t="shared" si="193"/>
        <v>0.99999999999997868</v>
      </c>
      <c r="R1527">
        <f t="shared" si="194"/>
        <v>1.0000000000000675</v>
      </c>
    </row>
    <row r="1528" spans="1:18">
      <c r="A1528" s="9">
        <v>38940</v>
      </c>
      <c r="B1528">
        <v>5.53</v>
      </c>
      <c r="C1528">
        <v>5.41</v>
      </c>
      <c r="D1528">
        <v>5.38</v>
      </c>
      <c r="E1528">
        <v>5.39</v>
      </c>
      <c r="F1528">
        <v>5.41</v>
      </c>
      <c r="G1528">
        <v>5.45</v>
      </c>
      <c r="H1528">
        <v>5.51</v>
      </c>
      <c r="I1528">
        <v>5.63</v>
      </c>
      <c r="K1528">
        <f t="shared" si="187"/>
        <v>3.0000000000000249</v>
      </c>
      <c r="L1528">
        <f t="shared" si="188"/>
        <v>3.0000000000000249</v>
      </c>
      <c r="M1528">
        <f t="shared" si="189"/>
        <v>4.0000000000000036</v>
      </c>
      <c r="N1528">
        <f t="shared" si="190"/>
        <v>2.9999999999999361</v>
      </c>
      <c r="O1528">
        <f t="shared" si="191"/>
        <v>3.0000000000000249</v>
      </c>
      <c r="P1528">
        <f t="shared" si="192"/>
        <v>2.0000000000000462</v>
      </c>
      <c r="Q1528">
        <f t="shared" si="193"/>
        <v>1.9999999999999574</v>
      </c>
      <c r="R1528">
        <f t="shared" si="194"/>
        <v>1.9999999999999574</v>
      </c>
    </row>
    <row r="1529" spans="1:18">
      <c r="A1529" s="9">
        <v>38943</v>
      </c>
      <c r="B1529">
        <v>5.55</v>
      </c>
      <c r="C1529">
        <v>5.44</v>
      </c>
      <c r="D1529">
        <v>5.41</v>
      </c>
      <c r="E1529">
        <v>5.42</v>
      </c>
      <c r="F1529">
        <v>5.44</v>
      </c>
      <c r="G1529">
        <v>5.48</v>
      </c>
      <c r="H1529">
        <v>5.54</v>
      </c>
      <c r="I1529">
        <v>5.65</v>
      </c>
      <c r="K1529">
        <f t="shared" si="187"/>
        <v>1.9999999999999574</v>
      </c>
      <c r="L1529">
        <f t="shared" si="188"/>
        <v>3.0000000000000249</v>
      </c>
      <c r="M1529">
        <f t="shared" si="189"/>
        <v>3.0000000000000249</v>
      </c>
      <c r="N1529">
        <f t="shared" si="190"/>
        <v>3.0000000000000249</v>
      </c>
      <c r="O1529">
        <f t="shared" si="191"/>
        <v>3.0000000000000249</v>
      </c>
      <c r="P1529">
        <f t="shared" si="192"/>
        <v>3.0000000000000249</v>
      </c>
      <c r="Q1529">
        <f t="shared" si="193"/>
        <v>3.0000000000000249</v>
      </c>
      <c r="R1529">
        <f t="shared" si="194"/>
        <v>2.0000000000000462</v>
      </c>
    </row>
    <row r="1530" spans="1:18">
      <c r="A1530" s="9">
        <v>38944</v>
      </c>
      <c r="B1530">
        <v>5.52</v>
      </c>
      <c r="C1530">
        <v>5.4</v>
      </c>
      <c r="D1530">
        <v>5.35</v>
      </c>
      <c r="E1530">
        <v>5.36</v>
      </c>
      <c r="F1530">
        <v>5.38</v>
      </c>
      <c r="G1530">
        <v>5.42</v>
      </c>
      <c r="H1530">
        <v>5.48</v>
      </c>
      <c r="I1530">
        <v>5.6</v>
      </c>
      <c r="K1530">
        <f t="shared" si="187"/>
        <v>-3.0000000000000249</v>
      </c>
      <c r="L1530">
        <f t="shared" si="188"/>
        <v>-4.0000000000000036</v>
      </c>
      <c r="M1530">
        <f t="shared" si="189"/>
        <v>-6.0000000000000497</v>
      </c>
      <c r="N1530">
        <f t="shared" si="190"/>
        <v>-5.9999999999999609</v>
      </c>
      <c r="O1530">
        <f t="shared" si="191"/>
        <v>-6.0000000000000497</v>
      </c>
      <c r="P1530">
        <f t="shared" si="192"/>
        <v>-6.0000000000000497</v>
      </c>
      <c r="Q1530">
        <f t="shared" si="193"/>
        <v>-5.9999999999999609</v>
      </c>
      <c r="R1530">
        <f t="shared" si="194"/>
        <v>-5.0000000000000711</v>
      </c>
    </row>
    <row r="1531" spans="1:18">
      <c r="A1531" s="9">
        <v>38945</v>
      </c>
      <c r="B1531">
        <v>5.48</v>
      </c>
      <c r="C1531">
        <v>5.33</v>
      </c>
      <c r="D1531">
        <v>5.28</v>
      </c>
      <c r="E1531">
        <v>5.29</v>
      </c>
      <c r="F1531">
        <v>5.31</v>
      </c>
      <c r="G1531">
        <v>5.35</v>
      </c>
      <c r="H1531">
        <v>5.41</v>
      </c>
      <c r="I1531">
        <v>5.54</v>
      </c>
      <c r="K1531">
        <f t="shared" si="187"/>
        <v>-3.9999999999999147</v>
      </c>
      <c r="L1531">
        <f t="shared" si="188"/>
        <v>-7.0000000000000284</v>
      </c>
      <c r="M1531">
        <f t="shared" si="189"/>
        <v>-6.9999999999999396</v>
      </c>
      <c r="N1531">
        <f t="shared" si="190"/>
        <v>-7.0000000000000284</v>
      </c>
      <c r="O1531">
        <f t="shared" si="191"/>
        <v>-7.0000000000000284</v>
      </c>
      <c r="P1531">
        <f t="shared" si="192"/>
        <v>-7.0000000000000284</v>
      </c>
      <c r="Q1531">
        <f t="shared" si="193"/>
        <v>-7.0000000000000284</v>
      </c>
      <c r="R1531">
        <f t="shared" si="194"/>
        <v>-5.9999999999999609</v>
      </c>
    </row>
    <row r="1532" spans="1:18">
      <c r="A1532" s="9">
        <v>38946</v>
      </c>
      <c r="B1532">
        <v>5.48</v>
      </c>
      <c r="C1532">
        <v>5.33</v>
      </c>
      <c r="D1532">
        <v>5.27</v>
      </c>
      <c r="E1532">
        <v>5.28</v>
      </c>
      <c r="F1532">
        <v>5.29</v>
      </c>
      <c r="G1532">
        <v>5.33</v>
      </c>
      <c r="H1532">
        <v>5.39</v>
      </c>
      <c r="I1532">
        <v>5.51</v>
      </c>
      <c r="K1532">
        <f t="shared" si="187"/>
        <v>0</v>
      </c>
      <c r="L1532">
        <f t="shared" si="188"/>
        <v>0</v>
      </c>
      <c r="M1532">
        <f t="shared" si="189"/>
        <v>-1.0000000000000675</v>
      </c>
      <c r="N1532">
        <f t="shared" si="190"/>
        <v>-0.99999999999997868</v>
      </c>
      <c r="O1532">
        <f t="shared" si="191"/>
        <v>-1.9999999999999574</v>
      </c>
      <c r="P1532">
        <f t="shared" si="192"/>
        <v>-1.9999999999999574</v>
      </c>
      <c r="Q1532">
        <f t="shared" si="193"/>
        <v>-2.0000000000000462</v>
      </c>
      <c r="R1532">
        <f t="shared" si="194"/>
        <v>-3.0000000000000249</v>
      </c>
    </row>
    <row r="1533" spans="1:18">
      <c r="A1533" s="9">
        <v>38947</v>
      </c>
      <c r="B1533">
        <v>5.48</v>
      </c>
      <c r="C1533">
        <v>5.32</v>
      </c>
      <c r="D1533">
        <v>5.26</v>
      </c>
      <c r="E1533">
        <v>5.26</v>
      </c>
      <c r="F1533">
        <v>5.28</v>
      </c>
      <c r="G1533">
        <v>5.32</v>
      </c>
      <c r="H1533">
        <v>5.38</v>
      </c>
      <c r="I1533">
        <v>5.5</v>
      </c>
      <c r="K1533">
        <f t="shared" si="187"/>
        <v>0</v>
      </c>
      <c r="L1533">
        <f t="shared" si="188"/>
        <v>-0.99999999999997868</v>
      </c>
      <c r="M1533">
        <f t="shared" si="189"/>
        <v>-0.99999999999997868</v>
      </c>
      <c r="N1533">
        <f t="shared" si="190"/>
        <v>-2.0000000000000462</v>
      </c>
      <c r="O1533">
        <f t="shared" si="191"/>
        <v>-0.99999999999997868</v>
      </c>
      <c r="P1533">
        <f t="shared" si="192"/>
        <v>-0.99999999999997868</v>
      </c>
      <c r="Q1533">
        <f t="shared" si="193"/>
        <v>-0.99999999999997868</v>
      </c>
      <c r="R1533">
        <f t="shared" si="194"/>
        <v>-0.99999999999997868</v>
      </c>
    </row>
    <row r="1534" spans="1:18">
      <c r="A1534" s="9">
        <v>38950</v>
      </c>
      <c r="B1534">
        <v>5.48</v>
      </c>
      <c r="C1534">
        <v>5.3</v>
      </c>
      <c r="D1534">
        <v>5.24</v>
      </c>
      <c r="E1534">
        <v>5.25</v>
      </c>
      <c r="F1534">
        <v>5.27</v>
      </c>
      <c r="G1534">
        <v>5.31</v>
      </c>
      <c r="H1534">
        <v>5.36</v>
      </c>
      <c r="I1534">
        <v>5.49</v>
      </c>
      <c r="K1534">
        <f t="shared" si="187"/>
        <v>0</v>
      </c>
      <c r="L1534">
        <f t="shared" si="188"/>
        <v>-2.0000000000000462</v>
      </c>
      <c r="M1534">
        <f t="shared" si="189"/>
        <v>-1.9999999999999574</v>
      </c>
      <c r="N1534">
        <f t="shared" si="190"/>
        <v>-0.99999999999997868</v>
      </c>
      <c r="O1534">
        <f t="shared" si="191"/>
        <v>-1.0000000000000675</v>
      </c>
      <c r="P1534">
        <f t="shared" si="192"/>
        <v>-1.0000000000000675</v>
      </c>
      <c r="Q1534">
        <f t="shared" si="193"/>
        <v>-1.9999999999999574</v>
      </c>
      <c r="R1534">
        <f t="shared" si="194"/>
        <v>-0.99999999999997868</v>
      </c>
    </row>
    <row r="1535" spans="1:18">
      <c r="A1535" s="9">
        <v>38951</v>
      </c>
      <c r="B1535">
        <v>5.47</v>
      </c>
      <c r="C1535">
        <v>5.29</v>
      </c>
      <c r="D1535">
        <v>5.22</v>
      </c>
      <c r="E1535">
        <v>5.22</v>
      </c>
      <c r="F1535">
        <v>5.24</v>
      </c>
      <c r="G1535">
        <v>5.28</v>
      </c>
      <c r="H1535">
        <v>5.34</v>
      </c>
      <c r="I1535">
        <v>5.46</v>
      </c>
      <c r="K1535">
        <f t="shared" si="187"/>
        <v>-1.0000000000000675</v>
      </c>
      <c r="L1535">
        <f t="shared" si="188"/>
        <v>-0.99999999999997868</v>
      </c>
      <c r="M1535">
        <f t="shared" si="189"/>
        <v>-2.0000000000000462</v>
      </c>
      <c r="N1535">
        <f t="shared" si="190"/>
        <v>-3.0000000000000249</v>
      </c>
      <c r="O1535">
        <f t="shared" si="191"/>
        <v>-2.9999999999999361</v>
      </c>
      <c r="P1535">
        <f t="shared" si="192"/>
        <v>-2.9999999999999361</v>
      </c>
      <c r="Q1535">
        <f t="shared" si="193"/>
        <v>-2.0000000000000462</v>
      </c>
      <c r="R1535">
        <f t="shared" si="194"/>
        <v>-3.0000000000000249</v>
      </c>
    </row>
    <row r="1536" spans="1:18">
      <c r="A1536" s="9">
        <v>38952</v>
      </c>
      <c r="B1536">
        <v>5.49</v>
      </c>
      <c r="C1536">
        <v>5.32</v>
      </c>
      <c r="D1536">
        <v>5.26</v>
      </c>
      <c r="E1536">
        <v>5.27</v>
      </c>
      <c r="F1536">
        <v>5.29</v>
      </c>
      <c r="G1536">
        <v>5.32</v>
      </c>
      <c r="H1536">
        <v>5.38</v>
      </c>
      <c r="I1536">
        <v>5.5</v>
      </c>
      <c r="K1536">
        <f t="shared" si="187"/>
        <v>2.0000000000000462</v>
      </c>
      <c r="L1536">
        <f t="shared" si="188"/>
        <v>3.0000000000000249</v>
      </c>
      <c r="M1536">
        <f t="shared" si="189"/>
        <v>4.0000000000000036</v>
      </c>
      <c r="N1536">
        <f t="shared" si="190"/>
        <v>4.9999999999999822</v>
      </c>
      <c r="O1536">
        <f t="shared" si="191"/>
        <v>4.9999999999999822</v>
      </c>
      <c r="P1536">
        <f t="shared" si="192"/>
        <v>4.0000000000000036</v>
      </c>
      <c r="Q1536">
        <f t="shared" si="193"/>
        <v>4.0000000000000036</v>
      </c>
      <c r="R1536">
        <f t="shared" si="194"/>
        <v>4.0000000000000036</v>
      </c>
    </row>
    <row r="1537" spans="1:18">
      <c r="A1537" s="9">
        <v>38953</v>
      </c>
      <c r="B1537">
        <v>5.46</v>
      </c>
      <c r="C1537">
        <v>5.3</v>
      </c>
      <c r="D1537">
        <v>5.24</v>
      </c>
      <c r="E1537">
        <v>5.24</v>
      </c>
      <c r="F1537">
        <v>5.26</v>
      </c>
      <c r="G1537">
        <v>5.3</v>
      </c>
      <c r="H1537">
        <v>5.35</v>
      </c>
      <c r="I1537">
        <v>5.46</v>
      </c>
      <c r="K1537">
        <f t="shared" si="187"/>
        <v>-3.0000000000000249</v>
      </c>
      <c r="L1537">
        <f t="shared" si="188"/>
        <v>-2.0000000000000462</v>
      </c>
      <c r="M1537">
        <f t="shared" si="189"/>
        <v>-1.9999999999999574</v>
      </c>
      <c r="N1537">
        <f t="shared" si="190"/>
        <v>-2.9999999999999361</v>
      </c>
      <c r="O1537">
        <f t="shared" si="191"/>
        <v>-3.0000000000000249</v>
      </c>
      <c r="P1537">
        <f t="shared" si="192"/>
        <v>-2.0000000000000462</v>
      </c>
      <c r="Q1537">
        <f t="shared" si="193"/>
        <v>-3.0000000000000249</v>
      </c>
      <c r="R1537">
        <f t="shared" si="194"/>
        <v>-4.0000000000000036</v>
      </c>
    </row>
    <row r="1538" spans="1:18">
      <c r="A1538" s="9">
        <v>38954</v>
      </c>
      <c r="B1538">
        <v>5.45</v>
      </c>
      <c r="C1538">
        <v>5.29</v>
      </c>
      <c r="D1538">
        <v>5.23</v>
      </c>
      <c r="E1538">
        <v>5.23</v>
      </c>
      <c r="F1538">
        <v>5.24</v>
      </c>
      <c r="G1538">
        <v>5.29</v>
      </c>
      <c r="H1538">
        <v>5.33</v>
      </c>
      <c r="I1538">
        <v>5.46</v>
      </c>
      <c r="K1538">
        <f t="shared" si="187"/>
        <v>-0.99999999999997868</v>
      </c>
      <c r="L1538">
        <f t="shared" si="188"/>
        <v>-0.99999999999997868</v>
      </c>
      <c r="M1538">
        <f t="shared" si="189"/>
        <v>-0.99999999999997868</v>
      </c>
      <c r="N1538">
        <f t="shared" si="190"/>
        <v>-0.99999999999997868</v>
      </c>
      <c r="O1538">
        <f t="shared" si="191"/>
        <v>-1.9999999999999574</v>
      </c>
      <c r="P1538">
        <f t="shared" si="192"/>
        <v>-0.99999999999997868</v>
      </c>
      <c r="Q1538">
        <f t="shared" si="193"/>
        <v>-1.9999999999999574</v>
      </c>
      <c r="R1538">
        <f t="shared" si="194"/>
        <v>0</v>
      </c>
    </row>
    <row r="1539" spans="1:18">
      <c r="A1539" s="9">
        <v>38957</v>
      </c>
      <c r="B1539">
        <v>5.46</v>
      </c>
      <c r="C1539">
        <v>5.3</v>
      </c>
      <c r="D1539">
        <v>5.25</v>
      </c>
      <c r="E1539">
        <v>5.25</v>
      </c>
      <c r="F1539">
        <v>5.27</v>
      </c>
      <c r="G1539">
        <v>5.31</v>
      </c>
      <c r="H1539">
        <v>5.36</v>
      </c>
      <c r="I1539">
        <v>5.47</v>
      </c>
      <c r="K1539">
        <f t="shared" si="187"/>
        <v>0.99999999999997868</v>
      </c>
      <c r="L1539">
        <f t="shared" si="188"/>
        <v>0.99999999999997868</v>
      </c>
      <c r="M1539">
        <f t="shared" si="189"/>
        <v>1.9999999999999574</v>
      </c>
      <c r="N1539">
        <f t="shared" si="190"/>
        <v>1.9999999999999574</v>
      </c>
      <c r="O1539">
        <f t="shared" si="191"/>
        <v>2.9999999999999361</v>
      </c>
      <c r="P1539">
        <f t="shared" si="192"/>
        <v>1.9999999999999574</v>
      </c>
      <c r="Q1539">
        <f t="shared" si="193"/>
        <v>3.0000000000000249</v>
      </c>
      <c r="R1539">
        <f t="shared" si="194"/>
        <v>0.99999999999997868</v>
      </c>
    </row>
    <row r="1540" spans="1:18">
      <c r="A1540" s="9">
        <v>38958</v>
      </c>
      <c r="B1540">
        <v>5.46</v>
      </c>
      <c r="C1540">
        <v>5.31</v>
      </c>
      <c r="D1540">
        <v>5.27</v>
      </c>
      <c r="E1540">
        <v>5.27</v>
      </c>
      <c r="F1540">
        <v>5.29</v>
      </c>
      <c r="G1540">
        <v>5.32</v>
      </c>
      <c r="H1540">
        <v>5.37</v>
      </c>
      <c r="I1540">
        <v>5.48</v>
      </c>
      <c r="K1540">
        <f t="shared" si="187"/>
        <v>0</v>
      </c>
      <c r="L1540">
        <f t="shared" si="188"/>
        <v>0.99999999999997868</v>
      </c>
      <c r="M1540">
        <f t="shared" si="189"/>
        <v>1.9999999999999574</v>
      </c>
      <c r="N1540">
        <f t="shared" si="190"/>
        <v>1.9999999999999574</v>
      </c>
      <c r="O1540">
        <f t="shared" si="191"/>
        <v>2.0000000000000462</v>
      </c>
      <c r="P1540">
        <f t="shared" si="192"/>
        <v>1.0000000000000675</v>
      </c>
      <c r="Q1540">
        <f t="shared" si="193"/>
        <v>0.99999999999997868</v>
      </c>
      <c r="R1540">
        <f t="shared" si="194"/>
        <v>1.0000000000000675</v>
      </c>
    </row>
    <row r="1541" spans="1:18">
      <c r="A1541" s="9">
        <v>38959</v>
      </c>
      <c r="B1541">
        <v>5.42</v>
      </c>
      <c r="C1541">
        <v>5.25</v>
      </c>
      <c r="D1541">
        <v>5.2</v>
      </c>
      <c r="E1541">
        <v>5.2</v>
      </c>
      <c r="F1541">
        <v>5.22</v>
      </c>
      <c r="G1541">
        <v>5.26</v>
      </c>
      <c r="H1541">
        <v>5.31</v>
      </c>
      <c r="I1541">
        <v>5.44</v>
      </c>
      <c r="K1541">
        <f t="shared" ref="K1541:K1604" si="195">(B1541-B1540)*100</f>
        <v>-4.0000000000000036</v>
      </c>
      <c r="L1541">
        <f t="shared" ref="L1541:L1604" si="196">(C1541-C1540)*100</f>
        <v>-5.9999999999999609</v>
      </c>
      <c r="M1541">
        <f t="shared" ref="M1541:M1604" si="197">(D1541-D1540)*100</f>
        <v>-6.9999999999999396</v>
      </c>
      <c r="N1541">
        <f t="shared" ref="N1541:N1604" si="198">(E1541-E1540)*100</f>
        <v>-6.9999999999999396</v>
      </c>
      <c r="O1541">
        <f t="shared" ref="O1541:O1604" si="199">(F1541-F1540)*100</f>
        <v>-7.0000000000000284</v>
      </c>
      <c r="P1541">
        <f t="shared" ref="P1541:P1604" si="200">(G1541-G1540)*100</f>
        <v>-6.0000000000000497</v>
      </c>
      <c r="Q1541">
        <f t="shared" ref="Q1541:Q1604" si="201">(H1541-H1540)*100</f>
        <v>-6.0000000000000497</v>
      </c>
      <c r="R1541">
        <f t="shared" ref="R1541:R1604" si="202">(I1541-I1540)*100</f>
        <v>-4.0000000000000036</v>
      </c>
    </row>
    <row r="1542" spans="1:18">
      <c r="A1542" s="9">
        <v>38960</v>
      </c>
      <c r="B1542">
        <v>5.4</v>
      </c>
      <c r="C1542">
        <v>5.21</v>
      </c>
      <c r="D1542">
        <v>5.17</v>
      </c>
      <c r="E1542">
        <v>5.17</v>
      </c>
      <c r="F1542">
        <v>5.19</v>
      </c>
      <c r="G1542">
        <v>5.24</v>
      </c>
      <c r="H1542">
        <v>5.3</v>
      </c>
      <c r="I1542">
        <v>5.42</v>
      </c>
      <c r="K1542">
        <f t="shared" si="195"/>
        <v>-1.9999999999999574</v>
      </c>
      <c r="L1542">
        <f t="shared" si="196"/>
        <v>-4.0000000000000036</v>
      </c>
      <c r="M1542">
        <f t="shared" si="197"/>
        <v>-3.0000000000000249</v>
      </c>
      <c r="N1542">
        <f t="shared" si="198"/>
        <v>-3.0000000000000249</v>
      </c>
      <c r="O1542">
        <f t="shared" si="199"/>
        <v>-2.9999999999999361</v>
      </c>
      <c r="P1542">
        <f t="shared" si="200"/>
        <v>-1.9999999999999574</v>
      </c>
      <c r="Q1542">
        <f t="shared" si="201"/>
        <v>-0.99999999999997868</v>
      </c>
      <c r="R1542">
        <f t="shared" si="202"/>
        <v>-2.0000000000000462</v>
      </c>
    </row>
    <row r="1543" spans="1:18">
      <c r="A1543" s="9">
        <v>38961</v>
      </c>
      <c r="B1543">
        <v>5.38</v>
      </c>
      <c r="C1543">
        <v>5.19</v>
      </c>
      <c r="D1543">
        <v>5.14</v>
      </c>
      <c r="E1543">
        <v>5.15</v>
      </c>
      <c r="F1543">
        <v>5.17</v>
      </c>
      <c r="G1543">
        <v>5.22</v>
      </c>
      <c r="H1543">
        <v>5.28</v>
      </c>
      <c r="I1543">
        <v>5.41</v>
      </c>
      <c r="K1543">
        <f t="shared" si="195"/>
        <v>-2.0000000000000462</v>
      </c>
      <c r="L1543">
        <f t="shared" si="196"/>
        <v>-1.9999999999999574</v>
      </c>
      <c r="M1543">
        <f t="shared" si="197"/>
        <v>-3.0000000000000249</v>
      </c>
      <c r="N1543">
        <f t="shared" si="198"/>
        <v>-1.9999999999999574</v>
      </c>
      <c r="O1543">
        <f t="shared" si="199"/>
        <v>-2.0000000000000462</v>
      </c>
      <c r="P1543">
        <f t="shared" si="200"/>
        <v>-2.0000000000000462</v>
      </c>
      <c r="Q1543">
        <f t="shared" si="201"/>
        <v>-1.9999999999999574</v>
      </c>
      <c r="R1543">
        <f t="shared" si="202"/>
        <v>-0.99999999999997868</v>
      </c>
    </row>
    <row r="1544" spans="1:18">
      <c r="A1544" s="9">
        <v>38965</v>
      </c>
      <c r="B1544">
        <v>5.39</v>
      </c>
      <c r="C1544">
        <v>5.21</v>
      </c>
      <c r="D1544">
        <v>5.17</v>
      </c>
      <c r="E1544">
        <v>5.17</v>
      </c>
      <c r="F1544">
        <v>5.2</v>
      </c>
      <c r="G1544">
        <v>5.25</v>
      </c>
      <c r="H1544">
        <v>5.31</v>
      </c>
      <c r="I1544">
        <v>5.43</v>
      </c>
      <c r="K1544">
        <f t="shared" si="195"/>
        <v>0.99999999999997868</v>
      </c>
      <c r="L1544">
        <f t="shared" si="196"/>
        <v>1.9999999999999574</v>
      </c>
      <c r="M1544">
        <f t="shared" si="197"/>
        <v>3.0000000000000249</v>
      </c>
      <c r="N1544">
        <f t="shared" si="198"/>
        <v>1.9999999999999574</v>
      </c>
      <c r="O1544">
        <f t="shared" si="199"/>
        <v>3.0000000000000249</v>
      </c>
      <c r="P1544">
        <f t="shared" si="200"/>
        <v>3.0000000000000249</v>
      </c>
      <c r="Q1544">
        <f t="shared" si="201"/>
        <v>2.9999999999999361</v>
      </c>
      <c r="R1544">
        <f t="shared" si="202"/>
        <v>1.9999999999999574</v>
      </c>
    </row>
    <row r="1545" spans="1:18">
      <c r="A1545" s="9">
        <v>38966</v>
      </c>
      <c r="B1545">
        <v>5.41</v>
      </c>
      <c r="C1545">
        <v>5.25</v>
      </c>
      <c r="D1545">
        <v>5.2</v>
      </c>
      <c r="E1545">
        <v>5.21</v>
      </c>
      <c r="F1545">
        <v>5.24</v>
      </c>
      <c r="G1545">
        <v>5.29</v>
      </c>
      <c r="H1545">
        <v>5.35</v>
      </c>
      <c r="I1545">
        <v>5.47</v>
      </c>
      <c r="K1545">
        <f t="shared" si="195"/>
        <v>2.0000000000000462</v>
      </c>
      <c r="L1545">
        <f t="shared" si="196"/>
        <v>4.0000000000000036</v>
      </c>
      <c r="M1545">
        <f t="shared" si="197"/>
        <v>3.0000000000000249</v>
      </c>
      <c r="N1545">
        <f t="shared" si="198"/>
        <v>4.0000000000000036</v>
      </c>
      <c r="O1545">
        <f t="shared" si="199"/>
        <v>4.0000000000000036</v>
      </c>
      <c r="P1545">
        <f t="shared" si="200"/>
        <v>4.0000000000000036</v>
      </c>
      <c r="Q1545">
        <f t="shared" si="201"/>
        <v>4.0000000000000036</v>
      </c>
      <c r="R1545">
        <f t="shared" si="202"/>
        <v>4.0000000000000036</v>
      </c>
    </row>
    <row r="1546" spans="1:18">
      <c r="A1546" s="9">
        <v>38967</v>
      </c>
      <c r="B1546">
        <v>5.4</v>
      </c>
      <c r="C1546">
        <v>5.23</v>
      </c>
      <c r="D1546">
        <v>5.19</v>
      </c>
      <c r="E1546">
        <v>5.2</v>
      </c>
      <c r="F1546">
        <v>5.22</v>
      </c>
      <c r="G1546">
        <v>5.27</v>
      </c>
      <c r="H1546">
        <v>5.33</v>
      </c>
      <c r="I1546">
        <v>5.45</v>
      </c>
      <c r="K1546">
        <f t="shared" si="195"/>
        <v>-0.99999999999997868</v>
      </c>
      <c r="L1546">
        <f t="shared" si="196"/>
        <v>-1.9999999999999574</v>
      </c>
      <c r="M1546">
        <f t="shared" si="197"/>
        <v>-0.99999999999997868</v>
      </c>
      <c r="N1546">
        <f t="shared" si="198"/>
        <v>-0.99999999999997868</v>
      </c>
      <c r="O1546">
        <f t="shared" si="199"/>
        <v>-2.0000000000000462</v>
      </c>
      <c r="P1546">
        <f t="shared" si="200"/>
        <v>-2.0000000000000462</v>
      </c>
      <c r="Q1546">
        <f t="shared" si="201"/>
        <v>-1.9999999999999574</v>
      </c>
      <c r="R1546">
        <f t="shared" si="202"/>
        <v>-1.9999999999999574</v>
      </c>
    </row>
    <row r="1547" spans="1:18">
      <c r="A1547" s="9">
        <v>38968</v>
      </c>
      <c r="B1547">
        <v>5.39</v>
      </c>
      <c r="C1547">
        <v>5.21</v>
      </c>
      <c r="D1547">
        <v>5.16</v>
      </c>
      <c r="E1547">
        <v>5.16</v>
      </c>
      <c r="F1547">
        <v>5.18</v>
      </c>
      <c r="G1547">
        <v>5.23</v>
      </c>
      <c r="H1547">
        <v>5.29</v>
      </c>
      <c r="I1547">
        <v>5.41</v>
      </c>
      <c r="K1547">
        <f t="shared" si="195"/>
        <v>-1.0000000000000675</v>
      </c>
      <c r="L1547">
        <f t="shared" si="196"/>
        <v>-2.0000000000000462</v>
      </c>
      <c r="M1547">
        <f t="shared" si="197"/>
        <v>-3.0000000000000249</v>
      </c>
      <c r="N1547">
        <f t="shared" si="198"/>
        <v>-4.0000000000000036</v>
      </c>
      <c r="O1547">
        <f t="shared" si="199"/>
        <v>-4.0000000000000036</v>
      </c>
      <c r="P1547">
        <f t="shared" si="200"/>
        <v>-3.9999999999999147</v>
      </c>
      <c r="Q1547">
        <f t="shared" si="201"/>
        <v>-4.0000000000000036</v>
      </c>
      <c r="R1547">
        <f t="shared" si="202"/>
        <v>-4.0000000000000036</v>
      </c>
    </row>
    <row r="1548" spans="1:18">
      <c r="A1548" s="9">
        <v>38971</v>
      </c>
      <c r="B1548">
        <v>5.42</v>
      </c>
      <c r="C1548">
        <v>5.26</v>
      </c>
      <c r="D1548">
        <v>5.21</v>
      </c>
      <c r="E1548">
        <v>5.21</v>
      </c>
      <c r="F1548">
        <v>5.23</v>
      </c>
      <c r="G1548">
        <v>5.28</v>
      </c>
      <c r="H1548">
        <v>5.34</v>
      </c>
      <c r="I1548">
        <v>5.45</v>
      </c>
      <c r="K1548">
        <f t="shared" si="195"/>
        <v>3.0000000000000249</v>
      </c>
      <c r="L1548">
        <f t="shared" si="196"/>
        <v>4.9999999999999822</v>
      </c>
      <c r="M1548">
        <f t="shared" si="197"/>
        <v>4.9999999999999822</v>
      </c>
      <c r="N1548">
        <f t="shared" si="198"/>
        <v>4.9999999999999822</v>
      </c>
      <c r="O1548">
        <f t="shared" si="199"/>
        <v>5.0000000000000711</v>
      </c>
      <c r="P1548">
        <f t="shared" si="200"/>
        <v>4.9999999999999822</v>
      </c>
      <c r="Q1548">
        <f t="shared" si="201"/>
        <v>4.9999999999999822</v>
      </c>
      <c r="R1548">
        <f t="shared" si="202"/>
        <v>4.0000000000000036</v>
      </c>
    </row>
    <row r="1549" spans="1:18">
      <c r="A1549" s="9">
        <v>38972</v>
      </c>
      <c r="B1549">
        <v>5.43</v>
      </c>
      <c r="C1549">
        <v>5.27</v>
      </c>
      <c r="D1549">
        <v>5.22</v>
      </c>
      <c r="E1549">
        <v>5.22</v>
      </c>
      <c r="F1549">
        <v>5.24</v>
      </c>
      <c r="G1549">
        <v>5.29</v>
      </c>
      <c r="H1549">
        <v>5.34</v>
      </c>
      <c r="I1549">
        <v>5.46</v>
      </c>
      <c r="K1549">
        <f t="shared" si="195"/>
        <v>0.99999999999997868</v>
      </c>
      <c r="L1549">
        <f t="shared" si="196"/>
        <v>0.99999999999997868</v>
      </c>
      <c r="M1549">
        <f t="shared" si="197"/>
        <v>0.99999999999997868</v>
      </c>
      <c r="N1549">
        <f t="shared" si="198"/>
        <v>0.99999999999997868</v>
      </c>
      <c r="O1549">
        <f t="shared" si="199"/>
        <v>0.99999999999997868</v>
      </c>
      <c r="P1549">
        <f t="shared" si="200"/>
        <v>0.99999999999997868</v>
      </c>
      <c r="Q1549">
        <f t="shared" si="201"/>
        <v>0</v>
      </c>
      <c r="R1549">
        <f t="shared" si="202"/>
        <v>0.99999999999997868</v>
      </c>
    </row>
    <row r="1550" spans="1:18">
      <c r="A1550" s="9">
        <v>38973</v>
      </c>
      <c r="B1550">
        <v>5.41</v>
      </c>
      <c r="C1550">
        <v>5.23</v>
      </c>
      <c r="D1550">
        <v>5.17</v>
      </c>
      <c r="E1550">
        <v>5.17</v>
      </c>
      <c r="F1550">
        <v>5.19</v>
      </c>
      <c r="G1550">
        <v>5.23</v>
      </c>
      <c r="H1550">
        <v>5.29</v>
      </c>
      <c r="I1550">
        <v>5.4</v>
      </c>
      <c r="K1550">
        <f t="shared" si="195"/>
        <v>-1.9999999999999574</v>
      </c>
      <c r="L1550">
        <f t="shared" si="196"/>
        <v>-3.9999999999999147</v>
      </c>
      <c r="M1550">
        <f t="shared" si="197"/>
        <v>-4.9999999999999822</v>
      </c>
      <c r="N1550">
        <f t="shared" si="198"/>
        <v>-4.9999999999999822</v>
      </c>
      <c r="O1550">
        <f t="shared" si="199"/>
        <v>-4.9999999999999822</v>
      </c>
      <c r="P1550">
        <f t="shared" si="200"/>
        <v>-5.9999999999999609</v>
      </c>
      <c r="Q1550">
        <f t="shared" si="201"/>
        <v>-4.9999999999999822</v>
      </c>
      <c r="R1550">
        <f t="shared" si="202"/>
        <v>-5.9999999999999609</v>
      </c>
    </row>
    <row r="1551" spans="1:18">
      <c r="A1551" s="9">
        <v>38974</v>
      </c>
      <c r="B1551">
        <v>5.41</v>
      </c>
      <c r="C1551">
        <v>5.24</v>
      </c>
      <c r="D1551">
        <v>5.18</v>
      </c>
      <c r="E1551">
        <v>5.18</v>
      </c>
      <c r="F1551">
        <v>5.19</v>
      </c>
      <c r="G1551">
        <v>5.24</v>
      </c>
      <c r="H1551">
        <v>5.29</v>
      </c>
      <c r="I1551">
        <v>5.39</v>
      </c>
      <c r="K1551">
        <f t="shared" si="195"/>
        <v>0</v>
      </c>
      <c r="L1551">
        <f t="shared" si="196"/>
        <v>0.99999999999997868</v>
      </c>
      <c r="M1551">
        <f t="shared" si="197"/>
        <v>0.99999999999997868</v>
      </c>
      <c r="N1551">
        <f t="shared" si="198"/>
        <v>0.99999999999997868</v>
      </c>
      <c r="O1551">
        <f t="shared" si="199"/>
        <v>0</v>
      </c>
      <c r="P1551">
        <f t="shared" si="200"/>
        <v>0.99999999999997868</v>
      </c>
      <c r="Q1551">
        <f t="shared" si="201"/>
        <v>0</v>
      </c>
      <c r="R1551">
        <f t="shared" si="202"/>
        <v>-1.0000000000000675</v>
      </c>
    </row>
    <row r="1552" spans="1:18">
      <c r="A1552" s="9">
        <v>38975</v>
      </c>
      <c r="B1552">
        <v>5.42</v>
      </c>
      <c r="C1552">
        <v>5.24</v>
      </c>
      <c r="D1552">
        <v>5.19</v>
      </c>
      <c r="E1552">
        <v>5.19</v>
      </c>
      <c r="F1552">
        <v>5.21</v>
      </c>
      <c r="G1552">
        <v>5.25</v>
      </c>
      <c r="H1552">
        <v>5.3</v>
      </c>
      <c r="I1552">
        <v>5.4</v>
      </c>
      <c r="K1552">
        <f t="shared" si="195"/>
        <v>0.99999999999997868</v>
      </c>
      <c r="L1552">
        <f t="shared" si="196"/>
        <v>0</v>
      </c>
      <c r="M1552">
        <f t="shared" si="197"/>
        <v>1.0000000000000675</v>
      </c>
      <c r="N1552">
        <f t="shared" si="198"/>
        <v>1.0000000000000675</v>
      </c>
      <c r="O1552">
        <f t="shared" si="199"/>
        <v>1.9999999999999574</v>
      </c>
      <c r="P1552">
        <f t="shared" si="200"/>
        <v>0.99999999999997868</v>
      </c>
      <c r="Q1552">
        <f t="shared" si="201"/>
        <v>0.99999999999997868</v>
      </c>
      <c r="R1552">
        <f t="shared" si="202"/>
        <v>1.0000000000000675</v>
      </c>
    </row>
    <row r="1553" spans="1:18">
      <c r="A1553" s="9">
        <v>38978</v>
      </c>
      <c r="B1553">
        <v>5.47</v>
      </c>
      <c r="C1553">
        <v>5.32</v>
      </c>
      <c r="D1553">
        <v>5.27</v>
      </c>
      <c r="E1553">
        <v>5.28</v>
      </c>
      <c r="F1553">
        <v>5.29</v>
      </c>
      <c r="G1553">
        <v>5.33</v>
      </c>
      <c r="H1553">
        <v>5.38</v>
      </c>
      <c r="I1553">
        <v>5.48</v>
      </c>
      <c r="K1553">
        <f t="shared" si="195"/>
        <v>4.9999999999999822</v>
      </c>
      <c r="L1553">
        <f t="shared" si="196"/>
        <v>8.0000000000000071</v>
      </c>
      <c r="M1553">
        <f t="shared" si="197"/>
        <v>7.9999999999999183</v>
      </c>
      <c r="N1553">
        <f t="shared" si="198"/>
        <v>8.9999999999999858</v>
      </c>
      <c r="O1553">
        <f t="shared" si="199"/>
        <v>8.0000000000000071</v>
      </c>
      <c r="P1553">
        <f t="shared" si="200"/>
        <v>8.0000000000000071</v>
      </c>
      <c r="Q1553">
        <f t="shared" si="201"/>
        <v>8.0000000000000071</v>
      </c>
      <c r="R1553">
        <f t="shared" si="202"/>
        <v>8.0000000000000071</v>
      </c>
    </row>
    <row r="1554" spans="1:18">
      <c r="A1554" s="9">
        <v>38979</v>
      </c>
      <c r="B1554">
        <v>5.42</v>
      </c>
      <c r="C1554">
        <v>5.25</v>
      </c>
      <c r="D1554">
        <v>5.19</v>
      </c>
      <c r="E1554">
        <v>5.19</v>
      </c>
      <c r="F1554">
        <v>5.2</v>
      </c>
      <c r="G1554">
        <v>5.24</v>
      </c>
      <c r="H1554">
        <v>5.3</v>
      </c>
      <c r="I1554">
        <v>5.4</v>
      </c>
      <c r="K1554">
        <f t="shared" si="195"/>
        <v>-4.9999999999999822</v>
      </c>
      <c r="L1554">
        <f t="shared" si="196"/>
        <v>-7.0000000000000284</v>
      </c>
      <c r="M1554">
        <f t="shared" si="197"/>
        <v>-7.9999999999999183</v>
      </c>
      <c r="N1554">
        <f t="shared" si="198"/>
        <v>-8.9999999999999858</v>
      </c>
      <c r="O1554">
        <f t="shared" si="199"/>
        <v>-8.9999999999999858</v>
      </c>
      <c r="P1554">
        <f t="shared" si="200"/>
        <v>-8.9999999999999858</v>
      </c>
      <c r="Q1554">
        <f t="shared" si="201"/>
        <v>-8.0000000000000071</v>
      </c>
      <c r="R1554">
        <f t="shared" si="202"/>
        <v>-8.0000000000000071</v>
      </c>
    </row>
    <row r="1555" spans="1:18">
      <c r="A1555" s="9">
        <v>38980</v>
      </c>
      <c r="B1555">
        <v>5.4</v>
      </c>
      <c r="C1555">
        <v>5.21</v>
      </c>
      <c r="D1555">
        <v>5.15</v>
      </c>
      <c r="E1555">
        <v>5.15</v>
      </c>
      <c r="F1555">
        <v>5.17</v>
      </c>
      <c r="G1555">
        <v>5.21</v>
      </c>
      <c r="H1555">
        <v>5.27</v>
      </c>
      <c r="I1555">
        <v>5.38</v>
      </c>
      <c r="K1555">
        <f t="shared" si="195"/>
        <v>-1.9999999999999574</v>
      </c>
      <c r="L1555">
        <f t="shared" si="196"/>
        <v>-4.0000000000000036</v>
      </c>
      <c r="M1555">
        <f t="shared" si="197"/>
        <v>-4.0000000000000036</v>
      </c>
      <c r="N1555">
        <f t="shared" si="198"/>
        <v>-4.0000000000000036</v>
      </c>
      <c r="O1555">
        <f t="shared" si="199"/>
        <v>-3.0000000000000249</v>
      </c>
      <c r="P1555">
        <f t="shared" si="200"/>
        <v>-3.0000000000000249</v>
      </c>
      <c r="Q1555">
        <f t="shared" si="201"/>
        <v>-3.0000000000000249</v>
      </c>
      <c r="R1555">
        <f t="shared" si="202"/>
        <v>-2.0000000000000462</v>
      </c>
    </row>
    <row r="1556" spans="1:18">
      <c r="A1556" s="9">
        <v>38981</v>
      </c>
      <c r="B1556">
        <v>5.4</v>
      </c>
      <c r="C1556">
        <v>5.21</v>
      </c>
      <c r="D1556">
        <v>5.15</v>
      </c>
      <c r="E1556">
        <v>5.15</v>
      </c>
      <c r="F1556">
        <v>5.16</v>
      </c>
      <c r="G1556">
        <v>5.19</v>
      </c>
      <c r="H1556">
        <v>5.24</v>
      </c>
      <c r="I1556">
        <v>5.34</v>
      </c>
      <c r="K1556">
        <f t="shared" si="195"/>
        <v>0</v>
      </c>
      <c r="L1556">
        <f t="shared" si="196"/>
        <v>0</v>
      </c>
      <c r="M1556">
        <f t="shared" si="197"/>
        <v>0</v>
      </c>
      <c r="N1556">
        <f t="shared" si="198"/>
        <v>0</v>
      </c>
      <c r="O1556">
        <f t="shared" si="199"/>
        <v>-0.99999999999997868</v>
      </c>
      <c r="P1556">
        <f t="shared" si="200"/>
        <v>-1.9999999999999574</v>
      </c>
      <c r="Q1556">
        <f t="shared" si="201"/>
        <v>-2.9999999999999361</v>
      </c>
      <c r="R1556">
        <f t="shared" si="202"/>
        <v>-4.0000000000000036</v>
      </c>
    </row>
    <row r="1557" spans="1:18">
      <c r="A1557" s="9">
        <v>38982</v>
      </c>
      <c r="B1557">
        <v>5.3</v>
      </c>
      <c r="C1557">
        <v>5.08</v>
      </c>
      <c r="D1557">
        <v>5.0199999999999996</v>
      </c>
      <c r="E1557">
        <v>5.0199999999999996</v>
      </c>
      <c r="F1557">
        <v>5.04</v>
      </c>
      <c r="G1557">
        <v>5.08</v>
      </c>
      <c r="H1557">
        <v>5.14</v>
      </c>
      <c r="I1557">
        <v>5.27</v>
      </c>
      <c r="K1557">
        <f t="shared" si="195"/>
        <v>-10.000000000000053</v>
      </c>
      <c r="L1557">
        <f t="shared" si="196"/>
        <v>-12.999999999999989</v>
      </c>
      <c r="M1557">
        <f t="shared" si="197"/>
        <v>-13.000000000000078</v>
      </c>
      <c r="N1557">
        <f t="shared" si="198"/>
        <v>-13.000000000000078</v>
      </c>
      <c r="O1557">
        <f t="shared" si="199"/>
        <v>-12.000000000000011</v>
      </c>
      <c r="P1557">
        <f t="shared" si="200"/>
        <v>-11.000000000000032</v>
      </c>
      <c r="Q1557">
        <f t="shared" si="201"/>
        <v>-10.000000000000053</v>
      </c>
      <c r="R1557">
        <f t="shared" si="202"/>
        <v>-7.0000000000000284</v>
      </c>
    </row>
    <row r="1558" spans="1:18">
      <c r="A1558" s="9">
        <v>38985</v>
      </c>
      <c r="B1558">
        <v>5.29</v>
      </c>
      <c r="C1558">
        <v>5.0599999999999996</v>
      </c>
      <c r="D1558">
        <v>4.99</v>
      </c>
      <c r="E1558">
        <v>4.9800000000000004</v>
      </c>
      <c r="F1558">
        <v>5</v>
      </c>
      <c r="G1558">
        <v>5.04</v>
      </c>
      <c r="H1558">
        <v>5.08</v>
      </c>
      <c r="I1558">
        <v>5.21</v>
      </c>
      <c r="K1558">
        <f t="shared" si="195"/>
        <v>-0.99999999999997868</v>
      </c>
      <c r="L1558">
        <f t="shared" si="196"/>
        <v>-2.0000000000000462</v>
      </c>
      <c r="M1558">
        <f t="shared" si="197"/>
        <v>-2.9999999999999361</v>
      </c>
      <c r="N1558">
        <f t="shared" si="198"/>
        <v>-3.9999999999999147</v>
      </c>
      <c r="O1558">
        <f t="shared" si="199"/>
        <v>-4.0000000000000036</v>
      </c>
      <c r="P1558">
        <f t="shared" si="200"/>
        <v>-4.0000000000000036</v>
      </c>
      <c r="Q1558">
        <f t="shared" si="201"/>
        <v>-5.9999999999999609</v>
      </c>
      <c r="R1558">
        <f t="shared" si="202"/>
        <v>-5.9999999999999609</v>
      </c>
    </row>
    <row r="1559" spans="1:18">
      <c r="A1559" s="9">
        <v>38986</v>
      </c>
      <c r="B1559">
        <v>5.3</v>
      </c>
      <c r="C1559">
        <v>5.07</v>
      </c>
      <c r="D1559">
        <v>5</v>
      </c>
      <c r="E1559">
        <v>4.99</v>
      </c>
      <c r="F1559">
        <v>5.01</v>
      </c>
      <c r="G1559">
        <v>5.05</v>
      </c>
      <c r="H1559">
        <v>5.0999999999999996</v>
      </c>
      <c r="I1559">
        <v>5.23</v>
      </c>
      <c r="K1559">
        <f t="shared" si="195"/>
        <v>0.99999999999997868</v>
      </c>
      <c r="L1559">
        <f t="shared" si="196"/>
        <v>1.0000000000000675</v>
      </c>
      <c r="M1559">
        <f t="shared" si="197"/>
        <v>0.99999999999997868</v>
      </c>
      <c r="N1559">
        <f t="shared" si="198"/>
        <v>0.99999999999997868</v>
      </c>
      <c r="O1559">
        <f t="shared" si="199"/>
        <v>0.99999999999997868</v>
      </c>
      <c r="P1559">
        <f t="shared" si="200"/>
        <v>0.99999999999997868</v>
      </c>
      <c r="Q1559">
        <f t="shared" si="201"/>
        <v>1.9999999999999574</v>
      </c>
      <c r="R1559">
        <f t="shared" si="202"/>
        <v>2.0000000000000462</v>
      </c>
    </row>
    <row r="1560" spans="1:18">
      <c r="A1560" s="9">
        <v>38987</v>
      </c>
      <c r="B1560">
        <v>5.3</v>
      </c>
      <c r="C1560">
        <v>5.07</v>
      </c>
      <c r="D1560">
        <v>5.01</v>
      </c>
      <c r="E1560">
        <v>5.01</v>
      </c>
      <c r="F1560">
        <v>5.03</v>
      </c>
      <c r="G1560">
        <v>5.07</v>
      </c>
      <c r="H1560">
        <v>5.12</v>
      </c>
      <c r="I1560">
        <v>5.24</v>
      </c>
      <c r="K1560">
        <f t="shared" si="195"/>
        <v>0</v>
      </c>
      <c r="L1560">
        <f t="shared" si="196"/>
        <v>0</v>
      </c>
      <c r="M1560">
        <f t="shared" si="197"/>
        <v>0.99999999999997868</v>
      </c>
      <c r="N1560">
        <f t="shared" si="198"/>
        <v>1.9999999999999574</v>
      </c>
      <c r="O1560">
        <f t="shared" si="199"/>
        <v>2.0000000000000462</v>
      </c>
      <c r="P1560">
        <f t="shared" si="200"/>
        <v>2.0000000000000462</v>
      </c>
      <c r="Q1560">
        <f t="shared" si="201"/>
        <v>2.0000000000000462</v>
      </c>
      <c r="R1560">
        <f t="shared" si="202"/>
        <v>0.99999999999997868</v>
      </c>
    </row>
    <row r="1561" spans="1:18">
      <c r="A1561" s="9">
        <v>38988</v>
      </c>
      <c r="B1561">
        <v>5.31</v>
      </c>
      <c r="C1561">
        <v>5.0999999999999996</v>
      </c>
      <c r="D1561">
        <v>5.04</v>
      </c>
      <c r="E1561">
        <v>5.04</v>
      </c>
      <c r="F1561">
        <v>5.0599999999999996</v>
      </c>
      <c r="G1561">
        <v>5.0999999999999996</v>
      </c>
      <c r="H1561">
        <v>5.15</v>
      </c>
      <c r="I1561">
        <v>5.28</v>
      </c>
      <c r="K1561">
        <f t="shared" si="195"/>
        <v>0.99999999999997868</v>
      </c>
      <c r="L1561">
        <f t="shared" si="196"/>
        <v>2.9999999999999361</v>
      </c>
      <c r="M1561">
        <f t="shared" si="197"/>
        <v>3.0000000000000249</v>
      </c>
      <c r="N1561">
        <f t="shared" si="198"/>
        <v>3.0000000000000249</v>
      </c>
      <c r="O1561">
        <f t="shared" si="199"/>
        <v>2.9999999999999361</v>
      </c>
      <c r="P1561">
        <f t="shared" si="200"/>
        <v>2.9999999999999361</v>
      </c>
      <c r="Q1561">
        <f t="shared" si="201"/>
        <v>3.0000000000000249</v>
      </c>
      <c r="R1561">
        <f t="shared" si="202"/>
        <v>4.0000000000000036</v>
      </c>
    </row>
    <row r="1562" spans="1:18">
      <c r="A1562" s="9">
        <v>38989</v>
      </c>
      <c r="B1562">
        <v>5.32</v>
      </c>
      <c r="C1562">
        <v>5.1100000000000003</v>
      </c>
      <c r="D1562">
        <v>5.05</v>
      </c>
      <c r="E1562">
        <v>5.05</v>
      </c>
      <c r="F1562">
        <v>5.07</v>
      </c>
      <c r="G1562">
        <v>5.1100000000000003</v>
      </c>
      <c r="H1562">
        <v>5.16</v>
      </c>
      <c r="I1562">
        <v>5.3</v>
      </c>
      <c r="K1562">
        <f t="shared" si="195"/>
        <v>1.0000000000000675</v>
      </c>
      <c r="L1562">
        <f t="shared" si="196"/>
        <v>1.0000000000000675</v>
      </c>
      <c r="M1562">
        <f t="shared" si="197"/>
        <v>0.99999999999997868</v>
      </c>
      <c r="N1562">
        <f t="shared" si="198"/>
        <v>0.99999999999997868</v>
      </c>
      <c r="O1562">
        <f t="shared" si="199"/>
        <v>1.0000000000000675</v>
      </c>
      <c r="P1562">
        <f t="shared" si="200"/>
        <v>1.0000000000000675</v>
      </c>
      <c r="Q1562">
        <f t="shared" si="201"/>
        <v>0.99999999999997868</v>
      </c>
      <c r="R1562">
        <f t="shared" si="202"/>
        <v>1.9999999999999574</v>
      </c>
    </row>
    <row r="1563" spans="1:18">
      <c r="A1563" s="9">
        <v>38992</v>
      </c>
      <c r="B1563">
        <v>5.29</v>
      </c>
      <c r="C1563">
        <v>5.07</v>
      </c>
      <c r="D1563">
        <v>5.01</v>
      </c>
      <c r="E1563">
        <v>5.01</v>
      </c>
      <c r="F1563">
        <v>5.04</v>
      </c>
      <c r="G1563">
        <v>5.08</v>
      </c>
      <c r="H1563">
        <v>5.14</v>
      </c>
      <c r="I1563">
        <v>5.28</v>
      </c>
      <c r="K1563">
        <f t="shared" si="195"/>
        <v>-3.0000000000000249</v>
      </c>
      <c r="L1563">
        <f t="shared" si="196"/>
        <v>-4.0000000000000036</v>
      </c>
      <c r="M1563">
        <f t="shared" si="197"/>
        <v>-4.0000000000000036</v>
      </c>
      <c r="N1563">
        <f t="shared" si="198"/>
        <v>-4.0000000000000036</v>
      </c>
      <c r="O1563">
        <f t="shared" si="199"/>
        <v>-3.0000000000000249</v>
      </c>
      <c r="P1563">
        <f t="shared" si="200"/>
        <v>-3.0000000000000249</v>
      </c>
      <c r="Q1563">
        <f t="shared" si="201"/>
        <v>-2.0000000000000462</v>
      </c>
      <c r="R1563">
        <f t="shared" si="202"/>
        <v>-1.9999999999999574</v>
      </c>
    </row>
    <row r="1564" spans="1:18">
      <c r="A1564" s="9">
        <v>38993</v>
      </c>
      <c r="B1564">
        <v>5.29</v>
      </c>
      <c r="C1564">
        <v>5.08</v>
      </c>
      <c r="D1564">
        <v>5.0199999999999996</v>
      </c>
      <c r="E1564">
        <v>5.0199999999999996</v>
      </c>
      <c r="F1564">
        <v>5.04</v>
      </c>
      <c r="G1564">
        <v>5.08</v>
      </c>
      <c r="H1564">
        <v>5.14</v>
      </c>
      <c r="I1564">
        <v>5.28</v>
      </c>
      <c r="K1564">
        <f t="shared" si="195"/>
        <v>0</v>
      </c>
      <c r="L1564">
        <f t="shared" si="196"/>
        <v>0.99999999999997868</v>
      </c>
      <c r="M1564">
        <f t="shared" si="197"/>
        <v>0.99999999999997868</v>
      </c>
      <c r="N1564">
        <f t="shared" si="198"/>
        <v>0.99999999999997868</v>
      </c>
      <c r="O1564">
        <f t="shared" si="199"/>
        <v>0</v>
      </c>
      <c r="P1564">
        <f t="shared" si="200"/>
        <v>0</v>
      </c>
      <c r="Q1564">
        <f t="shared" si="201"/>
        <v>0</v>
      </c>
      <c r="R1564">
        <f t="shared" si="202"/>
        <v>0</v>
      </c>
    </row>
    <row r="1565" spans="1:18">
      <c r="A1565" s="9">
        <v>38994</v>
      </c>
      <c r="B1565">
        <v>5.27</v>
      </c>
      <c r="C1565">
        <v>5.04</v>
      </c>
      <c r="D1565">
        <v>4.99</v>
      </c>
      <c r="E1565">
        <v>4.99</v>
      </c>
      <c r="F1565">
        <v>5.01</v>
      </c>
      <c r="G1565">
        <v>5.05</v>
      </c>
      <c r="H1565">
        <v>5.1100000000000003</v>
      </c>
      <c r="I1565">
        <v>5.25</v>
      </c>
      <c r="K1565">
        <f t="shared" si="195"/>
        <v>-2.0000000000000462</v>
      </c>
      <c r="L1565">
        <f t="shared" si="196"/>
        <v>-4.0000000000000036</v>
      </c>
      <c r="M1565">
        <f t="shared" si="197"/>
        <v>-2.9999999999999361</v>
      </c>
      <c r="N1565">
        <f t="shared" si="198"/>
        <v>-2.9999999999999361</v>
      </c>
      <c r="O1565">
        <f t="shared" si="199"/>
        <v>-3.0000000000000249</v>
      </c>
      <c r="P1565">
        <f t="shared" si="200"/>
        <v>-3.0000000000000249</v>
      </c>
      <c r="Q1565">
        <f t="shared" si="201"/>
        <v>-2.9999999999999361</v>
      </c>
      <c r="R1565">
        <f t="shared" si="202"/>
        <v>-3.0000000000000249</v>
      </c>
    </row>
    <row r="1566" spans="1:18">
      <c r="A1566" s="9">
        <v>38995</v>
      </c>
      <c r="B1566">
        <v>5.27</v>
      </c>
      <c r="C1566">
        <v>5.04</v>
      </c>
      <c r="D1566">
        <v>4.99</v>
      </c>
      <c r="E1566">
        <v>5</v>
      </c>
      <c r="F1566">
        <v>5.0199999999999996</v>
      </c>
      <c r="G1566">
        <v>5.08</v>
      </c>
      <c r="H1566">
        <v>5.15</v>
      </c>
      <c r="I1566">
        <v>5.3</v>
      </c>
      <c r="K1566">
        <f t="shared" si="195"/>
        <v>0</v>
      </c>
      <c r="L1566">
        <f t="shared" si="196"/>
        <v>0</v>
      </c>
      <c r="M1566">
        <f t="shared" si="197"/>
        <v>0</v>
      </c>
      <c r="N1566">
        <f t="shared" si="198"/>
        <v>0.99999999999997868</v>
      </c>
      <c r="O1566">
        <f t="shared" si="199"/>
        <v>0.99999999999997868</v>
      </c>
      <c r="P1566">
        <f t="shared" si="200"/>
        <v>3.0000000000000249</v>
      </c>
      <c r="Q1566">
        <f t="shared" si="201"/>
        <v>4.0000000000000036</v>
      </c>
      <c r="R1566">
        <f t="shared" si="202"/>
        <v>4.9999999999999822</v>
      </c>
    </row>
    <row r="1567" spans="1:18">
      <c r="A1567" s="9">
        <v>38996</v>
      </c>
      <c r="B1567">
        <v>5.33</v>
      </c>
      <c r="C1567">
        <v>5.13</v>
      </c>
      <c r="D1567">
        <v>5.09</v>
      </c>
      <c r="E1567">
        <v>5.0999999999999996</v>
      </c>
      <c r="F1567">
        <v>5.12</v>
      </c>
      <c r="G1567">
        <v>5.16</v>
      </c>
      <c r="H1567">
        <v>5.22</v>
      </c>
      <c r="I1567">
        <v>5.36</v>
      </c>
      <c r="K1567">
        <f t="shared" si="195"/>
        <v>6.0000000000000497</v>
      </c>
      <c r="L1567">
        <f t="shared" si="196"/>
        <v>8.9999999999999858</v>
      </c>
      <c r="M1567">
        <f t="shared" si="197"/>
        <v>9.9999999999999645</v>
      </c>
      <c r="N1567">
        <f t="shared" si="198"/>
        <v>9.9999999999999645</v>
      </c>
      <c r="O1567">
        <f t="shared" si="199"/>
        <v>10.000000000000053</v>
      </c>
      <c r="P1567">
        <f t="shared" si="200"/>
        <v>8.0000000000000071</v>
      </c>
      <c r="Q1567">
        <f t="shared" si="201"/>
        <v>6.9999999999999396</v>
      </c>
      <c r="R1567">
        <f t="shared" si="202"/>
        <v>6.0000000000000497</v>
      </c>
    </row>
    <row r="1568" spans="1:18">
      <c r="A1568" s="9">
        <v>39000</v>
      </c>
      <c r="B1568">
        <v>5.37</v>
      </c>
      <c r="C1568">
        <v>5.2</v>
      </c>
      <c r="D1568">
        <v>5.17</v>
      </c>
      <c r="E1568">
        <v>5.17</v>
      </c>
      <c r="F1568">
        <v>5.19</v>
      </c>
      <c r="G1568">
        <v>5.24</v>
      </c>
      <c r="H1568">
        <v>5.29</v>
      </c>
      <c r="I1568">
        <v>5.42</v>
      </c>
      <c r="K1568">
        <f t="shared" si="195"/>
        <v>4.0000000000000036</v>
      </c>
      <c r="L1568">
        <f t="shared" si="196"/>
        <v>7.0000000000000284</v>
      </c>
      <c r="M1568">
        <f t="shared" si="197"/>
        <v>8.0000000000000071</v>
      </c>
      <c r="N1568">
        <f t="shared" si="198"/>
        <v>7.0000000000000284</v>
      </c>
      <c r="O1568">
        <f t="shared" si="199"/>
        <v>7.0000000000000284</v>
      </c>
      <c r="P1568">
        <f t="shared" si="200"/>
        <v>8.0000000000000071</v>
      </c>
      <c r="Q1568">
        <f t="shared" si="201"/>
        <v>7.0000000000000284</v>
      </c>
      <c r="R1568">
        <f t="shared" si="202"/>
        <v>5.9999999999999609</v>
      </c>
    </row>
    <row r="1569" spans="1:18">
      <c r="A1569" s="9">
        <v>39001</v>
      </c>
      <c r="B1569">
        <v>5.36</v>
      </c>
      <c r="C1569">
        <v>5.2</v>
      </c>
      <c r="D1569">
        <v>5.16</v>
      </c>
      <c r="E1569">
        <v>5.16</v>
      </c>
      <c r="F1569">
        <v>5.18</v>
      </c>
      <c r="G1569">
        <v>5.22</v>
      </c>
      <c r="H1569">
        <v>5.28</v>
      </c>
      <c r="I1569">
        <v>5.42</v>
      </c>
      <c r="K1569">
        <f t="shared" si="195"/>
        <v>-0.99999999999997868</v>
      </c>
      <c r="L1569">
        <f t="shared" si="196"/>
        <v>0</v>
      </c>
      <c r="M1569">
        <f t="shared" si="197"/>
        <v>-0.99999999999997868</v>
      </c>
      <c r="N1569">
        <f t="shared" si="198"/>
        <v>-0.99999999999997868</v>
      </c>
      <c r="O1569">
        <f t="shared" si="199"/>
        <v>-1.0000000000000675</v>
      </c>
      <c r="P1569">
        <f t="shared" si="200"/>
        <v>-2.0000000000000462</v>
      </c>
      <c r="Q1569">
        <f t="shared" si="201"/>
        <v>-0.99999999999997868</v>
      </c>
      <c r="R1569">
        <f t="shared" si="202"/>
        <v>0</v>
      </c>
    </row>
    <row r="1570" spans="1:18">
      <c r="A1570" s="9">
        <v>39002</v>
      </c>
      <c r="B1570">
        <v>5.39</v>
      </c>
      <c r="C1570">
        <v>5.23</v>
      </c>
      <c r="D1570">
        <v>5.2</v>
      </c>
      <c r="E1570">
        <v>5.2</v>
      </c>
      <c r="F1570">
        <v>5.22</v>
      </c>
      <c r="G1570">
        <v>5.26</v>
      </c>
      <c r="H1570">
        <v>5.31</v>
      </c>
      <c r="I1570">
        <v>5.45</v>
      </c>
      <c r="K1570">
        <f t="shared" si="195"/>
        <v>2.9999999999999361</v>
      </c>
      <c r="L1570">
        <f t="shared" si="196"/>
        <v>3.0000000000000249</v>
      </c>
      <c r="M1570">
        <f t="shared" si="197"/>
        <v>4.0000000000000036</v>
      </c>
      <c r="N1570">
        <f t="shared" si="198"/>
        <v>4.0000000000000036</v>
      </c>
      <c r="O1570">
        <f t="shared" si="199"/>
        <v>4.0000000000000036</v>
      </c>
      <c r="P1570">
        <f t="shared" si="200"/>
        <v>4.0000000000000036</v>
      </c>
      <c r="Q1570">
        <f t="shared" si="201"/>
        <v>2.9999999999999361</v>
      </c>
      <c r="R1570">
        <f t="shared" si="202"/>
        <v>3.0000000000000249</v>
      </c>
    </row>
    <row r="1571" spans="1:18">
      <c r="A1571" s="9">
        <v>39003</v>
      </c>
      <c r="B1571">
        <v>5.41</v>
      </c>
      <c r="C1571">
        <v>5.27</v>
      </c>
      <c r="D1571">
        <v>5.24</v>
      </c>
      <c r="E1571">
        <v>5.24</v>
      </c>
      <c r="F1571">
        <v>5.26</v>
      </c>
      <c r="G1571">
        <v>5.3</v>
      </c>
      <c r="H1571">
        <v>5.36</v>
      </c>
      <c r="I1571">
        <v>5.5</v>
      </c>
      <c r="K1571">
        <f t="shared" si="195"/>
        <v>2.0000000000000462</v>
      </c>
      <c r="L1571">
        <f t="shared" si="196"/>
        <v>3.9999999999999147</v>
      </c>
      <c r="M1571">
        <f t="shared" si="197"/>
        <v>4.0000000000000036</v>
      </c>
      <c r="N1571">
        <f t="shared" si="198"/>
        <v>4.0000000000000036</v>
      </c>
      <c r="O1571">
        <f t="shared" si="199"/>
        <v>4.0000000000000036</v>
      </c>
      <c r="P1571">
        <f t="shared" si="200"/>
        <v>4.0000000000000036</v>
      </c>
      <c r="Q1571">
        <f t="shared" si="201"/>
        <v>5.0000000000000711</v>
      </c>
      <c r="R1571">
        <f t="shared" si="202"/>
        <v>4.9999999999999822</v>
      </c>
    </row>
    <row r="1572" spans="1:18">
      <c r="A1572" s="9">
        <v>39006</v>
      </c>
      <c r="B1572">
        <v>5.41</v>
      </c>
      <c r="C1572">
        <v>5.26</v>
      </c>
      <c r="D1572">
        <v>5.22</v>
      </c>
      <c r="E1572">
        <v>5.22</v>
      </c>
      <c r="F1572">
        <v>5.24</v>
      </c>
      <c r="G1572">
        <v>5.28</v>
      </c>
      <c r="H1572">
        <v>5.33</v>
      </c>
      <c r="I1572">
        <v>5.47</v>
      </c>
      <c r="K1572">
        <f t="shared" si="195"/>
        <v>0</v>
      </c>
      <c r="L1572">
        <f t="shared" si="196"/>
        <v>-0.99999999999997868</v>
      </c>
      <c r="M1572">
        <f t="shared" si="197"/>
        <v>-2.0000000000000462</v>
      </c>
      <c r="N1572">
        <f t="shared" si="198"/>
        <v>-2.0000000000000462</v>
      </c>
      <c r="O1572">
        <f t="shared" si="199"/>
        <v>-1.9999999999999574</v>
      </c>
      <c r="P1572">
        <f t="shared" si="200"/>
        <v>-1.9999999999999574</v>
      </c>
      <c r="Q1572">
        <f t="shared" si="201"/>
        <v>-3.0000000000000249</v>
      </c>
      <c r="R1572">
        <f t="shared" si="202"/>
        <v>-3.0000000000000249</v>
      </c>
    </row>
    <row r="1573" spans="1:18">
      <c r="A1573" s="9">
        <v>39007</v>
      </c>
      <c r="B1573">
        <v>5.37</v>
      </c>
      <c r="C1573">
        <v>5.2</v>
      </c>
      <c r="D1573">
        <v>5.16</v>
      </c>
      <c r="E1573">
        <v>5.16</v>
      </c>
      <c r="F1573">
        <v>5.17</v>
      </c>
      <c r="G1573">
        <v>5.22</v>
      </c>
      <c r="H1573">
        <v>5.27</v>
      </c>
      <c r="I1573">
        <v>5.41</v>
      </c>
      <c r="K1573">
        <f t="shared" si="195"/>
        <v>-4.0000000000000036</v>
      </c>
      <c r="L1573">
        <f t="shared" si="196"/>
        <v>-5.9999999999999609</v>
      </c>
      <c r="M1573">
        <f t="shared" si="197"/>
        <v>-5.9999999999999609</v>
      </c>
      <c r="N1573">
        <f t="shared" si="198"/>
        <v>-5.9999999999999609</v>
      </c>
      <c r="O1573">
        <f t="shared" si="199"/>
        <v>-7.0000000000000284</v>
      </c>
      <c r="P1573">
        <f t="shared" si="200"/>
        <v>-6.0000000000000497</v>
      </c>
      <c r="Q1573">
        <f t="shared" si="201"/>
        <v>-6.0000000000000497</v>
      </c>
      <c r="R1573">
        <f t="shared" si="202"/>
        <v>-5.9999999999999609</v>
      </c>
    </row>
    <row r="1574" spans="1:18">
      <c r="A1574" s="9">
        <v>39008</v>
      </c>
      <c r="B1574">
        <v>5.4</v>
      </c>
      <c r="C1574">
        <v>5.24</v>
      </c>
      <c r="D1574">
        <v>5.2</v>
      </c>
      <c r="E1574">
        <v>5.2</v>
      </c>
      <c r="F1574">
        <v>5.21</v>
      </c>
      <c r="G1574">
        <v>5.25</v>
      </c>
      <c r="H1574">
        <v>5.31</v>
      </c>
      <c r="I1574">
        <v>5.44</v>
      </c>
      <c r="K1574">
        <f t="shared" si="195"/>
        <v>3.0000000000000249</v>
      </c>
      <c r="L1574">
        <f t="shared" si="196"/>
        <v>4.0000000000000036</v>
      </c>
      <c r="M1574">
        <f t="shared" si="197"/>
        <v>4.0000000000000036</v>
      </c>
      <c r="N1574">
        <f t="shared" si="198"/>
        <v>4.0000000000000036</v>
      </c>
      <c r="O1574">
        <f t="shared" si="199"/>
        <v>4.0000000000000036</v>
      </c>
      <c r="P1574">
        <f t="shared" si="200"/>
        <v>3.0000000000000249</v>
      </c>
      <c r="Q1574">
        <f t="shared" si="201"/>
        <v>4.0000000000000036</v>
      </c>
      <c r="R1574">
        <f t="shared" si="202"/>
        <v>3.0000000000000249</v>
      </c>
    </row>
    <row r="1575" spans="1:18">
      <c r="A1575" s="9">
        <v>39009</v>
      </c>
      <c r="B1575">
        <v>5.41</v>
      </c>
      <c r="C1575">
        <v>5.26</v>
      </c>
      <c r="D1575">
        <v>5.22</v>
      </c>
      <c r="E1575">
        <v>5.22</v>
      </c>
      <c r="F1575">
        <v>5.23</v>
      </c>
      <c r="G1575">
        <v>5.27</v>
      </c>
      <c r="H1575">
        <v>5.32</v>
      </c>
      <c r="I1575">
        <v>5.46</v>
      </c>
      <c r="K1575">
        <f t="shared" si="195"/>
        <v>0.99999999999997868</v>
      </c>
      <c r="L1575">
        <f t="shared" si="196"/>
        <v>1.9999999999999574</v>
      </c>
      <c r="M1575">
        <f t="shared" si="197"/>
        <v>1.9999999999999574</v>
      </c>
      <c r="N1575">
        <f t="shared" si="198"/>
        <v>1.9999999999999574</v>
      </c>
      <c r="O1575">
        <f t="shared" si="199"/>
        <v>2.0000000000000462</v>
      </c>
      <c r="P1575">
        <f t="shared" si="200"/>
        <v>1.9999999999999574</v>
      </c>
      <c r="Q1575">
        <f t="shared" si="201"/>
        <v>1.0000000000000675</v>
      </c>
      <c r="R1575">
        <f t="shared" si="202"/>
        <v>1.9999999999999574</v>
      </c>
    </row>
    <row r="1576" spans="1:18">
      <c r="A1576" s="9">
        <v>39010</v>
      </c>
      <c r="B1576">
        <v>5.41</v>
      </c>
      <c r="C1576">
        <v>5.26</v>
      </c>
      <c r="D1576">
        <v>5.22</v>
      </c>
      <c r="E1576">
        <v>5.22</v>
      </c>
      <c r="F1576">
        <v>5.24</v>
      </c>
      <c r="G1576">
        <v>5.27</v>
      </c>
      <c r="H1576">
        <v>5.33</v>
      </c>
      <c r="I1576">
        <v>5.46</v>
      </c>
      <c r="K1576">
        <f t="shared" si="195"/>
        <v>0</v>
      </c>
      <c r="L1576">
        <f t="shared" si="196"/>
        <v>0</v>
      </c>
      <c r="M1576">
        <f t="shared" si="197"/>
        <v>0</v>
      </c>
      <c r="N1576">
        <f t="shared" si="198"/>
        <v>0</v>
      </c>
      <c r="O1576">
        <f t="shared" si="199"/>
        <v>0.99999999999997868</v>
      </c>
      <c r="P1576">
        <f t="shared" si="200"/>
        <v>0</v>
      </c>
      <c r="Q1576">
        <f t="shared" si="201"/>
        <v>0.99999999999997868</v>
      </c>
      <c r="R1576">
        <f t="shared" si="202"/>
        <v>0</v>
      </c>
    </row>
    <row r="1577" spans="1:18">
      <c r="A1577" s="9">
        <v>39013</v>
      </c>
      <c r="B1577">
        <v>5.44</v>
      </c>
      <c r="C1577">
        <v>5.31</v>
      </c>
      <c r="D1577">
        <v>5.28</v>
      </c>
      <c r="E1577">
        <v>5.27</v>
      </c>
      <c r="F1577">
        <v>5.28</v>
      </c>
      <c r="G1577">
        <v>5.32</v>
      </c>
      <c r="H1577">
        <v>5.37</v>
      </c>
      <c r="I1577">
        <v>5.51</v>
      </c>
      <c r="K1577">
        <f t="shared" si="195"/>
        <v>3.0000000000000249</v>
      </c>
      <c r="L1577">
        <f t="shared" si="196"/>
        <v>4.9999999999999822</v>
      </c>
      <c r="M1577">
        <f t="shared" si="197"/>
        <v>6.0000000000000497</v>
      </c>
      <c r="N1577">
        <f t="shared" si="198"/>
        <v>4.9999999999999822</v>
      </c>
      <c r="O1577">
        <f t="shared" si="199"/>
        <v>4.0000000000000036</v>
      </c>
      <c r="P1577">
        <f t="shared" si="200"/>
        <v>5.0000000000000711</v>
      </c>
      <c r="Q1577">
        <f t="shared" si="201"/>
        <v>4.0000000000000036</v>
      </c>
      <c r="R1577">
        <f t="shared" si="202"/>
        <v>4.9999999999999822</v>
      </c>
    </row>
    <row r="1578" spans="1:18">
      <c r="A1578" s="9">
        <v>39014</v>
      </c>
      <c r="B1578">
        <v>5.44</v>
      </c>
      <c r="C1578">
        <v>5.3</v>
      </c>
      <c r="D1578">
        <v>5.26</v>
      </c>
      <c r="E1578">
        <v>5.26</v>
      </c>
      <c r="F1578">
        <v>5.27</v>
      </c>
      <c r="G1578">
        <v>5.31</v>
      </c>
      <c r="H1578">
        <v>5.36</v>
      </c>
      <c r="I1578">
        <v>5.5</v>
      </c>
      <c r="K1578">
        <f t="shared" si="195"/>
        <v>0</v>
      </c>
      <c r="L1578">
        <f t="shared" si="196"/>
        <v>-0.99999999999997868</v>
      </c>
      <c r="M1578">
        <f t="shared" si="197"/>
        <v>-2.0000000000000462</v>
      </c>
      <c r="N1578">
        <f t="shared" si="198"/>
        <v>-0.99999999999997868</v>
      </c>
      <c r="O1578">
        <f t="shared" si="199"/>
        <v>-1.0000000000000675</v>
      </c>
      <c r="P1578">
        <f t="shared" si="200"/>
        <v>-1.0000000000000675</v>
      </c>
      <c r="Q1578">
        <f t="shared" si="201"/>
        <v>-0.99999999999997868</v>
      </c>
      <c r="R1578">
        <f t="shared" si="202"/>
        <v>-0.99999999999997868</v>
      </c>
    </row>
    <row r="1579" spans="1:18">
      <c r="A1579" s="9">
        <v>39015</v>
      </c>
      <c r="B1579">
        <v>5.43</v>
      </c>
      <c r="C1579">
        <v>5.29</v>
      </c>
      <c r="D1579">
        <v>5.24</v>
      </c>
      <c r="E1579">
        <v>5.24</v>
      </c>
      <c r="F1579">
        <v>5.25</v>
      </c>
      <c r="G1579">
        <v>5.29</v>
      </c>
      <c r="H1579">
        <v>5.34</v>
      </c>
      <c r="I1579">
        <v>5.47</v>
      </c>
      <c r="K1579">
        <f t="shared" si="195"/>
        <v>-1.0000000000000675</v>
      </c>
      <c r="L1579">
        <f t="shared" si="196"/>
        <v>-0.99999999999997868</v>
      </c>
      <c r="M1579">
        <f t="shared" si="197"/>
        <v>-1.9999999999999574</v>
      </c>
      <c r="N1579">
        <f t="shared" si="198"/>
        <v>-1.9999999999999574</v>
      </c>
      <c r="O1579">
        <f t="shared" si="199"/>
        <v>-1.9999999999999574</v>
      </c>
      <c r="P1579">
        <f t="shared" si="200"/>
        <v>-1.9999999999999574</v>
      </c>
      <c r="Q1579">
        <f t="shared" si="201"/>
        <v>-2.0000000000000462</v>
      </c>
      <c r="R1579">
        <f t="shared" si="202"/>
        <v>-3.0000000000000249</v>
      </c>
    </row>
    <row r="1580" spans="1:18">
      <c r="A1580" s="9">
        <v>39016</v>
      </c>
      <c r="B1580">
        <v>5.38</v>
      </c>
      <c r="C1580">
        <v>5.21</v>
      </c>
      <c r="D1580">
        <v>5.15</v>
      </c>
      <c r="E1580">
        <v>5.15</v>
      </c>
      <c r="F1580">
        <v>5.17</v>
      </c>
      <c r="G1580">
        <v>5.21</v>
      </c>
      <c r="H1580">
        <v>5.26</v>
      </c>
      <c r="I1580">
        <v>5.39</v>
      </c>
      <c r="K1580">
        <f t="shared" si="195"/>
        <v>-4.9999999999999822</v>
      </c>
      <c r="L1580">
        <f t="shared" si="196"/>
        <v>-8.0000000000000071</v>
      </c>
      <c r="M1580">
        <f t="shared" si="197"/>
        <v>-8.9999999999999858</v>
      </c>
      <c r="N1580">
        <f t="shared" si="198"/>
        <v>-8.9999999999999858</v>
      </c>
      <c r="O1580">
        <f t="shared" si="199"/>
        <v>-8.0000000000000071</v>
      </c>
      <c r="P1580">
        <f t="shared" si="200"/>
        <v>-8.0000000000000071</v>
      </c>
      <c r="Q1580">
        <f t="shared" si="201"/>
        <v>-8.0000000000000071</v>
      </c>
      <c r="R1580">
        <f t="shared" si="202"/>
        <v>-8.0000000000000071</v>
      </c>
    </row>
    <row r="1581" spans="1:18">
      <c r="A1581" s="9">
        <v>39017</v>
      </c>
      <c r="B1581">
        <v>5.36</v>
      </c>
      <c r="C1581">
        <v>5.17</v>
      </c>
      <c r="D1581">
        <v>5.1100000000000003</v>
      </c>
      <c r="E1581">
        <v>5.1100000000000003</v>
      </c>
      <c r="F1581">
        <v>5.13</v>
      </c>
      <c r="G1581">
        <v>5.17</v>
      </c>
      <c r="H1581">
        <v>5.22</v>
      </c>
      <c r="I1581">
        <v>5.35</v>
      </c>
      <c r="K1581">
        <f t="shared" si="195"/>
        <v>-1.9999999999999574</v>
      </c>
      <c r="L1581">
        <f t="shared" si="196"/>
        <v>-4.0000000000000036</v>
      </c>
      <c r="M1581">
        <f t="shared" si="197"/>
        <v>-4.0000000000000036</v>
      </c>
      <c r="N1581">
        <f t="shared" si="198"/>
        <v>-4.0000000000000036</v>
      </c>
      <c r="O1581">
        <f t="shared" si="199"/>
        <v>-4.0000000000000036</v>
      </c>
      <c r="P1581">
        <f t="shared" si="200"/>
        <v>-4.0000000000000036</v>
      </c>
      <c r="Q1581">
        <f t="shared" si="201"/>
        <v>-4.0000000000000036</v>
      </c>
      <c r="R1581">
        <f t="shared" si="202"/>
        <v>-4.0000000000000036</v>
      </c>
    </row>
    <row r="1582" spans="1:18">
      <c r="A1582" s="9">
        <v>39020</v>
      </c>
      <c r="B1582">
        <v>5.34</v>
      </c>
      <c r="C1582">
        <v>5.15</v>
      </c>
      <c r="D1582">
        <v>5.0999999999999996</v>
      </c>
      <c r="E1582">
        <v>5.0999999999999996</v>
      </c>
      <c r="F1582">
        <v>5.1100000000000003</v>
      </c>
      <c r="G1582">
        <v>5.15</v>
      </c>
      <c r="H1582">
        <v>5.21</v>
      </c>
      <c r="I1582">
        <v>5.34</v>
      </c>
      <c r="K1582">
        <f t="shared" si="195"/>
        <v>-2.0000000000000462</v>
      </c>
      <c r="L1582">
        <f t="shared" si="196"/>
        <v>-1.9999999999999574</v>
      </c>
      <c r="M1582">
        <f t="shared" si="197"/>
        <v>-1.0000000000000675</v>
      </c>
      <c r="N1582">
        <f t="shared" si="198"/>
        <v>-1.0000000000000675</v>
      </c>
      <c r="O1582">
        <f t="shared" si="199"/>
        <v>-1.9999999999999574</v>
      </c>
      <c r="P1582">
        <f t="shared" si="200"/>
        <v>-1.9999999999999574</v>
      </c>
      <c r="Q1582">
        <f t="shared" si="201"/>
        <v>-0.99999999999997868</v>
      </c>
      <c r="R1582">
        <f t="shared" si="202"/>
        <v>-0.99999999999997868</v>
      </c>
    </row>
    <row r="1583" spans="1:18">
      <c r="A1583" s="9">
        <v>39021</v>
      </c>
      <c r="B1583">
        <v>5.32</v>
      </c>
      <c r="C1583">
        <v>5.1100000000000003</v>
      </c>
      <c r="D1583">
        <v>5.05</v>
      </c>
      <c r="E1583">
        <v>5.05</v>
      </c>
      <c r="F1583">
        <v>5.0599999999999996</v>
      </c>
      <c r="G1583">
        <v>5.0999999999999996</v>
      </c>
      <c r="H1583">
        <v>5.16</v>
      </c>
      <c r="I1583">
        <v>5.29</v>
      </c>
      <c r="K1583">
        <f t="shared" si="195"/>
        <v>-1.9999999999999574</v>
      </c>
      <c r="L1583">
        <f t="shared" si="196"/>
        <v>-4.0000000000000036</v>
      </c>
      <c r="M1583">
        <f t="shared" si="197"/>
        <v>-4.9999999999999822</v>
      </c>
      <c r="N1583">
        <f t="shared" si="198"/>
        <v>-4.9999999999999822</v>
      </c>
      <c r="O1583">
        <f t="shared" si="199"/>
        <v>-5.0000000000000711</v>
      </c>
      <c r="P1583">
        <f t="shared" si="200"/>
        <v>-5.0000000000000711</v>
      </c>
      <c r="Q1583">
        <f t="shared" si="201"/>
        <v>-4.9999999999999822</v>
      </c>
      <c r="R1583">
        <f t="shared" si="202"/>
        <v>-4.9999999999999822</v>
      </c>
    </row>
    <row r="1584" spans="1:18">
      <c r="A1584" s="9">
        <v>39022</v>
      </c>
      <c r="B1584">
        <v>5.27</v>
      </c>
      <c r="C1584">
        <v>5.04</v>
      </c>
      <c r="D1584">
        <v>4.99</v>
      </c>
      <c r="E1584">
        <v>4.99</v>
      </c>
      <c r="F1584">
        <v>5</v>
      </c>
      <c r="G1584">
        <v>5.04</v>
      </c>
      <c r="H1584">
        <v>5.0999999999999996</v>
      </c>
      <c r="I1584">
        <v>5.23</v>
      </c>
      <c r="K1584">
        <f t="shared" si="195"/>
        <v>-5.0000000000000711</v>
      </c>
      <c r="L1584">
        <f t="shared" si="196"/>
        <v>-7.0000000000000284</v>
      </c>
      <c r="M1584">
        <f t="shared" si="197"/>
        <v>-5.9999999999999609</v>
      </c>
      <c r="N1584">
        <f t="shared" si="198"/>
        <v>-5.9999999999999609</v>
      </c>
      <c r="O1584">
        <f t="shared" si="199"/>
        <v>-5.9999999999999609</v>
      </c>
      <c r="P1584">
        <f t="shared" si="200"/>
        <v>-5.9999999999999609</v>
      </c>
      <c r="Q1584">
        <f t="shared" si="201"/>
        <v>-6.0000000000000497</v>
      </c>
      <c r="R1584">
        <f t="shared" si="202"/>
        <v>-5.9999999999999609</v>
      </c>
    </row>
    <row r="1585" spans="1:18">
      <c r="A1585" s="9">
        <v>39023</v>
      </c>
      <c r="B1585">
        <v>5.28</v>
      </c>
      <c r="C1585">
        <v>5.0599999999999996</v>
      </c>
      <c r="D1585">
        <v>5.01</v>
      </c>
      <c r="E1585">
        <v>5.01</v>
      </c>
      <c r="F1585">
        <v>5.0199999999999996</v>
      </c>
      <c r="G1585">
        <v>5.0599999999999996</v>
      </c>
      <c r="H1585">
        <v>5.12</v>
      </c>
      <c r="I1585">
        <v>5.25</v>
      </c>
      <c r="K1585">
        <f t="shared" si="195"/>
        <v>1.0000000000000675</v>
      </c>
      <c r="L1585">
        <f t="shared" si="196"/>
        <v>1.9999999999999574</v>
      </c>
      <c r="M1585">
        <f t="shared" si="197"/>
        <v>1.9999999999999574</v>
      </c>
      <c r="N1585">
        <f t="shared" si="198"/>
        <v>1.9999999999999574</v>
      </c>
      <c r="O1585">
        <f t="shared" si="199"/>
        <v>1.9999999999999574</v>
      </c>
      <c r="P1585">
        <f t="shared" si="200"/>
        <v>1.9999999999999574</v>
      </c>
      <c r="Q1585">
        <f t="shared" si="201"/>
        <v>2.0000000000000462</v>
      </c>
      <c r="R1585">
        <f t="shared" si="202"/>
        <v>1.9999999999999574</v>
      </c>
    </row>
    <row r="1586" spans="1:18">
      <c r="A1586" s="9">
        <v>39024</v>
      </c>
      <c r="B1586">
        <v>5.36</v>
      </c>
      <c r="C1586">
        <v>5.18</v>
      </c>
      <c r="D1586">
        <v>5.14</v>
      </c>
      <c r="E1586">
        <v>5.13</v>
      </c>
      <c r="F1586">
        <v>5.15</v>
      </c>
      <c r="G1586">
        <v>5.18</v>
      </c>
      <c r="H1586">
        <v>5.23</v>
      </c>
      <c r="I1586">
        <v>5.35</v>
      </c>
      <c r="K1586">
        <f t="shared" si="195"/>
        <v>8.0000000000000071</v>
      </c>
      <c r="L1586">
        <f t="shared" si="196"/>
        <v>12.000000000000011</v>
      </c>
      <c r="M1586">
        <f t="shared" si="197"/>
        <v>12.999999999999989</v>
      </c>
      <c r="N1586">
        <f t="shared" si="198"/>
        <v>12.000000000000011</v>
      </c>
      <c r="O1586">
        <f t="shared" si="199"/>
        <v>13.000000000000078</v>
      </c>
      <c r="P1586">
        <f t="shared" si="200"/>
        <v>12.000000000000011</v>
      </c>
      <c r="Q1586">
        <f t="shared" si="201"/>
        <v>11.000000000000032</v>
      </c>
      <c r="R1586">
        <f t="shared" si="202"/>
        <v>9.9999999999999645</v>
      </c>
    </row>
    <row r="1587" spans="1:18">
      <c r="A1587" s="9">
        <v>39027</v>
      </c>
      <c r="B1587">
        <v>5.39</v>
      </c>
      <c r="C1587">
        <v>5.22</v>
      </c>
      <c r="D1587">
        <v>5.18</v>
      </c>
      <c r="E1587">
        <v>5.17</v>
      </c>
      <c r="F1587">
        <v>5.19</v>
      </c>
      <c r="G1587">
        <v>5.22</v>
      </c>
      <c r="H1587">
        <v>5.27</v>
      </c>
      <c r="I1587">
        <v>5.38</v>
      </c>
      <c r="K1587">
        <f t="shared" si="195"/>
        <v>2.9999999999999361</v>
      </c>
      <c r="L1587">
        <f t="shared" si="196"/>
        <v>4.0000000000000036</v>
      </c>
      <c r="M1587">
        <f t="shared" si="197"/>
        <v>4.0000000000000036</v>
      </c>
      <c r="N1587">
        <f t="shared" si="198"/>
        <v>4.0000000000000036</v>
      </c>
      <c r="O1587">
        <f t="shared" si="199"/>
        <v>4.0000000000000036</v>
      </c>
      <c r="P1587">
        <f t="shared" si="200"/>
        <v>4.0000000000000036</v>
      </c>
      <c r="Q1587">
        <f t="shared" si="201"/>
        <v>3.9999999999999147</v>
      </c>
      <c r="R1587">
        <f t="shared" si="202"/>
        <v>3.0000000000000249</v>
      </c>
    </row>
    <row r="1588" spans="1:18">
      <c r="A1588" s="9">
        <v>39028</v>
      </c>
      <c r="B1588">
        <v>5.35</v>
      </c>
      <c r="C1588">
        <v>5.14</v>
      </c>
      <c r="D1588">
        <v>5.09</v>
      </c>
      <c r="E1588">
        <v>5.08</v>
      </c>
      <c r="F1588">
        <v>5.09</v>
      </c>
      <c r="G1588">
        <v>5.12</v>
      </c>
      <c r="H1588">
        <v>5.17</v>
      </c>
      <c r="I1588">
        <v>5.29</v>
      </c>
      <c r="K1588">
        <f t="shared" si="195"/>
        <v>-4.0000000000000036</v>
      </c>
      <c r="L1588">
        <f t="shared" si="196"/>
        <v>-8.0000000000000071</v>
      </c>
      <c r="M1588">
        <f t="shared" si="197"/>
        <v>-8.9999999999999858</v>
      </c>
      <c r="N1588">
        <f t="shared" si="198"/>
        <v>-8.9999999999999858</v>
      </c>
      <c r="O1588">
        <f t="shared" si="199"/>
        <v>-10.000000000000053</v>
      </c>
      <c r="P1588">
        <f t="shared" si="200"/>
        <v>-9.9999999999999645</v>
      </c>
      <c r="Q1588">
        <f t="shared" si="201"/>
        <v>-9.9999999999999645</v>
      </c>
      <c r="R1588">
        <f t="shared" si="202"/>
        <v>-8.9999999999999858</v>
      </c>
    </row>
    <row r="1589" spans="1:18">
      <c r="A1589" s="9">
        <v>39029</v>
      </c>
      <c r="B1589">
        <v>5.35</v>
      </c>
      <c r="C1589">
        <v>5.16</v>
      </c>
      <c r="D1589">
        <v>5.0999999999999996</v>
      </c>
      <c r="E1589">
        <v>5.09</v>
      </c>
      <c r="F1589">
        <v>5.0999999999999996</v>
      </c>
      <c r="G1589">
        <v>5.14</v>
      </c>
      <c r="H1589">
        <v>5.2</v>
      </c>
      <c r="I1589">
        <v>5.32</v>
      </c>
      <c r="K1589">
        <f t="shared" si="195"/>
        <v>0</v>
      </c>
      <c r="L1589">
        <f t="shared" si="196"/>
        <v>2.0000000000000462</v>
      </c>
      <c r="M1589">
        <f t="shared" si="197"/>
        <v>0.99999999999997868</v>
      </c>
      <c r="N1589">
        <f t="shared" si="198"/>
        <v>0.99999999999997868</v>
      </c>
      <c r="O1589">
        <f t="shared" si="199"/>
        <v>0.99999999999997868</v>
      </c>
      <c r="P1589">
        <f t="shared" si="200"/>
        <v>1.9999999999999574</v>
      </c>
      <c r="Q1589">
        <f t="shared" si="201"/>
        <v>3.0000000000000249</v>
      </c>
      <c r="R1589">
        <f t="shared" si="202"/>
        <v>3.0000000000000249</v>
      </c>
    </row>
    <row r="1590" spans="1:18">
      <c r="A1590" s="9">
        <v>39030</v>
      </c>
      <c r="B1590">
        <v>5.32</v>
      </c>
      <c r="C1590">
        <v>5.12</v>
      </c>
      <c r="D1590">
        <v>5.0599999999999996</v>
      </c>
      <c r="E1590">
        <v>5.05</v>
      </c>
      <c r="F1590">
        <v>5.0599999999999996</v>
      </c>
      <c r="G1590">
        <v>5.0999999999999996</v>
      </c>
      <c r="H1590">
        <v>5.16</v>
      </c>
      <c r="I1590">
        <v>5.28</v>
      </c>
      <c r="K1590">
        <f t="shared" si="195"/>
        <v>-2.9999999999999361</v>
      </c>
      <c r="L1590">
        <f t="shared" si="196"/>
        <v>-4.0000000000000036</v>
      </c>
      <c r="M1590">
        <f t="shared" si="197"/>
        <v>-4.0000000000000036</v>
      </c>
      <c r="N1590">
        <f t="shared" si="198"/>
        <v>-4.0000000000000036</v>
      </c>
      <c r="O1590">
        <f t="shared" si="199"/>
        <v>-4.0000000000000036</v>
      </c>
      <c r="P1590">
        <f t="shared" si="200"/>
        <v>-4.0000000000000036</v>
      </c>
      <c r="Q1590">
        <f t="shared" si="201"/>
        <v>-4.0000000000000036</v>
      </c>
      <c r="R1590">
        <f t="shared" si="202"/>
        <v>-4.0000000000000036</v>
      </c>
    </row>
    <row r="1591" spans="1:18">
      <c r="A1591" s="9">
        <v>39031</v>
      </c>
      <c r="B1591">
        <v>5.3</v>
      </c>
      <c r="C1591">
        <v>5.09</v>
      </c>
      <c r="D1591">
        <v>5.0199999999999996</v>
      </c>
      <c r="E1591">
        <v>5.01</v>
      </c>
      <c r="F1591">
        <v>5.0199999999999996</v>
      </c>
      <c r="G1591">
        <v>5.0599999999999996</v>
      </c>
      <c r="H1591">
        <v>5.12</v>
      </c>
      <c r="I1591">
        <v>5.24</v>
      </c>
      <c r="K1591">
        <f t="shared" si="195"/>
        <v>-2.0000000000000462</v>
      </c>
      <c r="L1591">
        <f t="shared" si="196"/>
        <v>-3.0000000000000249</v>
      </c>
      <c r="M1591">
        <f t="shared" si="197"/>
        <v>-4.0000000000000036</v>
      </c>
      <c r="N1591">
        <f t="shared" si="198"/>
        <v>-4.0000000000000036</v>
      </c>
      <c r="O1591">
        <f t="shared" si="199"/>
        <v>-4.0000000000000036</v>
      </c>
      <c r="P1591">
        <f t="shared" si="200"/>
        <v>-4.0000000000000036</v>
      </c>
      <c r="Q1591">
        <f t="shared" si="201"/>
        <v>-4.0000000000000036</v>
      </c>
      <c r="R1591">
        <f t="shared" si="202"/>
        <v>-4.0000000000000036</v>
      </c>
    </row>
    <row r="1592" spans="1:18">
      <c r="A1592" s="9">
        <v>39034</v>
      </c>
      <c r="B1592">
        <v>5.34</v>
      </c>
      <c r="C1592">
        <v>5.13</v>
      </c>
      <c r="D1592">
        <v>5.0599999999999996</v>
      </c>
      <c r="E1592">
        <v>5.05</v>
      </c>
      <c r="F1592">
        <v>5.0599999999999996</v>
      </c>
      <c r="G1592">
        <v>5.0999999999999996</v>
      </c>
      <c r="H1592">
        <v>5.15</v>
      </c>
      <c r="I1592">
        <v>5.27</v>
      </c>
      <c r="K1592">
        <f t="shared" si="195"/>
        <v>4.0000000000000036</v>
      </c>
      <c r="L1592">
        <f t="shared" si="196"/>
        <v>4.0000000000000036</v>
      </c>
      <c r="M1592">
        <f t="shared" si="197"/>
        <v>4.0000000000000036</v>
      </c>
      <c r="N1592">
        <f t="shared" si="198"/>
        <v>4.0000000000000036</v>
      </c>
      <c r="O1592">
        <f t="shared" si="199"/>
        <v>4.0000000000000036</v>
      </c>
      <c r="P1592">
        <f t="shared" si="200"/>
        <v>4.0000000000000036</v>
      </c>
      <c r="Q1592">
        <f t="shared" si="201"/>
        <v>3.0000000000000249</v>
      </c>
      <c r="R1592">
        <f t="shared" si="202"/>
        <v>2.9999999999999361</v>
      </c>
    </row>
    <row r="1593" spans="1:18">
      <c r="A1593" s="9">
        <v>39035</v>
      </c>
      <c r="B1593">
        <v>5.31</v>
      </c>
      <c r="C1593">
        <v>5.08</v>
      </c>
      <c r="D1593">
        <v>5.01</v>
      </c>
      <c r="E1593">
        <v>5</v>
      </c>
      <c r="F1593">
        <v>5.01</v>
      </c>
      <c r="G1593">
        <v>5.04</v>
      </c>
      <c r="H1593">
        <v>5.09</v>
      </c>
      <c r="I1593">
        <v>5.22</v>
      </c>
      <c r="K1593">
        <f t="shared" si="195"/>
        <v>-3.0000000000000249</v>
      </c>
      <c r="L1593">
        <f t="shared" si="196"/>
        <v>-4.9999999999999822</v>
      </c>
      <c r="M1593">
        <f t="shared" si="197"/>
        <v>-4.9999999999999822</v>
      </c>
      <c r="N1593">
        <f t="shared" si="198"/>
        <v>-4.9999999999999822</v>
      </c>
      <c r="O1593">
        <f t="shared" si="199"/>
        <v>-4.9999999999999822</v>
      </c>
      <c r="P1593">
        <f t="shared" si="200"/>
        <v>-5.9999999999999609</v>
      </c>
      <c r="Q1593">
        <f t="shared" si="201"/>
        <v>-6.0000000000000497</v>
      </c>
      <c r="R1593">
        <f t="shared" si="202"/>
        <v>-4.9999999999999822</v>
      </c>
    </row>
    <row r="1594" spans="1:18">
      <c r="A1594" s="9">
        <v>39036</v>
      </c>
      <c r="B1594">
        <v>5.32</v>
      </c>
      <c r="C1594">
        <v>5.1100000000000003</v>
      </c>
      <c r="D1594">
        <v>5.04</v>
      </c>
      <c r="E1594">
        <v>5.03</v>
      </c>
      <c r="F1594">
        <v>5.04</v>
      </c>
      <c r="G1594">
        <v>5.07</v>
      </c>
      <c r="H1594">
        <v>5.12</v>
      </c>
      <c r="I1594">
        <v>5.23</v>
      </c>
      <c r="K1594">
        <f t="shared" si="195"/>
        <v>1.0000000000000675</v>
      </c>
      <c r="L1594">
        <f t="shared" si="196"/>
        <v>3.0000000000000249</v>
      </c>
      <c r="M1594">
        <f t="shared" si="197"/>
        <v>3.0000000000000249</v>
      </c>
      <c r="N1594">
        <f t="shared" si="198"/>
        <v>3.0000000000000249</v>
      </c>
      <c r="O1594">
        <f t="shared" si="199"/>
        <v>3.0000000000000249</v>
      </c>
      <c r="P1594">
        <f t="shared" si="200"/>
        <v>3.0000000000000249</v>
      </c>
      <c r="Q1594">
        <f t="shared" si="201"/>
        <v>3.0000000000000249</v>
      </c>
      <c r="R1594">
        <f t="shared" si="202"/>
        <v>1.0000000000000675</v>
      </c>
    </row>
    <row r="1595" spans="1:18">
      <c r="A1595" s="9">
        <v>39037</v>
      </c>
      <c r="B1595">
        <v>5.33</v>
      </c>
      <c r="C1595">
        <v>5.12</v>
      </c>
      <c r="D1595">
        <v>5.05</v>
      </c>
      <c r="E1595">
        <v>5.04</v>
      </c>
      <c r="F1595">
        <v>5.04</v>
      </c>
      <c r="G1595">
        <v>5.07</v>
      </c>
      <c r="H1595">
        <v>5.12</v>
      </c>
      <c r="I1595">
        <v>5.24</v>
      </c>
      <c r="K1595">
        <f t="shared" si="195"/>
        <v>0.99999999999997868</v>
      </c>
      <c r="L1595">
        <f t="shared" si="196"/>
        <v>0.99999999999997868</v>
      </c>
      <c r="M1595">
        <f t="shared" si="197"/>
        <v>0.99999999999997868</v>
      </c>
      <c r="N1595">
        <f t="shared" si="198"/>
        <v>0.99999999999997868</v>
      </c>
      <c r="O1595">
        <f t="shared" si="199"/>
        <v>0</v>
      </c>
      <c r="P1595">
        <f t="shared" si="200"/>
        <v>0</v>
      </c>
      <c r="Q1595">
        <f t="shared" si="201"/>
        <v>0</v>
      </c>
      <c r="R1595">
        <f t="shared" si="202"/>
        <v>0.99999999999997868</v>
      </c>
    </row>
    <row r="1596" spans="1:18">
      <c r="A1596" s="9">
        <v>39038</v>
      </c>
      <c r="B1596">
        <v>5.32</v>
      </c>
      <c r="C1596">
        <v>5.12</v>
      </c>
      <c r="D1596">
        <v>5.04</v>
      </c>
      <c r="E1596">
        <v>5.0199999999999996</v>
      </c>
      <c r="F1596">
        <v>5.03</v>
      </c>
      <c r="G1596">
        <v>5.0599999999999996</v>
      </c>
      <c r="H1596">
        <v>5.12</v>
      </c>
      <c r="I1596">
        <v>5.23</v>
      </c>
      <c r="K1596">
        <f t="shared" si="195"/>
        <v>-0.99999999999997868</v>
      </c>
      <c r="L1596">
        <f t="shared" si="196"/>
        <v>0</v>
      </c>
      <c r="M1596">
        <f t="shared" si="197"/>
        <v>-0.99999999999997868</v>
      </c>
      <c r="N1596">
        <f t="shared" si="198"/>
        <v>-2.0000000000000462</v>
      </c>
      <c r="O1596">
        <f t="shared" si="199"/>
        <v>-0.99999999999997868</v>
      </c>
      <c r="P1596">
        <f t="shared" si="200"/>
        <v>-1.0000000000000675</v>
      </c>
      <c r="Q1596">
        <f t="shared" si="201"/>
        <v>0</v>
      </c>
      <c r="R1596">
        <f t="shared" si="202"/>
        <v>-0.99999999999997868</v>
      </c>
    </row>
    <row r="1597" spans="1:18">
      <c r="A1597" s="9">
        <v>39041</v>
      </c>
      <c r="B1597">
        <v>5.31</v>
      </c>
      <c r="C1597">
        <v>5.0999999999999996</v>
      </c>
      <c r="D1597">
        <v>5.03</v>
      </c>
      <c r="E1597">
        <v>5.0199999999999996</v>
      </c>
      <c r="F1597">
        <v>5.0199999999999996</v>
      </c>
      <c r="G1597">
        <v>5.05</v>
      </c>
      <c r="H1597">
        <v>5.1100000000000003</v>
      </c>
      <c r="I1597">
        <v>5.22</v>
      </c>
      <c r="K1597">
        <f t="shared" si="195"/>
        <v>-1.0000000000000675</v>
      </c>
      <c r="L1597">
        <f t="shared" si="196"/>
        <v>-2.0000000000000462</v>
      </c>
      <c r="M1597">
        <f t="shared" si="197"/>
        <v>-0.99999999999997868</v>
      </c>
      <c r="N1597">
        <f t="shared" si="198"/>
        <v>0</v>
      </c>
      <c r="O1597">
        <f t="shared" si="199"/>
        <v>-1.0000000000000675</v>
      </c>
      <c r="P1597">
        <f t="shared" si="200"/>
        <v>-0.99999999999997868</v>
      </c>
      <c r="Q1597">
        <f t="shared" si="201"/>
        <v>-0.99999999999997868</v>
      </c>
      <c r="R1597">
        <f t="shared" si="202"/>
        <v>-1.0000000000000675</v>
      </c>
    </row>
    <row r="1598" spans="1:18">
      <c r="A1598" s="9">
        <v>39042</v>
      </c>
      <c r="B1598">
        <v>5.32</v>
      </c>
      <c r="C1598">
        <v>5.1100000000000003</v>
      </c>
      <c r="D1598">
        <v>5.04</v>
      </c>
      <c r="E1598">
        <v>5.0199999999999996</v>
      </c>
      <c r="F1598">
        <v>5.0199999999999996</v>
      </c>
      <c r="G1598">
        <v>5.05</v>
      </c>
      <c r="H1598">
        <v>5.09</v>
      </c>
      <c r="I1598">
        <v>5.21</v>
      </c>
      <c r="K1598">
        <f t="shared" si="195"/>
        <v>1.0000000000000675</v>
      </c>
      <c r="L1598">
        <f t="shared" si="196"/>
        <v>1.0000000000000675</v>
      </c>
      <c r="M1598">
        <f t="shared" si="197"/>
        <v>0.99999999999997868</v>
      </c>
      <c r="N1598">
        <f t="shared" si="198"/>
        <v>0</v>
      </c>
      <c r="O1598">
        <f t="shared" si="199"/>
        <v>0</v>
      </c>
      <c r="P1598">
        <f t="shared" si="200"/>
        <v>0</v>
      </c>
      <c r="Q1598">
        <f t="shared" si="201"/>
        <v>-2.0000000000000462</v>
      </c>
      <c r="R1598">
        <f t="shared" si="202"/>
        <v>-0.99999999999997868</v>
      </c>
    </row>
    <row r="1599" spans="1:18">
      <c r="A1599" s="9">
        <v>39043</v>
      </c>
      <c r="B1599">
        <v>5.29</v>
      </c>
      <c r="C1599">
        <v>5.07</v>
      </c>
      <c r="D1599">
        <v>4.99</v>
      </c>
      <c r="E1599">
        <v>4.9800000000000004</v>
      </c>
      <c r="F1599">
        <v>4.9800000000000004</v>
      </c>
      <c r="G1599">
        <v>5.01</v>
      </c>
      <c r="H1599">
        <v>5.0599999999999996</v>
      </c>
      <c r="I1599">
        <v>5.19</v>
      </c>
      <c r="K1599">
        <f t="shared" si="195"/>
        <v>-3.0000000000000249</v>
      </c>
      <c r="L1599">
        <f t="shared" si="196"/>
        <v>-4.0000000000000036</v>
      </c>
      <c r="M1599">
        <f t="shared" si="197"/>
        <v>-4.9999999999999822</v>
      </c>
      <c r="N1599">
        <f t="shared" si="198"/>
        <v>-3.9999999999999147</v>
      </c>
      <c r="O1599">
        <f t="shared" si="199"/>
        <v>-3.9999999999999147</v>
      </c>
      <c r="P1599">
        <f t="shared" si="200"/>
        <v>-4.0000000000000036</v>
      </c>
      <c r="Q1599">
        <f t="shared" si="201"/>
        <v>-3.0000000000000249</v>
      </c>
      <c r="R1599">
        <f t="shared" si="202"/>
        <v>-1.9999999999999574</v>
      </c>
    </row>
    <row r="1600" spans="1:18">
      <c r="A1600" s="9">
        <v>39045</v>
      </c>
      <c r="B1600">
        <v>5.27</v>
      </c>
      <c r="C1600">
        <v>5.04</v>
      </c>
      <c r="D1600">
        <v>4.97</v>
      </c>
      <c r="E1600">
        <v>4.9400000000000004</v>
      </c>
      <c r="F1600">
        <v>4.9400000000000004</v>
      </c>
      <c r="G1600">
        <v>4.97</v>
      </c>
      <c r="H1600">
        <v>5.0199999999999996</v>
      </c>
      <c r="I1600">
        <v>5.14</v>
      </c>
      <c r="K1600">
        <f t="shared" si="195"/>
        <v>-2.0000000000000462</v>
      </c>
      <c r="L1600">
        <f t="shared" si="196"/>
        <v>-3.0000000000000249</v>
      </c>
      <c r="M1600">
        <f t="shared" si="197"/>
        <v>-2.0000000000000462</v>
      </c>
      <c r="N1600">
        <f t="shared" si="198"/>
        <v>-4.0000000000000036</v>
      </c>
      <c r="O1600">
        <f t="shared" si="199"/>
        <v>-4.0000000000000036</v>
      </c>
      <c r="P1600">
        <f t="shared" si="200"/>
        <v>-4.0000000000000036</v>
      </c>
      <c r="Q1600">
        <f t="shared" si="201"/>
        <v>-4.0000000000000036</v>
      </c>
      <c r="R1600">
        <f t="shared" si="202"/>
        <v>-5.0000000000000711</v>
      </c>
    </row>
    <row r="1601" spans="1:18">
      <c r="A1601" s="9">
        <v>39048</v>
      </c>
      <c r="B1601">
        <v>5.29</v>
      </c>
      <c r="C1601">
        <v>5.08</v>
      </c>
      <c r="D1601">
        <v>5</v>
      </c>
      <c r="E1601">
        <v>4.9800000000000004</v>
      </c>
      <c r="F1601">
        <v>4.9800000000000004</v>
      </c>
      <c r="G1601">
        <v>5.01</v>
      </c>
      <c r="H1601">
        <v>5.0599999999999996</v>
      </c>
      <c r="I1601">
        <v>5.18</v>
      </c>
      <c r="K1601">
        <f t="shared" si="195"/>
        <v>2.0000000000000462</v>
      </c>
      <c r="L1601">
        <f t="shared" si="196"/>
        <v>4.0000000000000036</v>
      </c>
      <c r="M1601">
        <f t="shared" si="197"/>
        <v>3.0000000000000249</v>
      </c>
      <c r="N1601">
        <f t="shared" si="198"/>
        <v>4.0000000000000036</v>
      </c>
      <c r="O1601">
        <f t="shared" si="199"/>
        <v>4.0000000000000036</v>
      </c>
      <c r="P1601">
        <f t="shared" si="200"/>
        <v>4.0000000000000036</v>
      </c>
      <c r="Q1601">
        <f t="shared" si="201"/>
        <v>4.0000000000000036</v>
      </c>
      <c r="R1601">
        <f t="shared" si="202"/>
        <v>4.0000000000000036</v>
      </c>
    </row>
    <row r="1602" spans="1:18">
      <c r="A1602" s="9">
        <v>39049</v>
      </c>
      <c r="B1602">
        <v>5.24</v>
      </c>
      <c r="C1602">
        <v>5.01</v>
      </c>
      <c r="D1602">
        <v>4.92</v>
      </c>
      <c r="E1602">
        <v>4.9000000000000004</v>
      </c>
      <c r="F1602">
        <v>4.91</v>
      </c>
      <c r="G1602">
        <v>4.9400000000000004</v>
      </c>
      <c r="H1602">
        <v>4.9800000000000004</v>
      </c>
      <c r="I1602">
        <v>5.1100000000000003</v>
      </c>
      <c r="K1602">
        <f t="shared" si="195"/>
        <v>-4.9999999999999822</v>
      </c>
      <c r="L1602">
        <f t="shared" si="196"/>
        <v>-7.0000000000000284</v>
      </c>
      <c r="M1602">
        <f t="shared" si="197"/>
        <v>-8.0000000000000071</v>
      </c>
      <c r="N1602">
        <f t="shared" si="198"/>
        <v>-8.0000000000000071</v>
      </c>
      <c r="O1602">
        <f t="shared" si="199"/>
        <v>-7.0000000000000284</v>
      </c>
      <c r="P1602">
        <f t="shared" si="200"/>
        <v>-6.9999999999999396</v>
      </c>
      <c r="Q1602">
        <f t="shared" si="201"/>
        <v>-7.9999999999999183</v>
      </c>
      <c r="R1602">
        <f t="shared" si="202"/>
        <v>-6.9999999999999396</v>
      </c>
    </row>
    <row r="1603" spans="1:18">
      <c r="A1603" s="9">
        <v>39050</v>
      </c>
      <c r="B1603">
        <v>5.24</v>
      </c>
      <c r="C1603">
        <v>5</v>
      </c>
      <c r="D1603">
        <v>4.92</v>
      </c>
      <c r="E1603">
        <v>4.9000000000000004</v>
      </c>
      <c r="F1603">
        <v>4.91</v>
      </c>
      <c r="G1603">
        <v>4.93</v>
      </c>
      <c r="H1603">
        <v>4.99</v>
      </c>
      <c r="I1603">
        <v>5.1100000000000003</v>
      </c>
      <c r="K1603">
        <f t="shared" si="195"/>
        <v>0</v>
      </c>
      <c r="L1603">
        <f t="shared" si="196"/>
        <v>-0.99999999999997868</v>
      </c>
      <c r="M1603">
        <f t="shared" si="197"/>
        <v>0</v>
      </c>
      <c r="N1603">
        <f t="shared" si="198"/>
        <v>0</v>
      </c>
      <c r="O1603">
        <f t="shared" si="199"/>
        <v>0</v>
      </c>
      <c r="P1603">
        <f t="shared" si="200"/>
        <v>-1.0000000000000675</v>
      </c>
      <c r="Q1603">
        <f t="shared" si="201"/>
        <v>0.99999999999997868</v>
      </c>
      <c r="R1603">
        <f t="shared" si="202"/>
        <v>0</v>
      </c>
    </row>
    <row r="1604" spans="1:18">
      <c r="A1604" s="9">
        <v>39051</v>
      </c>
      <c r="B1604">
        <v>5.22</v>
      </c>
      <c r="C1604">
        <v>4.96</v>
      </c>
      <c r="D1604">
        <v>4.8899999999999997</v>
      </c>
      <c r="E1604">
        <v>4.87</v>
      </c>
      <c r="F1604">
        <v>4.87</v>
      </c>
      <c r="G1604">
        <v>4.9000000000000004</v>
      </c>
      <c r="H1604">
        <v>4.96</v>
      </c>
      <c r="I1604">
        <v>5.09</v>
      </c>
      <c r="K1604">
        <f t="shared" si="195"/>
        <v>-2.0000000000000462</v>
      </c>
      <c r="L1604">
        <f t="shared" si="196"/>
        <v>-4.0000000000000036</v>
      </c>
      <c r="M1604">
        <f t="shared" si="197"/>
        <v>-3.0000000000000249</v>
      </c>
      <c r="N1604">
        <f t="shared" si="198"/>
        <v>-3.0000000000000249</v>
      </c>
      <c r="O1604">
        <f t="shared" si="199"/>
        <v>-4.0000000000000036</v>
      </c>
      <c r="P1604">
        <f t="shared" si="200"/>
        <v>-2.9999999999999361</v>
      </c>
      <c r="Q1604">
        <f t="shared" si="201"/>
        <v>-3.0000000000000249</v>
      </c>
      <c r="R1604">
        <f t="shared" si="202"/>
        <v>-2.0000000000000462</v>
      </c>
    </row>
    <row r="1605" spans="1:18">
      <c r="A1605" s="9">
        <v>39052</v>
      </c>
      <c r="B1605">
        <v>5.1100000000000003</v>
      </c>
      <c r="C1605">
        <v>4.8600000000000003</v>
      </c>
      <c r="D1605">
        <v>4.78</v>
      </c>
      <c r="E1605">
        <v>4.76</v>
      </c>
      <c r="F1605">
        <v>4.78</v>
      </c>
      <c r="G1605">
        <v>4.82</v>
      </c>
      <c r="H1605">
        <v>4.8899999999999997</v>
      </c>
      <c r="I1605">
        <v>5.04</v>
      </c>
      <c r="K1605">
        <f t="shared" ref="K1605:K1668" si="203">(B1605-B1604)*100</f>
        <v>-10.999999999999943</v>
      </c>
      <c r="L1605">
        <f t="shared" ref="L1605:L1668" si="204">(C1605-C1604)*100</f>
        <v>-9.9999999999999645</v>
      </c>
      <c r="M1605">
        <f t="shared" ref="M1605:M1668" si="205">(D1605-D1604)*100</f>
        <v>-10.999999999999943</v>
      </c>
      <c r="N1605">
        <f t="shared" ref="N1605:N1668" si="206">(E1605-E1604)*100</f>
        <v>-11.000000000000032</v>
      </c>
      <c r="O1605">
        <f t="shared" ref="O1605:O1668" si="207">(F1605-F1604)*100</f>
        <v>-8.9999999999999858</v>
      </c>
      <c r="P1605">
        <f t="shared" ref="P1605:P1668" si="208">(G1605-G1604)*100</f>
        <v>-8.0000000000000071</v>
      </c>
      <c r="Q1605">
        <f t="shared" ref="Q1605:Q1668" si="209">(H1605-H1604)*100</f>
        <v>-7.0000000000000284</v>
      </c>
      <c r="R1605">
        <f t="shared" ref="R1605:R1668" si="210">(I1605-I1604)*100</f>
        <v>-4.9999999999999822</v>
      </c>
    </row>
    <row r="1606" spans="1:18">
      <c r="A1606" s="9">
        <v>39055</v>
      </c>
      <c r="B1606">
        <v>5.12</v>
      </c>
      <c r="C1606">
        <v>4.8600000000000003</v>
      </c>
      <c r="D1606">
        <v>4.78</v>
      </c>
      <c r="E1606">
        <v>4.7699999999999996</v>
      </c>
      <c r="F1606">
        <v>4.79</v>
      </c>
      <c r="G1606">
        <v>4.83</v>
      </c>
      <c r="H1606">
        <v>4.9000000000000004</v>
      </c>
      <c r="I1606">
        <v>5.04</v>
      </c>
      <c r="K1606">
        <f t="shared" si="203"/>
        <v>0.99999999999997868</v>
      </c>
      <c r="L1606">
        <f t="shared" si="204"/>
        <v>0</v>
      </c>
      <c r="M1606">
        <f t="shared" si="205"/>
        <v>0</v>
      </c>
      <c r="N1606">
        <f t="shared" si="206"/>
        <v>0.99999999999997868</v>
      </c>
      <c r="O1606">
        <f t="shared" si="207"/>
        <v>0.99999999999997868</v>
      </c>
      <c r="P1606">
        <f t="shared" si="208"/>
        <v>0.99999999999997868</v>
      </c>
      <c r="Q1606">
        <f t="shared" si="209"/>
        <v>1.0000000000000675</v>
      </c>
      <c r="R1606">
        <f t="shared" si="210"/>
        <v>0</v>
      </c>
    </row>
    <row r="1607" spans="1:18">
      <c r="A1607" s="9">
        <v>39056</v>
      </c>
      <c r="B1607">
        <v>5.14</v>
      </c>
      <c r="C1607">
        <v>4.87</v>
      </c>
      <c r="D1607">
        <v>4.79</v>
      </c>
      <c r="E1607">
        <v>4.79</v>
      </c>
      <c r="F1607">
        <v>4.8</v>
      </c>
      <c r="G1607">
        <v>4.84</v>
      </c>
      <c r="H1607">
        <v>4.91</v>
      </c>
      <c r="I1607">
        <v>5.0599999999999996</v>
      </c>
      <c r="K1607">
        <f t="shared" si="203"/>
        <v>1.9999999999999574</v>
      </c>
      <c r="L1607">
        <f t="shared" si="204"/>
        <v>0.99999999999997868</v>
      </c>
      <c r="M1607">
        <f t="shared" si="205"/>
        <v>0.99999999999997868</v>
      </c>
      <c r="N1607">
        <f t="shared" si="206"/>
        <v>2.0000000000000462</v>
      </c>
      <c r="O1607">
        <f t="shared" si="207"/>
        <v>0.99999999999997868</v>
      </c>
      <c r="P1607">
        <f t="shared" si="208"/>
        <v>0.99999999999997868</v>
      </c>
      <c r="Q1607">
        <f t="shared" si="209"/>
        <v>0.99999999999997868</v>
      </c>
      <c r="R1607">
        <f t="shared" si="210"/>
        <v>1.9999999999999574</v>
      </c>
    </row>
    <row r="1608" spans="1:18">
      <c r="A1608" s="9">
        <v>39057</v>
      </c>
      <c r="B1608">
        <v>5.15</v>
      </c>
      <c r="C1608">
        <v>4.8899999999999997</v>
      </c>
      <c r="D1608">
        <v>4.8099999999999996</v>
      </c>
      <c r="E1608">
        <v>4.8</v>
      </c>
      <c r="F1608">
        <v>4.8099999999999996</v>
      </c>
      <c r="G1608">
        <v>4.8600000000000003</v>
      </c>
      <c r="H1608">
        <v>4.92</v>
      </c>
      <c r="I1608">
        <v>5.07</v>
      </c>
      <c r="K1608">
        <f t="shared" si="203"/>
        <v>1.0000000000000675</v>
      </c>
      <c r="L1608">
        <f t="shared" si="204"/>
        <v>1.9999999999999574</v>
      </c>
      <c r="M1608">
        <f t="shared" si="205"/>
        <v>1.9999999999999574</v>
      </c>
      <c r="N1608">
        <f t="shared" si="206"/>
        <v>0.99999999999997868</v>
      </c>
      <c r="O1608">
        <f t="shared" si="207"/>
        <v>0.99999999999997868</v>
      </c>
      <c r="P1608">
        <f t="shared" si="208"/>
        <v>2.0000000000000462</v>
      </c>
      <c r="Q1608">
        <f t="shared" si="209"/>
        <v>0.99999999999997868</v>
      </c>
      <c r="R1608">
        <f t="shared" si="210"/>
        <v>1.0000000000000675</v>
      </c>
    </row>
    <row r="1609" spans="1:18">
      <c r="A1609" s="9">
        <v>39058</v>
      </c>
      <c r="B1609">
        <v>5.18</v>
      </c>
      <c r="C1609">
        <v>4.93</v>
      </c>
      <c r="D1609">
        <v>4.8600000000000003</v>
      </c>
      <c r="E1609">
        <v>4.8499999999999996</v>
      </c>
      <c r="F1609">
        <v>4.8600000000000003</v>
      </c>
      <c r="G1609">
        <v>4.8899999999999997</v>
      </c>
      <c r="H1609">
        <v>4.95</v>
      </c>
      <c r="I1609">
        <v>5.09</v>
      </c>
      <c r="K1609">
        <f t="shared" si="203"/>
        <v>2.9999999999999361</v>
      </c>
      <c r="L1609">
        <f t="shared" si="204"/>
        <v>4.0000000000000036</v>
      </c>
      <c r="M1609">
        <f t="shared" si="205"/>
        <v>5.0000000000000711</v>
      </c>
      <c r="N1609">
        <f t="shared" si="206"/>
        <v>4.9999999999999822</v>
      </c>
      <c r="O1609">
        <f t="shared" si="207"/>
        <v>5.0000000000000711</v>
      </c>
      <c r="P1609">
        <f t="shared" si="208"/>
        <v>2.9999999999999361</v>
      </c>
      <c r="Q1609">
        <f t="shared" si="209"/>
        <v>3.0000000000000249</v>
      </c>
      <c r="R1609">
        <f t="shared" si="210"/>
        <v>1.9999999999999574</v>
      </c>
    </row>
    <row r="1610" spans="1:18">
      <c r="A1610" s="9">
        <v>39059</v>
      </c>
      <c r="B1610">
        <v>5.23</v>
      </c>
      <c r="C1610">
        <v>4.9800000000000004</v>
      </c>
      <c r="D1610">
        <v>4.91</v>
      </c>
      <c r="E1610">
        <v>4.9000000000000004</v>
      </c>
      <c r="F1610">
        <v>4.91</v>
      </c>
      <c r="G1610">
        <v>4.9400000000000004</v>
      </c>
      <c r="H1610">
        <v>5</v>
      </c>
      <c r="I1610">
        <v>5.14</v>
      </c>
      <c r="K1610">
        <f t="shared" si="203"/>
        <v>5.0000000000000711</v>
      </c>
      <c r="L1610">
        <f t="shared" si="204"/>
        <v>5.0000000000000711</v>
      </c>
      <c r="M1610">
        <f t="shared" si="205"/>
        <v>4.9999999999999822</v>
      </c>
      <c r="N1610">
        <f t="shared" si="206"/>
        <v>5.0000000000000711</v>
      </c>
      <c r="O1610">
        <f t="shared" si="207"/>
        <v>4.9999999999999822</v>
      </c>
      <c r="P1610">
        <f t="shared" si="208"/>
        <v>5.0000000000000711</v>
      </c>
      <c r="Q1610">
        <f t="shared" si="209"/>
        <v>4.9999999999999822</v>
      </c>
      <c r="R1610">
        <f t="shared" si="210"/>
        <v>4.9999999999999822</v>
      </c>
    </row>
    <row r="1611" spans="1:18">
      <c r="A1611" s="9">
        <v>39062</v>
      </c>
      <c r="B1611">
        <v>5.26</v>
      </c>
      <c r="C1611">
        <v>5.01</v>
      </c>
      <c r="D1611">
        <v>4.93</v>
      </c>
      <c r="E1611">
        <v>4.91</v>
      </c>
      <c r="F1611">
        <v>4.92</v>
      </c>
      <c r="G1611">
        <v>4.95</v>
      </c>
      <c r="H1611">
        <v>5.01</v>
      </c>
      <c r="I1611">
        <v>5.15</v>
      </c>
      <c r="K1611">
        <f t="shared" si="203"/>
        <v>2.9999999999999361</v>
      </c>
      <c r="L1611">
        <f t="shared" si="204"/>
        <v>2.9999999999999361</v>
      </c>
      <c r="M1611">
        <f t="shared" si="205"/>
        <v>1.9999999999999574</v>
      </c>
      <c r="N1611">
        <f t="shared" si="206"/>
        <v>0.99999999999997868</v>
      </c>
      <c r="O1611">
        <f t="shared" si="207"/>
        <v>0.99999999999997868</v>
      </c>
      <c r="P1611">
        <f t="shared" si="208"/>
        <v>0.99999999999997868</v>
      </c>
      <c r="Q1611">
        <f t="shared" si="209"/>
        <v>0.99999999999997868</v>
      </c>
      <c r="R1611">
        <f t="shared" si="210"/>
        <v>1.0000000000000675</v>
      </c>
    </row>
    <row r="1612" spans="1:18">
      <c r="A1612" s="9">
        <v>39063</v>
      </c>
      <c r="B1612">
        <v>5.25</v>
      </c>
      <c r="C1612">
        <v>5</v>
      </c>
      <c r="D1612">
        <v>4.91</v>
      </c>
      <c r="E1612">
        <v>4.8899999999999997</v>
      </c>
      <c r="F1612">
        <v>4.9000000000000004</v>
      </c>
      <c r="G1612">
        <v>4.93</v>
      </c>
      <c r="H1612">
        <v>4.99</v>
      </c>
      <c r="I1612">
        <v>5.14</v>
      </c>
      <c r="K1612">
        <f t="shared" si="203"/>
        <v>-0.99999999999997868</v>
      </c>
      <c r="L1612">
        <f t="shared" si="204"/>
        <v>-0.99999999999997868</v>
      </c>
      <c r="M1612">
        <f t="shared" si="205"/>
        <v>-1.9999999999999574</v>
      </c>
      <c r="N1612">
        <f t="shared" si="206"/>
        <v>-2.0000000000000462</v>
      </c>
      <c r="O1612">
        <f t="shared" si="207"/>
        <v>-1.9999999999999574</v>
      </c>
      <c r="P1612">
        <f t="shared" si="208"/>
        <v>-2.0000000000000462</v>
      </c>
      <c r="Q1612">
        <f t="shared" si="209"/>
        <v>-1.9999999999999574</v>
      </c>
      <c r="R1612">
        <f t="shared" si="210"/>
        <v>-1.0000000000000675</v>
      </c>
    </row>
    <row r="1613" spans="1:18">
      <c r="A1613" s="9">
        <v>39064</v>
      </c>
      <c r="B1613">
        <v>5.28</v>
      </c>
      <c r="C1613">
        <v>5.0199999999999996</v>
      </c>
      <c r="D1613">
        <v>4.9400000000000004</v>
      </c>
      <c r="E1613">
        <v>4.92</v>
      </c>
      <c r="F1613">
        <v>4.93</v>
      </c>
      <c r="G1613">
        <v>4.96</v>
      </c>
      <c r="H1613">
        <v>5.0199999999999996</v>
      </c>
      <c r="I1613">
        <v>5.17</v>
      </c>
      <c r="K1613">
        <f t="shared" si="203"/>
        <v>3.0000000000000249</v>
      </c>
      <c r="L1613">
        <f t="shared" si="204"/>
        <v>1.9999999999999574</v>
      </c>
      <c r="M1613">
        <f t="shared" si="205"/>
        <v>3.0000000000000249</v>
      </c>
      <c r="N1613">
        <f t="shared" si="206"/>
        <v>3.0000000000000249</v>
      </c>
      <c r="O1613">
        <f t="shared" si="207"/>
        <v>2.9999999999999361</v>
      </c>
      <c r="P1613">
        <f t="shared" si="208"/>
        <v>3.0000000000000249</v>
      </c>
      <c r="Q1613">
        <f t="shared" si="209"/>
        <v>2.9999999999999361</v>
      </c>
      <c r="R1613">
        <f t="shared" si="210"/>
        <v>3.0000000000000249</v>
      </c>
    </row>
    <row r="1614" spans="1:18">
      <c r="A1614" s="9">
        <v>39065</v>
      </c>
      <c r="B1614">
        <v>5.3</v>
      </c>
      <c r="C1614">
        <v>5.0599999999999996</v>
      </c>
      <c r="D1614">
        <v>4.97</v>
      </c>
      <c r="E1614">
        <v>4.96</v>
      </c>
      <c r="F1614">
        <v>4.96</v>
      </c>
      <c r="G1614">
        <v>4.99</v>
      </c>
      <c r="H1614">
        <v>5.05</v>
      </c>
      <c r="I1614">
        <v>5.19</v>
      </c>
      <c r="K1614">
        <f t="shared" si="203"/>
        <v>1.9999999999999574</v>
      </c>
      <c r="L1614">
        <f t="shared" si="204"/>
        <v>4.0000000000000036</v>
      </c>
      <c r="M1614">
        <f t="shared" si="205"/>
        <v>2.9999999999999361</v>
      </c>
      <c r="N1614">
        <f t="shared" si="206"/>
        <v>4.0000000000000036</v>
      </c>
      <c r="O1614">
        <f t="shared" si="207"/>
        <v>3.0000000000000249</v>
      </c>
      <c r="P1614">
        <f t="shared" si="208"/>
        <v>3.0000000000000249</v>
      </c>
      <c r="Q1614">
        <f t="shared" si="209"/>
        <v>3.0000000000000249</v>
      </c>
      <c r="R1614">
        <f t="shared" si="210"/>
        <v>2.0000000000000462</v>
      </c>
    </row>
    <row r="1615" spans="1:18">
      <c r="A1615" s="9">
        <v>39066</v>
      </c>
      <c r="B1615">
        <v>5.26</v>
      </c>
      <c r="C1615">
        <v>5</v>
      </c>
      <c r="D1615">
        <v>4.91</v>
      </c>
      <c r="E1615">
        <v>4.8899999999999997</v>
      </c>
      <c r="F1615">
        <v>4.8899999999999997</v>
      </c>
      <c r="G1615">
        <v>4.93</v>
      </c>
      <c r="H1615">
        <v>5</v>
      </c>
      <c r="I1615">
        <v>5.15</v>
      </c>
      <c r="K1615">
        <f t="shared" si="203"/>
        <v>-4.0000000000000036</v>
      </c>
      <c r="L1615">
        <f t="shared" si="204"/>
        <v>-5.9999999999999609</v>
      </c>
      <c r="M1615">
        <f t="shared" si="205"/>
        <v>-5.9999999999999609</v>
      </c>
      <c r="N1615">
        <f t="shared" si="206"/>
        <v>-7.0000000000000284</v>
      </c>
      <c r="O1615">
        <f t="shared" si="207"/>
        <v>-7.0000000000000284</v>
      </c>
      <c r="P1615">
        <f t="shared" si="208"/>
        <v>-6.0000000000000497</v>
      </c>
      <c r="Q1615">
        <f t="shared" si="209"/>
        <v>-4.9999999999999822</v>
      </c>
      <c r="R1615">
        <f t="shared" si="210"/>
        <v>-4.0000000000000036</v>
      </c>
    </row>
    <row r="1616" spans="1:18">
      <c r="A1616" s="9">
        <v>39069</v>
      </c>
      <c r="B1616">
        <v>5.3</v>
      </c>
      <c r="C1616">
        <v>5.08</v>
      </c>
      <c r="D1616">
        <v>4.99</v>
      </c>
      <c r="E1616">
        <v>4.9800000000000004</v>
      </c>
      <c r="F1616">
        <v>4.99</v>
      </c>
      <c r="G1616">
        <v>5.0199999999999996</v>
      </c>
      <c r="H1616">
        <v>5.08</v>
      </c>
      <c r="I1616">
        <v>5.22</v>
      </c>
      <c r="K1616">
        <f t="shared" si="203"/>
        <v>4.0000000000000036</v>
      </c>
      <c r="L1616">
        <f t="shared" si="204"/>
        <v>8.0000000000000071</v>
      </c>
      <c r="M1616">
        <f t="shared" si="205"/>
        <v>8.0000000000000071</v>
      </c>
      <c r="N1616">
        <f t="shared" si="206"/>
        <v>9.0000000000000746</v>
      </c>
      <c r="O1616">
        <f t="shared" si="207"/>
        <v>10.000000000000053</v>
      </c>
      <c r="P1616">
        <f t="shared" si="208"/>
        <v>8.9999999999999858</v>
      </c>
      <c r="Q1616">
        <f t="shared" si="209"/>
        <v>8.0000000000000071</v>
      </c>
      <c r="R1616">
        <f t="shared" si="210"/>
        <v>6.9999999999999396</v>
      </c>
    </row>
    <row r="1617" spans="1:18">
      <c r="A1617" s="9">
        <v>39070</v>
      </c>
      <c r="B1617">
        <v>5.29</v>
      </c>
      <c r="C1617">
        <v>5.0599999999999996</v>
      </c>
      <c r="D1617">
        <v>4.9800000000000004</v>
      </c>
      <c r="E1617">
        <v>4.96</v>
      </c>
      <c r="F1617">
        <v>4.97</v>
      </c>
      <c r="G1617">
        <v>5.01</v>
      </c>
      <c r="H1617">
        <v>5.07</v>
      </c>
      <c r="I1617">
        <v>5.22</v>
      </c>
      <c r="K1617">
        <f t="shared" si="203"/>
        <v>-0.99999999999997868</v>
      </c>
      <c r="L1617">
        <f t="shared" si="204"/>
        <v>-2.0000000000000462</v>
      </c>
      <c r="M1617">
        <f t="shared" si="205"/>
        <v>-0.99999999999997868</v>
      </c>
      <c r="N1617">
        <f t="shared" si="206"/>
        <v>-2.0000000000000462</v>
      </c>
      <c r="O1617">
        <f t="shared" si="207"/>
        <v>-2.0000000000000462</v>
      </c>
      <c r="P1617">
        <f t="shared" si="208"/>
        <v>-0.99999999999997868</v>
      </c>
      <c r="Q1617">
        <f t="shared" si="209"/>
        <v>-0.99999999999997868</v>
      </c>
      <c r="R1617">
        <f t="shared" si="210"/>
        <v>0</v>
      </c>
    </row>
    <row r="1618" spans="1:18">
      <c r="A1618" s="9">
        <v>39071</v>
      </c>
      <c r="B1618">
        <v>5.3</v>
      </c>
      <c r="C1618">
        <v>5.08</v>
      </c>
      <c r="D1618">
        <v>5</v>
      </c>
      <c r="E1618">
        <v>4.99</v>
      </c>
      <c r="F1618">
        <v>5</v>
      </c>
      <c r="G1618">
        <v>5.03</v>
      </c>
      <c r="H1618">
        <v>5.09</v>
      </c>
      <c r="I1618">
        <v>5.24</v>
      </c>
      <c r="K1618">
        <f t="shared" si="203"/>
        <v>0.99999999999997868</v>
      </c>
      <c r="L1618">
        <f t="shared" si="204"/>
        <v>2.0000000000000462</v>
      </c>
      <c r="M1618">
        <f t="shared" si="205"/>
        <v>1.9999999999999574</v>
      </c>
      <c r="N1618">
        <f t="shared" si="206"/>
        <v>3.0000000000000249</v>
      </c>
      <c r="O1618">
        <f t="shared" si="207"/>
        <v>3.0000000000000249</v>
      </c>
      <c r="P1618">
        <f t="shared" si="208"/>
        <v>2.0000000000000462</v>
      </c>
      <c r="Q1618">
        <f t="shared" si="209"/>
        <v>1.9999999999999574</v>
      </c>
      <c r="R1618">
        <f t="shared" si="210"/>
        <v>2.0000000000000462</v>
      </c>
    </row>
    <row r="1619" spans="1:18">
      <c r="A1619" s="9">
        <v>39072</v>
      </c>
      <c r="B1619">
        <v>5.3</v>
      </c>
      <c r="C1619">
        <v>5.09</v>
      </c>
      <c r="D1619">
        <v>5.01</v>
      </c>
      <c r="E1619">
        <v>4.99</v>
      </c>
      <c r="F1619">
        <v>5</v>
      </c>
      <c r="G1619">
        <v>5.03</v>
      </c>
      <c r="H1619">
        <v>5.09</v>
      </c>
      <c r="I1619">
        <v>5.24</v>
      </c>
      <c r="K1619">
        <f t="shared" si="203"/>
        <v>0</v>
      </c>
      <c r="L1619">
        <f t="shared" si="204"/>
        <v>0.99999999999997868</v>
      </c>
      <c r="M1619">
        <f t="shared" si="205"/>
        <v>0.99999999999997868</v>
      </c>
      <c r="N1619">
        <f t="shared" si="206"/>
        <v>0</v>
      </c>
      <c r="O1619">
        <f t="shared" si="207"/>
        <v>0</v>
      </c>
      <c r="P1619">
        <f t="shared" si="208"/>
        <v>0</v>
      </c>
      <c r="Q1619">
        <f t="shared" si="209"/>
        <v>0</v>
      </c>
      <c r="R1619">
        <f t="shared" si="210"/>
        <v>0</v>
      </c>
    </row>
    <row r="1620" spans="1:18">
      <c r="A1620" s="9">
        <v>39073</v>
      </c>
      <c r="B1620">
        <v>5.3</v>
      </c>
      <c r="C1620">
        <v>5.08</v>
      </c>
      <c r="D1620">
        <v>5.01</v>
      </c>
      <c r="E1620">
        <v>4.99</v>
      </c>
      <c r="F1620">
        <v>5.01</v>
      </c>
      <c r="G1620">
        <v>5.04</v>
      </c>
      <c r="H1620">
        <v>5.1100000000000003</v>
      </c>
      <c r="I1620">
        <v>5.25</v>
      </c>
      <c r="K1620">
        <f t="shared" si="203"/>
        <v>0</v>
      </c>
      <c r="L1620">
        <f t="shared" si="204"/>
        <v>-0.99999999999997868</v>
      </c>
      <c r="M1620">
        <f t="shared" si="205"/>
        <v>0</v>
      </c>
      <c r="N1620">
        <f t="shared" si="206"/>
        <v>0</v>
      </c>
      <c r="O1620">
        <f t="shared" si="207"/>
        <v>0.99999999999997868</v>
      </c>
      <c r="P1620">
        <f t="shared" si="208"/>
        <v>0.99999999999997868</v>
      </c>
      <c r="Q1620">
        <f t="shared" si="209"/>
        <v>2.0000000000000462</v>
      </c>
      <c r="R1620">
        <f t="shared" si="210"/>
        <v>0.99999999999997868</v>
      </c>
    </row>
    <row r="1621" spans="1:18">
      <c r="A1621" s="9">
        <v>39077</v>
      </c>
      <c r="B1621">
        <v>5.29</v>
      </c>
      <c r="C1621">
        <v>5.0599999999999996</v>
      </c>
      <c r="D1621">
        <v>4.99</v>
      </c>
      <c r="E1621">
        <v>4.9800000000000004</v>
      </c>
      <c r="F1621">
        <v>4.99</v>
      </c>
      <c r="G1621">
        <v>5.03</v>
      </c>
      <c r="H1621">
        <v>5.09</v>
      </c>
      <c r="I1621">
        <v>5.23</v>
      </c>
      <c r="K1621">
        <f t="shared" si="203"/>
        <v>-0.99999999999997868</v>
      </c>
      <c r="L1621">
        <f t="shared" si="204"/>
        <v>-2.0000000000000462</v>
      </c>
      <c r="M1621">
        <f t="shared" si="205"/>
        <v>-1.9999999999999574</v>
      </c>
      <c r="N1621">
        <f t="shared" si="206"/>
        <v>-0.99999999999997868</v>
      </c>
      <c r="O1621">
        <f t="shared" si="207"/>
        <v>-1.9999999999999574</v>
      </c>
      <c r="P1621">
        <f t="shared" si="208"/>
        <v>-0.99999999999997868</v>
      </c>
      <c r="Q1621">
        <f t="shared" si="209"/>
        <v>-2.0000000000000462</v>
      </c>
      <c r="R1621">
        <f t="shared" si="210"/>
        <v>-1.9999999999999574</v>
      </c>
    </row>
    <row r="1622" spans="1:18">
      <c r="A1622" s="9">
        <v>39078</v>
      </c>
      <c r="B1622">
        <v>5.31</v>
      </c>
      <c r="C1622">
        <v>5.0999999999999996</v>
      </c>
      <c r="D1622">
        <v>5.03</v>
      </c>
      <c r="E1622">
        <v>5.0199999999999996</v>
      </c>
      <c r="F1622">
        <v>5.03</v>
      </c>
      <c r="G1622">
        <v>5.0599999999999996</v>
      </c>
      <c r="H1622">
        <v>5.12</v>
      </c>
      <c r="I1622">
        <v>5.26</v>
      </c>
      <c r="K1622">
        <f t="shared" si="203"/>
        <v>1.9999999999999574</v>
      </c>
      <c r="L1622">
        <f t="shared" si="204"/>
        <v>4.0000000000000036</v>
      </c>
      <c r="M1622">
        <f t="shared" si="205"/>
        <v>4.0000000000000036</v>
      </c>
      <c r="N1622">
        <f t="shared" si="206"/>
        <v>3.9999999999999147</v>
      </c>
      <c r="O1622">
        <f t="shared" si="207"/>
        <v>4.0000000000000036</v>
      </c>
      <c r="P1622">
        <f t="shared" si="208"/>
        <v>2.9999999999999361</v>
      </c>
      <c r="Q1622">
        <f t="shared" si="209"/>
        <v>3.0000000000000249</v>
      </c>
      <c r="R1622">
        <f t="shared" si="210"/>
        <v>2.9999999999999361</v>
      </c>
    </row>
    <row r="1623" spans="1:18">
      <c r="A1623" s="9">
        <v>39079</v>
      </c>
      <c r="B1623">
        <v>5.34</v>
      </c>
      <c r="C1623">
        <v>5.17</v>
      </c>
      <c r="D1623">
        <v>5.1100000000000003</v>
      </c>
      <c r="E1623">
        <v>5.0999999999999996</v>
      </c>
      <c r="F1623">
        <v>5.1100000000000003</v>
      </c>
      <c r="G1623">
        <v>5.14</v>
      </c>
      <c r="H1623">
        <v>5.19</v>
      </c>
      <c r="I1623">
        <v>5.33</v>
      </c>
      <c r="K1623">
        <f t="shared" si="203"/>
        <v>3.0000000000000249</v>
      </c>
      <c r="L1623">
        <f t="shared" si="204"/>
        <v>7.0000000000000284</v>
      </c>
      <c r="M1623">
        <f t="shared" si="205"/>
        <v>8.0000000000000071</v>
      </c>
      <c r="N1623">
        <f t="shared" si="206"/>
        <v>8.0000000000000071</v>
      </c>
      <c r="O1623">
        <f t="shared" si="207"/>
        <v>8.0000000000000071</v>
      </c>
      <c r="P1623">
        <f t="shared" si="208"/>
        <v>8.0000000000000071</v>
      </c>
      <c r="Q1623">
        <f t="shared" si="209"/>
        <v>7.0000000000000284</v>
      </c>
      <c r="R1623">
        <f t="shared" si="210"/>
        <v>7.0000000000000284</v>
      </c>
    </row>
    <row r="1624" spans="1:18">
      <c r="A1624" s="9">
        <v>39080</v>
      </c>
      <c r="B1624">
        <v>5.34</v>
      </c>
      <c r="C1624">
        <v>5.17</v>
      </c>
      <c r="D1624">
        <v>5.1100000000000003</v>
      </c>
      <c r="E1624">
        <v>5.09</v>
      </c>
      <c r="F1624">
        <v>5.0999999999999996</v>
      </c>
      <c r="G1624">
        <v>5.13</v>
      </c>
      <c r="H1624">
        <v>5.19</v>
      </c>
      <c r="I1624">
        <v>5.32</v>
      </c>
      <c r="K1624">
        <f t="shared" si="203"/>
        <v>0</v>
      </c>
      <c r="L1624">
        <f t="shared" si="204"/>
        <v>0</v>
      </c>
      <c r="M1624">
        <f t="shared" si="205"/>
        <v>0</v>
      </c>
      <c r="N1624">
        <f t="shared" si="206"/>
        <v>-0.99999999999997868</v>
      </c>
      <c r="O1624">
        <f t="shared" si="207"/>
        <v>-1.0000000000000675</v>
      </c>
      <c r="P1624">
        <f t="shared" si="208"/>
        <v>-0.99999999999997868</v>
      </c>
      <c r="Q1624">
        <f t="shared" si="209"/>
        <v>0</v>
      </c>
      <c r="R1624">
        <f t="shared" si="210"/>
        <v>-0.99999999999997868</v>
      </c>
    </row>
    <row r="1625" spans="1:18">
      <c r="A1625" s="9">
        <v>39084</v>
      </c>
      <c r="B1625">
        <v>5.33</v>
      </c>
      <c r="C1625">
        <v>5.15</v>
      </c>
      <c r="D1625">
        <v>5.09</v>
      </c>
      <c r="E1625">
        <v>5.08</v>
      </c>
      <c r="F1625">
        <v>5.09</v>
      </c>
      <c r="G1625">
        <v>5.12</v>
      </c>
      <c r="H1625">
        <v>5.17</v>
      </c>
      <c r="I1625">
        <v>5.3</v>
      </c>
      <c r="K1625">
        <f t="shared" si="203"/>
        <v>-0.99999999999997868</v>
      </c>
      <c r="L1625">
        <f t="shared" si="204"/>
        <v>-1.9999999999999574</v>
      </c>
      <c r="M1625">
        <f t="shared" si="205"/>
        <v>-2.0000000000000462</v>
      </c>
      <c r="N1625">
        <f t="shared" si="206"/>
        <v>-0.99999999999997868</v>
      </c>
      <c r="O1625">
        <f t="shared" si="207"/>
        <v>-0.99999999999997868</v>
      </c>
      <c r="P1625">
        <f t="shared" si="208"/>
        <v>-0.99999999999997868</v>
      </c>
      <c r="Q1625">
        <f t="shared" si="209"/>
        <v>-2.0000000000000462</v>
      </c>
      <c r="R1625">
        <f t="shared" si="210"/>
        <v>-2.0000000000000462</v>
      </c>
    </row>
    <row r="1626" spans="1:18">
      <c r="A1626" s="9">
        <v>39085</v>
      </c>
      <c r="B1626">
        <v>5.31</v>
      </c>
      <c r="C1626">
        <v>5.13</v>
      </c>
      <c r="D1626">
        <v>5.0599999999999996</v>
      </c>
      <c r="E1626">
        <v>5.05</v>
      </c>
      <c r="F1626">
        <v>5.0599999999999996</v>
      </c>
      <c r="G1626">
        <v>5.09</v>
      </c>
      <c r="H1626">
        <v>5.14</v>
      </c>
      <c r="I1626">
        <v>5.28</v>
      </c>
      <c r="K1626">
        <f t="shared" si="203"/>
        <v>-2.0000000000000462</v>
      </c>
      <c r="L1626">
        <f t="shared" si="204"/>
        <v>-2.0000000000000462</v>
      </c>
      <c r="M1626">
        <f t="shared" si="205"/>
        <v>-3.0000000000000249</v>
      </c>
      <c r="N1626">
        <f t="shared" si="206"/>
        <v>-3.0000000000000249</v>
      </c>
      <c r="O1626">
        <f t="shared" si="207"/>
        <v>-3.0000000000000249</v>
      </c>
      <c r="P1626">
        <f t="shared" si="208"/>
        <v>-3.0000000000000249</v>
      </c>
      <c r="Q1626">
        <f t="shared" si="209"/>
        <v>-3.0000000000000249</v>
      </c>
      <c r="R1626">
        <f t="shared" si="210"/>
        <v>-1.9999999999999574</v>
      </c>
    </row>
    <row r="1627" spans="1:18">
      <c r="A1627" s="9">
        <v>39086</v>
      </c>
      <c r="B1627">
        <v>5.27</v>
      </c>
      <c r="C1627">
        <v>5.07</v>
      </c>
      <c r="D1627">
        <v>5</v>
      </c>
      <c r="E1627">
        <v>4.99</v>
      </c>
      <c r="F1627">
        <v>5</v>
      </c>
      <c r="G1627">
        <v>5.03</v>
      </c>
      <c r="H1627">
        <v>5.09</v>
      </c>
      <c r="I1627">
        <v>5.22</v>
      </c>
      <c r="K1627">
        <f t="shared" si="203"/>
        <v>-4.0000000000000036</v>
      </c>
      <c r="L1627">
        <f t="shared" si="204"/>
        <v>-5.9999999999999609</v>
      </c>
      <c r="M1627">
        <f t="shared" si="205"/>
        <v>-5.9999999999999609</v>
      </c>
      <c r="N1627">
        <f t="shared" si="206"/>
        <v>-5.9999999999999609</v>
      </c>
      <c r="O1627">
        <f t="shared" si="207"/>
        <v>-5.9999999999999609</v>
      </c>
      <c r="P1627">
        <f t="shared" si="208"/>
        <v>-5.9999999999999609</v>
      </c>
      <c r="Q1627">
        <f t="shared" si="209"/>
        <v>-4.9999999999999822</v>
      </c>
      <c r="R1627">
        <f t="shared" si="210"/>
        <v>-6.0000000000000497</v>
      </c>
    </row>
    <row r="1628" spans="1:18">
      <c r="A1628" s="9">
        <v>39087</v>
      </c>
      <c r="B1628">
        <v>5.32</v>
      </c>
      <c r="C1628">
        <v>5.14</v>
      </c>
      <c r="D1628">
        <v>5.07</v>
      </c>
      <c r="E1628">
        <v>5.0599999999999996</v>
      </c>
      <c r="F1628">
        <v>5.0599999999999996</v>
      </c>
      <c r="G1628">
        <v>5.09</v>
      </c>
      <c r="H1628">
        <v>5.14</v>
      </c>
      <c r="I1628">
        <v>5.27</v>
      </c>
      <c r="K1628">
        <f t="shared" si="203"/>
        <v>5.0000000000000711</v>
      </c>
      <c r="L1628">
        <f t="shared" si="204"/>
        <v>6.9999999999999396</v>
      </c>
      <c r="M1628">
        <f t="shared" si="205"/>
        <v>7.0000000000000284</v>
      </c>
      <c r="N1628">
        <f t="shared" si="206"/>
        <v>6.9999999999999396</v>
      </c>
      <c r="O1628">
        <f t="shared" si="207"/>
        <v>5.9999999999999609</v>
      </c>
      <c r="P1628">
        <f t="shared" si="208"/>
        <v>5.9999999999999609</v>
      </c>
      <c r="Q1628">
        <f t="shared" si="209"/>
        <v>4.9999999999999822</v>
      </c>
      <c r="R1628">
        <f t="shared" si="210"/>
        <v>4.9999999999999822</v>
      </c>
    </row>
    <row r="1629" spans="1:18">
      <c r="A1629" s="9">
        <v>39090</v>
      </c>
      <c r="B1629">
        <v>5.32</v>
      </c>
      <c r="C1629">
        <v>5.13</v>
      </c>
      <c r="D1629">
        <v>5.05</v>
      </c>
      <c r="E1629">
        <v>5.04</v>
      </c>
      <c r="F1629">
        <v>5.05</v>
      </c>
      <c r="G1629">
        <v>5.07</v>
      </c>
      <c r="H1629">
        <v>5.12</v>
      </c>
      <c r="I1629">
        <v>5.25</v>
      </c>
      <c r="K1629">
        <f t="shared" si="203"/>
        <v>0</v>
      </c>
      <c r="L1629">
        <f t="shared" si="204"/>
        <v>-0.99999999999997868</v>
      </c>
      <c r="M1629">
        <f t="shared" si="205"/>
        <v>-2.0000000000000462</v>
      </c>
      <c r="N1629">
        <f t="shared" si="206"/>
        <v>-1.9999999999999574</v>
      </c>
      <c r="O1629">
        <f t="shared" si="207"/>
        <v>-0.99999999999997868</v>
      </c>
      <c r="P1629">
        <f t="shared" si="208"/>
        <v>-1.9999999999999574</v>
      </c>
      <c r="Q1629">
        <f t="shared" si="209"/>
        <v>-1.9999999999999574</v>
      </c>
      <c r="R1629">
        <f t="shared" si="210"/>
        <v>-1.9999999999999574</v>
      </c>
    </row>
    <row r="1630" spans="1:18">
      <c r="A1630" s="9">
        <v>39091</v>
      </c>
      <c r="B1630">
        <v>5.33</v>
      </c>
      <c r="C1630">
        <v>5.14</v>
      </c>
      <c r="D1630">
        <v>5.0599999999999996</v>
      </c>
      <c r="E1630">
        <v>5.05</v>
      </c>
      <c r="F1630">
        <v>5.0599999999999996</v>
      </c>
      <c r="G1630">
        <v>5.08</v>
      </c>
      <c r="H1630">
        <v>5.14</v>
      </c>
      <c r="I1630">
        <v>5.25</v>
      </c>
      <c r="K1630">
        <f t="shared" si="203"/>
        <v>0.99999999999997868</v>
      </c>
      <c r="L1630">
        <f t="shared" si="204"/>
        <v>0.99999999999997868</v>
      </c>
      <c r="M1630">
        <f t="shared" si="205"/>
        <v>0.99999999999997868</v>
      </c>
      <c r="N1630">
        <f t="shared" si="206"/>
        <v>0.99999999999997868</v>
      </c>
      <c r="O1630">
        <f t="shared" si="207"/>
        <v>0.99999999999997868</v>
      </c>
      <c r="P1630">
        <f t="shared" si="208"/>
        <v>0.99999999999997868</v>
      </c>
      <c r="Q1630">
        <f t="shared" si="209"/>
        <v>1.9999999999999574</v>
      </c>
      <c r="R1630">
        <f t="shared" si="210"/>
        <v>0</v>
      </c>
    </row>
    <row r="1631" spans="1:18">
      <c r="A1631" s="9">
        <v>39092</v>
      </c>
      <c r="B1631">
        <v>5.34</v>
      </c>
      <c r="C1631">
        <v>5.18</v>
      </c>
      <c r="D1631">
        <v>5.0999999999999996</v>
      </c>
      <c r="E1631">
        <v>5.08</v>
      </c>
      <c r="F1631">
        <v>5.09</v>
      </c>
      <c r="G1631">
        <v>5.12</v>
      </c>
      <c r="H1631">
        <v>5.17</v>
      </c>
      <c r="I1631">
        <v>5.3</v>
      </c>
      <c r="K1631">
        <f t="shared" si="203"/>
        <v>0.99999999999997868</v>
      </c>
      <c r="L1631">
        <f t="shared" si="204"/>
        <v>4.0000000000000036</v>
      </c>
      <c r="M1631">
        <f t="shared" si="205"/>
        <v>4.0000000000000036</v>
      </c>
      <c r="N1631">
        <f t="shared" si="206"/>
        <v>3.0000000000000249</v>
      </c>
      <c r="O1631">
        <f t="shared" si="207"/>
        <v>3.0000000000000249</v>
      </c>
      <c r="P1631">
        <f t="shared" si="208"/>
        <v>4.0000000000000036</v>
      </c>
      <c r="Q1631">
        <f t="shared" si="209"/>
        <v>3.0000000000000249</v>
      </c>
      <c r="R1631">
        <f t="shared" si="210"/>
        <v>4.9999999999999822</v>
      </c>
    </row>
    <row r="1632" spans="1:18">
      <c r="A1632" s="9">
        <v>39093</v>
      </c>
      <c r="B1632">
        <v>5.36</v>
      </c>
      <c r="C1632">
        <v>5.2</v>
      </c>
      <c r="D1632">
        <v>5.13</v>
      </c>
      <c r="E1632">
        <v>5.1100000000000003</v>
      </c>
      <c r="F1632">
        <v>5.12</v>
      </c>
      <c r="G1632">
        <v>5.16</v>
      </c>
      <c r="H1632">
        <v>5.21</v>
      </c>
      <c r="I1632">
        <v>5.33</v>
      </c>
      <c r="K1632">
        <f t="shared" si="203"/>
        <v>2.0000000000000462</v>
      </c>
      <c r="L1632">
        <f t="shared" si="204"/>
        <v>2.0000000000000462</v>
      </c>
      <c r="M1632">
        <f t="shared" si="205"/>
        <v>3.0000000000000249</v>
      </c>
      <c r="N1632">
        <f t="shared" si="206"/>
        <v>3.0000000000000249</v>
      </c>
      <c r="O1632">
        <f t="shared" si="207"/>
        <v>3.0000000000000249</v>
      </c>
      <c r="P1632">
        <f t="shared" si="208"/>
        <v>4.0000000000000036</v>
      </c>
      <c r="Q1632">
        <f t="shared" si="209"/>
        <v>4.0000000000000036</v>
      </c>
      <c r="R1632">
        <f t="shared" si="210"/>
        <v>3.0000000000000249</v>
      </c>
    </row>
    <row r="1633" spans="1:18">
      <c r="A1633" s="9">
        <v>39094</v>
      </c>
      <c r="B1633">
        <v>5.39</v>
      </c>
      <c r="C1633">
        <v>5.23</v>
      </c>
      <c r="D1633">
        <v>5.17</v>
      </c>
      <c r="E1633">
        <v>5.16</v>
      </c>
      <c r="F1633">
        <v>5.17</v>
      </c>
      <c r="G1633">
        <v>5.2</v>
      </c>
      <c r="H1633">
        <v>5.26</v>
      </c>
      <c r="I1633">
        <v>5.38</v>
      </c>
      <c r="K1633">
        <f t="shared" si="203"/>
        <v>2.9999999999999361</v>
      </c>
      <c r="L1633">
        <f t="shared" si="204"/>
        <v>3.0000000000000249</v>
      </c>
      <c r="M1633">
        <f t="shared" si="205"/>
        <v>4.0000000000000036</v>
      </c>
      <c r="N1633">
        <f t="shared" si="206"/>
        <v>4.9999999999999822</v>
      </c>
      <c r="O1633">
        <f t="shared" si="207"/>
        <v>4.9999999999999822</v>
      </c>
      <c r="P1633">
        <f t="shared" si="208"/>
        <v>4.0000000000000036</v>
      </c>
      <c r="Q1633">
        <f t="shared" si="209"/>
        <v>4.9999999999999822</v>
      </c>
      <c r="R1633">
        <f t="shared" si="210"/>
        <v>4.9999999999999822</v>
      </c>
    </row>
    <row r="1634" spans="1:18">
      <c r="A1634" s="9">
        <v>39098</v>
      </c>
      <c r="B1634">
        <v>5.38</v>
      </c>
      <c r="C1634">
        <v>5.22</v>
      </c>
      <c r="D1634">
        <v>5.16</v>
      </c>
      <c r="E1634">
        <v>5.15</v>
      </c>
      <c r="F1634">
        <v>5.16</v>
      </c>
      <c r="G1634">
        <v>5.19</v>
      </c>
      <c r="H1634">
        <v>5.24</v>
      </c>
      <c r="I1634">
        <v>5.38</v>
      </c>
      <c r="K1634">
        <f t="shared" si="203"/>
        <v>-0.99999999999997868</v>
      </c>
      <c r="L1634">
        <f t="shared" si="204"/>
        <v>-1.0000000000000675</v>
      </c>
      <c r="M1634">
        <f t="shared" si="205"/>
        <v>-0.99999999999997868</v>
      </c>
      <c r="N1634">
        <f t="shared" si="206"/>
        <v>-0.99999999999997868</v>
      </c>
      <c r="O1634">
        <f t="shared" si="207"/>
        <v>-0.99999999999997868</v>
      </c>
      <c r="P1634">
        <f t="shared" si="208"/>
        <v>-0.99999999999997868</v>
      </c>
      <c r="Q1634">
        <f t="shared" si="209"/>
        <v>-1.9999999999999574</v>
      </c>
      <c r="R1634">
        <f t="shared" si="210"/>
        <v>0</v>
      </c>
    </row>
    <row r="1635" spans="1:18">
      <c r="A1635" s="9">
        <v>39099</v>
      </c>
      <c r="B1635">
        <v>5.39</v>
      </c>
      <c r="C1635">
        <v>5.24</v>
      </c>
      <c r="D1635">
        <v>5.17</v>
      </c>
      <c r="E1635">
        <v>5.16</v>
      </c>
      <c r="F1635">
        <v>5.17</v>
      </c>
      <c r="G1635">
        <v>5.2</v>
      </c>
      <c r="H1635">
        <v>5.25</v>
      </c>
      <c r="I1635">
        <v>5.38</v>
      </c>
      <c r="K1635">
        <f t="shared" si="203"/>
        <v>0.99999999999997868</v>
      </c>
      <c r="L1635">
        <f t="shared" si="204"/>
        <v>2.0000000000000462</v>
      </c>
      <c r="M1635">
        <f t="shared" si="205"/>
        <v>0.99999999999997868</v>
      </c>
      <c r="N1635">
        <f t="shared" si="206"/>
        <v>0.99999999999997868</v>
      </c>
      <c r="O1635">
        <f t="shared" si="207"/>
        <v>0.99999999999997868</v>
      </c>
      <c r="P1635">
        <f t="shared" si="208"/>
        <v>0.99999999999997868</v>
      </c>
      <c r="Q1635">
        <f t="shared" si="209"/>
        <v>0.99999999999997868</v>
      </c>
      <c r="R1635">
        <f t="shared" si="210"/>
        <v>0</v>
      </c>
    </row>
    <row r="1636" spans="1:18">
      <c r="A1636" s="9">
        <v>39100</v>
      </c>
      <c r="B1636">
        <v>5.4</v>
      </c>
      <c r="C1636">
        <v>5.28</v>
      </c>
      <c r="D1636">
        <v>5.21</v>
      </c>
      <c r="E1636">
        <v>5.2</v>
      </c>
      <c r="F1636">
        <v>5.2</v>
      </c>
      <c r="G1636">
        <v>5.23</v>
      </c>
      <c r="H1636">
        <v>5.28</v>
      </c>
      <c r="I1636">
        <v>5.41</v>
      </c>
      <c r="K1636">
        <f t="shared" si="203"/>
        <v>1.0000000000000675</v>
      </c>
      <c r="L1636">
        <f t="shared" si="204"/>
        <v>4.0000000000000036</v>
      </c>
      <c r="M1636">
        <f t="shared" si="205"/>
        <v>4.0000000000000036</v>
      </c>
      <c r="N1636">
        <f t="shared" si="206"/>
        <v>4.0000000000000036</v>
      </c>
      <c r="O1636">
        <f t="shared" si="207"/>
        <v>3.0000000000000249</v>
      </c>
      <c r="P1636">
        <f t="shared" si="208"/>
        <v>3.0000000000000249</v>
      </c>
      <c r="Q1636">
        <f t="shared" si="209"/>
        <v>3.0000000000000249</v>
      </c>
      <c r="R1636">
        <f t="shared" si="210"/>
        <v>3.0000000000000249</v>
      </c>
    </row>
    <row r="1637" spans="1:18">
      <c r="A1637" s="9">
        <v>39101</v>
      </c>
      <c r="B1637">
        <v>5.4</v>
      </c>
      <c r="C1637">
        <v>5.27</v>
      </c>
      <c r="D1637">
        <v>5.2</v>
      </c>
      <c r="E1637">
        <v>5.18</v>
      </c>
      <c r="F1637">
        <v>5.19</v>
      </c>
      <c r="G1637">
        <v>5.22</v>
      </c>
      <c r="H1637">
        <v>5.27</v>
      </c>
      <c r="I1637">
        <v>5.4</v>
      </c>
      <c r="K1637">
        <f t="shared" si="203"/>
        <v>0</v>
      </c>
      <c r="L1637">
        <f t="shared" si="204"/>
        <v>-1.0000000000000675</v>
      </c>
      <c r="M1637">
        <f t="shared" si="205"/>
        <v>-0.99999999999997868</v>
      </c>
      <c r="N1637">
        <f t="shared" si="206"/>
        <v>-2.0000000000000462</v>
      </c>
      <c r="O1637">
        <f t="shared" si="207"/>
        <v>-0.99999999999997868</v>
      </c>
      <c r="P1637">
        <f t="shared" si="208"/>
        <v>-1.0000000000000675</v>
      </c>
      <c r="Q1637">
        <f t="shared" si="209"/>
        <v>-1.0000000000000675</v>
      </c>
      <c r="R1637">
        <f t="shared" si="210"/>
        <v>-0.99999999999997868</v>
      </c>
    </row>
    <row r="1638" spans="1:18">
      <c r="A1638" s="9">
        <v>39104</v>
      </c>
      <c r="B1638">
        <v>5.4</v>
      </c>
      <c r="C1638">
        <v>5.25</v>
      </c>
      <c r="D1638">
        <v>5.18</v>
      </c>
      <c r="E1638">
        <v>5.16</v>
      </c>
      <c r="F1638">
        <v>5.16</v>
      </c>
      <c r="G1638">
        <v>5.19</v>
      </c>
      <c r="H1638">
        <v>5.24</v>
      </c>
      <c r="I1638">
        <v>5.37</v>
      </c>
      <c r="K1638">
        <f t="shared" si="203"/>
        <v>0</v>
      </c>
      <c r="L1638">
        <f t="shared" si="204"/>
        <v>-1.9999999999999574</v>
      </c>
      <c r="M1638">
        <f t="shared" si="205"/>
        <v>-2.0000000000000462</v>
      </c>
      <c r="N1638">
        <f t="shared" si="206"/>
        <v>-1.9999999999999574</v>
      </c>
      <c r="O1638">
        <f t="shared" si="207"/>
        <v>-3.0000000000000249</v>
      </c>
      <c r="P1638">
        <f t="shared" si="208"/>
        <v>-2.9999999999999361</v>
      </c>
      <c r="Q1638">
        <f t="shared" si="209"/>
        <v>-2.9999999999999361</v>
      </c>
      <c r="R1638">
        <f t="shared" si="210"/>
        <v>-3.0000000000000249</v>
      </c>
    </row>
    <row r="1639" spans="1:18">
      <c r="A1639" s="9">
        <v>39105</v>
      </c>
      <c r="B1639">
        <v>5.41</v>
      </c>
      <c r="C1639">
        <v>5.27</v>
      </c>
      <c r="D1639">
        <v>5.2</v>
      </c>
      <c r="E1639">
        <v>5.18</v>
      </c>
      <c r="F1639">
        <v>5.19</v>
      </c>
      <c r="G1639">
        <v>5.21</v>
      </c>
      <c r="H1639">
        <v>5.26</v>
      </c>
      <c r="I1639">
        <v>5.39</v>
      </c>
      <c r="K1639">
        <f t="shared" si="203"/>
        <v>0.99999999999997868</v>
      </c>
      <c r="L1639">
        <f t="shared" si="204"/>
        <v>1.9999999999999574</v>
      </c>
      <c r="M1639">
        <f t="shared" si="205"/>
        <v>2.0000000000000462</v>
      </c>
      <c r="N1639">
        <f t="shared" si="206"/>
        <v>1.9999999999999574</v>
      </c>
      <c r="O1639">
        <f t="shared" si="207"/>
        <v>3.0000000000000249</v>
      </c>
      <c r="P1639">
        <f t="shared" si="208"/>
        <v>1.9999999999999574</v>
      </c>
      <c r="Q1639">
        <f t="shared" si="209"/>
        <v>1.9999999999999574</v>
      </c>
      <c r="R1639">
        <f t="shared" si="210"/>
        <v>1.9999999999999574</v>
      </c>
    </row>
    <row r="1640" spans="1:18">
      <c r="A1640" s="9">
        <v>39106</v>
      </c>
      <c r="B1640">
        <v>5.42</v>
      </c>
      <c r="C1640">
        <v>5.29</v>
      </c>
      <c r="D1640">
        <v>5.22</v>
      </c>
      <c r="E1640">
        <v>5.21</v>
      </c>
      <c r="F1640">
        <v>5.22</v>
      </c>
      <c r="G1640">
        <v>5.25</v>
      </c>
      <c r="H1640">
        <v>5.3</v>
      </c>
      <c r="I1640">
        <v>5.43</v>
      </c>
      <c r="K1640">
        <f t="shared" si="203"/>
        <v>0.99999999999997868</v>
      </c>
      <c r="L1640">
        <f t="shared" si="204"/>
        <v>2.0000000000000462</v>
      </c>
      <c r="M1640">
        <f t="shared" si="205"/>
        <v>1.9999999999999574</v>
      </c>
      <c r="N1640">
        <f t="shared" si="206"/>
        <v>3.0000000000000249</v>
      </c>
      <c r="O1640">
        <f t="shared" si="207"/>
        <v>2.9999999999999361</v>
      </c>
      <c r="P1640">
        <f t="shared" si="208"/>
        <v>4.0000000000000036</v>
      </c>
      <c r="Q1640">
        <f t="shared" si="209"/>
        <v>4.0000000000000036</v>
      </c>
      <c r="R1640">
        <f t="shared" si="210"/>
        <v>4.0000000000000036</v>
      </c>
    </row>
    <row r="1641" spans="1:18">
      <c r="A1641" s="9">
        <v>39107</v>
      </c>
      <c r="B1641">
        <v>5.43</v>
      </c>
      <c r="C1641">
        <v>5.31</v>
      </c>
      <c r="D1641">
        <v>5.25</v>
      </c>
      <c r="E1641">
        <v>5.24</v>
      </c>
      <c r="F1641">
        <v>5.25</v>
      </c>
      <c r="G1641">
        <v>5.28</v>
      </c>
      <c r="H1641">
        <v>5.33</v>
      </c>
      <c r="I1641">
        <v>5.46</v>
      </c>
      <c r="K1641">
        <f t="shared" si="203"/>
        <v>0.99999999999997868</v>
      </c>
      <c r="L1641">
        <f t="shared" si="204"/>
        <v>1.9999999999999574</v>
      </c>
      <c r="M1641">
        <f t="shared" si="205"/>
        <v>3.0000000000000249</v>
      </c>
      <c r="N1641">
        <f t="shared" si="206"/>
        <v>3.0000000000000249</v>
      </c>
      <c r="O1641">
        <f t="shared" si="207"/>
        <v>3.0000000000000249</v>
      </c>
      <c r="P1641">
        <f t="shared" si="208"/>
        <v>3.0000000000000249</v>
      </c>
      <c r="Q1641">
        <f t="shared" si="209"/>
        <v>3.0000000000000249</v>
      </c>
      <c r="R1641">
        <f t="shared" si="210"/>
        <v>3.0000000000000249</v>
      </c>
    </row>
    <row r="1642" spans="1:18">
      <c r="A1642" s="9">
        <v>39108</v>
      </c>
      <c r="B1642">
        <v>5.42</v>
      </c>
      <c r="C1642">
        <v>5.33</v>
      </c>
      <c r="D1642">
        <v>5.27</v>
      </c>
      <c r="E1642">
        <v>5.27</v>
      </c>
      <c r="F1642">
        <v>5.28</v>
      </c>
      <c r="G1642">
        <v>5.32</v>
      </c>
      <c r="H1642">
        <v>5.38</v>
      </c>
      <c r="I1642">
        <v>5.5</v>
      </c>
      <c r="K1642">
        <f t="shared" si="203"/>
        <v>-0.99999999999997868</v>
      </c>
      <c r="L1642">
        <f t="shared" si="204"/>
        <v>2.0000000000000462</v>
      </c>
      <c r="M1642">
        <f t="shared" si="205"/>
        <v>1.9999999999999574</v>
      </c>
      <c r="N1642">
        <f t="shared" si="206"/>
        <v>2.9999999999999361</v>
      </c>
      <c r="O1642">
        <f t="shared" si="207"/>
        <v>3.0000000000000249</v>
      </c>
      <c r="P1642">
        <f t="shared" si="208"/>
        <v>4.0000000000000036</v>
      </c>
      <c r="Q1642">
        <f t="shared" si="209"/>
        <v>4.9999999999999822</v>
      </c>
      <c r="R1642">
        <f t="shared" si="210"/>
        <v>4.0000000000000036</v>
      </c>
    </row>
    <row r="1643" spans="1:18">
      <c r="A1643" s="9">
        <v>39111</v>
      </c>
      <c r="B1643">
        <v>5.44</v>
      </c>
      <c r="C1643">
        <v>5.34</v>
      </c>
      <c r="D1643">
        <v>5.3</v>
      </c>
      <c r="E1643">
        <v>5.29</v>
      </c>
      <c r="F1643">
        <v>5.3</v>
      </c>
      <c r="G1643">
        <v>5.34</v>
      </c>
      <c r="H1643">
        <v>5.39</v>
      </c>
      <c r="I1643">
        <v>5.52</v>
      </c>
      <c r="K1643">
        <f t="shared" si="203"/>
        <v>2.0000000000000462</v>
      </c>
      <c r="L1643">
        <f t="shared" si="204"/>
        <v>0.99999999999997868</v>
      </c>
      <c r="M1643">
        <f t="shared" si="205"/>
        <v>3.0000000000000249</v>
      </c>
      <c r="N1643">
        <f t="shared" si="206"/>
        <v>2.0000000000000462</v>
      </c>
      <c r="O1643">
        <f t="shared" si="207"/>
        <v>1.9999999999999574</v>
      </c>
      <c r="P1643">
        <f t="shared" si="208"/>
        <v>1.9999999999999574</v>
      </c>
      <c r="Q1643">
        <f t="shared" si="209"/>
        <v>0.99999999999997868</v>
      </c>
      <c r="R1643">
        <f t="shared" si="210"/>
        <v>1.9999999999999574</v>
      </c>
    </row>
    <row r="1644" spans="1:18">
      <c r="A1644" s="9">
        <v>39112</v>
      </c>
      <c r="B1644">
        <v>5.44</v>
      </c>
      <c r="C1644">
        <v>5.34</v>
      </c>
      <c r="D1644">
        <v>5.3</v>
      </c>
      <c r="E1644">
        <v>5.3</v>
      </c>
      <c r="F1644">
        <v>5.31</v>
      </c>
      <c r="G1644">
        <v>5.35</v>
      </c>
      <c r="H1644">
        <v>5.4</v>
      </c>
      <c r="I1644">
        <v>5.53</v>
      </c>
      <c r="K1644">
        <f t="shared" si="203"/>
        <v>0</v>
      </c>
      <c r="L1644">
        <f t="shared" si="204"/>
        <v>0</v>
      </c>
      <c r="M1644">
        <f t="shared" si="205"/>
        <v>0</v>
      </c>
      <c r="N1644">
        <f t="shared" si="206"/>
        <v>0.99999999999997868</v>
      </c>
      <c r="O1644">
        <f t="shared" si="207"/>
        <v>0.99999999999997868</v>
      </c>
      <c r="P1644">
        <f t="shared" si="208"/>
        <v>0.99999999999997868</v>
      </c>
      <c r="Q1644">
        <f t="shared" si="209"/>
        <v>1.0000000000000675</v>
      </c>
      <c r="R1644">
        <f t="shared" si="210"/>
        <v>1.0000000000000675</v>
      </c>
    </row>
    <row r="1645" spans="1:18">
      <c r="A1645" s="9">
        <v>39113</v>
      </c>
      <c r="B1645">
        <v>5.43</v>
      </c>
      <c r="C1645">
        <v>5.33</v>
      </c>
      <c r="D1645">
        <v>5.28</v>
      </c>
      <c r="E1645">
        <v>5.28</v>
      </c>
      <c r="F1645">
        <v>5.29</v>
      </c>
      <c r="G1645">
        <v>5.32</v>
      </c>
      <c r="H1645">
        <v>5.38</v>
      </c>
      <c r="I1645">
        <v>5.51</v>
      </c>
      <c r="K1645">
        <f t="shared" si="203"/>
        <v>-1.0000000000000675</v>
      </c>
      <c r="L1645">
        <f t="shared" si="204"/>
        <v>-0.99999999999997868</v>
      </c>
      <c r="M1645">
        <f t="shared" si="205"/>
        <v>-1.9999999999999574</v>
      </c>
      <c r="N1645">
        <f t="shared" si="206"/>
        <v>-1.9999999999999574</v>
      </c>
      <c r="O1645">
        <f t="shared" si="207"/>
        <v>-1.9999999999999574</v>
      </c>
      <c r="P1645">
        <f t="shared" si="208"/>
        <v>-2.9999999999999361</v>
      </c>
      <c r="Q1645">
        <f t="shared" si="209"/>
        <v>-2.0000000000000462</v>
      </c>
      <c r="R1645">
        <f t="shared" si="210"/>
        <v>-2.0000000000000462</v>
      </c>
    </row>
    <row r="1646" spans="1:18">
      <c r="A1646" s="9">
        <v>39114</v>
      </c>
      <c r="B1646">
        <v>5.42</v>
      </c>
      <c r="C1646">
        <v>5.31</v>
      </c>
      <c r="D1646">
        <v>5.26</v>
      </c>
      <c r="E1646">
        <v>5.25</v>
      </c>
      <c r="F1646">
        <v>5.26</v>
      </c>
      <c r="G1646">
        <v>5.29</v>
      </c>
      <c r="H1646">
        <v>5.34</v>
      </c>
      <c r="I1646">
        <v>5.46</v>
      </c>
      <c r="K1646">
        <f t="shared" si="203"/>
        <v>-0.99999999999997868</v>
      </c>
      <c r="L1646">
        <f t="shared" si="204"/>
        <v>-2.0000000000000462</v>
      </c>
      <c r="M1646">
        <f t="shared" si="205"/>
        <v>-2.0000000000000462</v>
      </c>
      <c r="N1646">
        <f t="shared" si="206"/>
        <v>-3.0000000000000249</v>
      </c>
      <c r="O1646">
        <f t="shared" si="207"/>
        <v>-3.0000000000000249</v>
      </c>
      <c r="P1646">
        <f t="shared" si="208"/>
        <v>-3.0000000000000249</v>
      </c>
      <c r="Q1646">
        <f t="shared" si="209"/>
        <v>-4.0000000000000036</v>
      </c>
      <c r="R1646">
        <f t="shared" si="210"/>
        <v>-4.9999999999999822</v>
      </c>
    </row>
    <row r="1647" spans="1:18">
      <c r="A1647" s="9">
        <v>39115</v>
      </c>
      <c r="B1647">
        <v>5.41</v>
      </c>
      <c r="C1647">
        <v>5.28</v>
      </c>
      <c r="D1647">
        <v>5.23</v>
      </c>
      <c r="E1647">
        <v>5.22</v>
      </c>
      <c r="F1647">
        <v>5.22</v>
      </c>
      <c r="G1647">
        <v>5.26</v>
      </c>
      <c r="H1647">
        <v>5.31</v>
      </c>
      <c r="I1647">
        <v>5.44</v>
      </c>
      <c r="K1647">
        <f t="shared" si="203"/>
        <v>-0.99999999999997868</v>
      </c>
      <c r="L1647">
        <f t="shared" si="204"/>
        <v>-2.9999999999999361</v>
      </c>
      <c r="M1647">
        <f t="shared" si="205"/>
        <v>-2.9999999999999361</v>
      </c>
      <c r="N1647">
        <f t="shared" si="206"/>
        <v>-3.0000000000000249</v>
      </c>
      <c r="O1647">
        <f t="shared" si="207"/>
        <v>-4.0000000000000036</v>
      </c>
      <c r="P1647">
        <f t="shared" si="208"/>
        <v>-3.0000000000000249</v>
      </c>
      <c r="Q1647">
        <f t="shared" si="209"/>
        <v>-3.0000000000000249</v>
      </c>
      <c r="R1647">
        <f t="shared" si="210"/>
        <v>-1.9999999999999574</v>
      </c>
    </row>
    <row r="1648" spans="1:18">
      <c r="A1648" s="9">
        <v>39118</v>
      </c>
      <c r="B1648">
        <v>5.41</v>
      </c>
      <c r="C1648">
        <v>5.27</v>
      </c>
      <c r="D1648">
        <v>5.21</v>
      </c>
      <c r="E1648">
        <v>5.2</v>
      </c>
      <c r="F1648">
        <v>5.2</v>
      </c>
      <c r="G1648">
        <v>5.24</v>
      </c>
      <c r="H1648">
        <v>5.29</v>
      </c>
      <c r="I1648">
        <v>5.42</v>
      </c>
      <c r="K1648">
        <f t="shared" si="203"/>
        <v>0</v>
      </c>
      <c r="L1648">
        <f t="shared" si="204"/>
        <v>-1.0000000000000675</v>
      </c>
      <c r="M1648">
        <f t="shared" si="205"/>
        <v>-2.0000000000000462</v>
      </c>
      <c r="N1648">
        <f t="shared" si="206"/>
        <v>-1.9999999999999574</v>
      </c>
      <c r="O1648">
        <f t="shared" si="207"/>
        <v>-1.9999999999999574</v>
      </c>
      <c r="P1648">
        <f t="shared" si="208"/>
        <v>-1.9999999999999574</v>
      </c>
      <c r="Q1648">
        <f t="shared" si="209"/>
        <v>-1.9999999999999574</v>
      </c>
      <c r="R1648">
        <f t="shared" si="210"/>
        <v>-2.0000000000000462</v>
      </c>
    </row>
    <row r="1649" spans="1:18">
      <c r="A1649" s="9">
        <v>39119</v>
      </c>
      <c r="B1649">
        <v>5.41</v>
      </c>
      <c r="C1649">
        <v>5.27</v>
      </c>
      <c r="D1649">
        <v>5.21</v>
      </c>
      <c r="E1649">
        <v>5.2</v>
      </c>
      <c r="F1649">
        <v>5.21</v>
      </c>
      <c r="G1649">
        <v>5.24</v>
      </c>
      <c r="H1649">
        <v>5.29</v>
      </c>
      <c r="I1649">
        <v>5.42</v>
      </c>
      <c r="K1649">
        <f t="shared" si="203"/>
        <v>0</v>
      </c>
      <c r="L1649">
        <f t="shared" si="204"/>
        <v>0</v>
      </c>
      <c r="M1649">
        <f t="shared" si="205"/>
        <v>0</v>
      </c>
      <c r="N1649">
        <f t="shared" si="206"/>
        <v>0</v>
      </c>
      <c r="O1649">
        <f t="shared" si="207"/>
        <v>0.99999999999997868</v>
      </c>
      <c r="P1649">
        <f t="shared" si="208"/>
        <v>0</v>
      </c>
      <c r="Q1649">
        <f t="shared" si="209"/>
        <v>0</v>
      </c>
      <c r="R1649">
        <f t="shared" si="210"/>
        <v>0</v>
      </c>
    </row>
    <row r="1650" spans="1:18">
      <c r="A1650" s="9">
        <v>39120</v>
      </c>
      <c r="B1650">
        <v>5.4</v>
      </c>
      <c r="C1650">
        <v>5.24</v>
      </c>
      <c r="D1650">
        <v>5.16</v>
      </c>
      <c r="E1650">
        <v>5.15</v>
      </c>
      <c r="F1650">
        <v>5.15</v>
      </c>
      <c r="G1650">
        <v>5.18</v>
      </c>
      <c r="H1650">
        <v>5.24</v>
      </c>
      <c r="I1650">
        <v>5.37</v>
      </c>
      <c r="K1650">
        <f t="shared" si="203"/>
        <v>-0.99999999999997868</v>
      </c>
      <c r="L1650">
        <f t="shared" si="204"/>
        <v>-2.9999999999999361</v>
      </c>
      <c r="M1650">
        <f t="shared" si="205"/>
        <v>-4.9999999999999822</v>
      </c>
      <c r="N1650">
        <f t="shared" si="206"/>
        <v>-4.9999999999999822</v>
      </c>
      <c r="O1650">
        <f t="shared" si="207"/>
        <v>-5.9999999999999609</v>
      </c>
      <c r="P1650">
        <f t="shared" si="208"/>
        <v>-6.0000000000000497</v>
      </c>
      <c r="Q1650">
        <f t="shared" si="209"/>
        <v>-4.9999999999999822</v>
      </c>
      <c r="R1650">
        <f t="shared" si="210"/>
        <v>-4.9999999999999822</v>
      </c>
    </row>
    <row r="1651" spans="1:18">
      <c r="A1651" s="9">
        <v>39121</v>
      </c>
      <c r="B1651">
        <v>5.4</v>
      </c>
      <c r="C1651">
        <v>5.24</v>
      </c>
      <c r="D1651">
        <v>5.17</v>
      </c>
      <c r="E1651">
        <v>5.15</v>
      </c>
      <c r="F1651">
        <v>5.16</v>
      </c>
      <c r="G1651">
        <v>5.19</v>
      </c>
      <c r="H1651">
        <v>5.25</v>
      </c>
      <c r="I1651">
        <v>5.37</v>
      </c>
      <c r="K1651">
        <f t="shared" si="203"/>
        <v>0</v>
      </c>
      <c r="L1651">
        <f t="shared" si="204"/>
        <v>0</v>
      </c>
      <c r="M1651">
        <f t="shared" si="205"/>
        <v>0.99999999999997868</v>
      </c>
      <c r="N1651">
        <f t="shared" si="206"/>
        <v>0</v>
      </c>
      <c r="O1651">
        <f t="shared" si="207"/>
        <v>0.99999999999997868</v>
      </c>
      <c r="P1651">
        <f t="shared" si="208"/>
        <v>1.0000000000000675</v>
      </c>
      <c r="Q1651">
        <f t="shared" si="209"/>
        <v>0.99999999999997868</v>
      </c>
      <c r="R1651">
        <f t="shared" si="210"/>
        <v>0</v>
      </c>
    </row>
    <row r="1652" spans="1:18">
      <c r="A1652" s="9">
        <v>39122</v>
      </c>
      <c r="B1652">
        <v>5.41</v>
      </c>
      <c r="C1652">
        <v>5.27</v>
      </c>
      <c r="D1652">
        <v>5.2</v>
      </c>
      <c r="E1652">
        <v>5.19</v>
      </c>
      <c r="F1652">
        <v>5.2</v>
      </c>
      <c r="G1652">
        <v>5.24</v>
      </c>
      <c r="H1652">
        <v>5.29</v>
      </c>
      <c r="I1652">
        <v>5.43</v>
      </c>
      <c r="K1652">
        <f t="shared" si="203"/>
        <v>0.99999999999997868</v>
      </c>
      <c r="L1652">
        <f t="shared" si="204"/>
        <v>2.9999999999999361</v>
      </c>
      <c r="M1652">
        <f t="shared" si="205"/>
        <v>3.0000000000000249</v>
      </c>
      <c r="N1652">
        <f t="shared" si="206"/>
        <v>4.0000000000000036</v>
      </c>
      <c r="O1652">
        <f t="shared" si="207"/>
        <v>4.0000000000000036</v>
      </c>
      <c r="P1652">
        <f t="shared" si="208"/>
        <v>4.9999999999999822</v>
      </c>
      <c r="Q1652">
        <f t="shared" si="209"/>
        <v>4.0000000000000036</v>
      </c>
      <c r="R1652">
        <f t="shared" si="210"/>
        <v>5.9999999999999609</v>
      </c>
    </row>
    <row r="1653" spans="1:18">
      <c r="A1653" s="9">
        <v>39125</v>
      </c>
      <c r="B1653">
        <v>5.42</v>
      </c>
      <c r="C1653">
        <v>5.29</v>
      </c>
      <c r="D1653">
        <v>5.23</v>
      </c>
      <c r="E1653">
        <v>5.21</v>
      </c>
      <c r="F1653">
        <v>5.22</v>
      </c>
      <c r="G1653">
        <v>5.26</v>
      </c>
      <c r="H1653">
        <v>5.31</v>
      </c>
      <c r="I1653">
        <v>5.44</v>
      </c>
      <c r="K1653">
        <f t="shared" si="203"/>
        <v>0.99999999999997868</v>
      </c>
      <c r="L1653">
        <f t="shared" si="204"/>
        <v>2.0000000000000462</v>
      </c>
      <c r="M1653">
        <f t="shared" si="205"/>
        <v>3.0000000000000249</v>
      </c>
      <c r="N1653">
        <f t="shared" si="206"/>
        <v>1.9999999999999574</v>
      </c>
      <c r="O1653">
        <f t="shared" si="207"/>
        <v>1.9999999999999574</v>
      </c>
      <c r="P1653">
        <f t="shared" si="208"/>
        <v>1.9999999999999574</v>
      </c>
      <c r="Q1653">
        <f t="shared" si="209"/>
        <v>1.9999999999999574</v>
      </c>
      <c r="R1653">
        <f t="shared" si="210"/>
        <v>1.0000000000000675</v>
      </c>
    </row>
    <row r="1654" spans="1:18">
      <c r="A1654" s="9">
        <v>39126</v>
      </c>
      <c r="B1654">
        <v>5.43</v>
      </c>
      <c r="C1654">
        <v>5.3</v>
      </c>
      <c r="D1654">
        <v>5.24</v>
      </c>
      <c r="E1654">
        <v>5.23</v>
      </c>
      <c r="F1654">
        <v>5.24</v>
      </c>
      <c r="G1654">
        <v>5.27</v>
      </c>
      <c r="H1654">
        <v>5.33</v>
      </c>
      <c r="I1654">
        <v>5.46</v>
      </c>
      <c r="K1654">
        <f t="shared" si="203"/>
        <v>0.99999999999997868</v>
      </c>
      <c r="L1654">
        <f t="shared" si="204"/>
        <v>0.99999999999997868</v>
      </c>
      <c r="M1654">
        <f t="shared" si="205"/>
        <v>0.99999999999997868</v>
      </c>
      <c r="N1654">
        <f t="shared" si="206"/>
        <v>2.0000000000000462</v>
      </c>
      <c r="O1654">
        <f t="shared" si="207"/>
        <v>2.0000000000000462</v>
      </c>
      <c r="P1654">
        <f t="shared" si="208"/>
        <v>0.99999999999997868</v>
      </c>
      <c r="Q1654">
        <f t="shared" si="209"/>
        <v>2.0000000000000462</v>
      </c>
      <c r="R1654">
        <f t="shared" si="210"/>
        <v>1.9999999999999574</v>
      </c>
    </row>
    <row r="1655" spans="1:18">
      <c r="A1655" s="9">
        <v>39127</v>
      </c>
      <c r="B1655">
        <v>5.4</v>
      </c>
      <c r="C1655">
        <v>5.24</v>
      </c>
      <c r="D1655">
        <v>5.18</v>
      </c>
      <c r="E1655">
        <v>5.16</v>
      </c>
      <c r="F1655">
        <v>5.17</v>
      </c>
      <c r="G1655">
        <v>5.2</v>
      </c>
      <c r="H1655">
        <v>5.26</v>
      </c>
      <c r="I1655">
        <v>5.4</v>
      </c>
      <c r="K1655">
        <f t="shared" si="203"/>
        <v>-2.9999999999999361</v>
      </c>
      <c r="L1655">
        <f t="shared" si="204"/>
        <v>-5.9999999999999609</v>
      </c>
      <c r="M1655">
        <f t="shared" si="205"/>
        <v>-6.0000000000000497</v>
      </c>
      <c r="N1655">
        <f t="shared" si="206"/>
        <v>-7.0000000000000284</v>
      </c>
      <c r="O1655">
        <f t="shared" si="207"/>
        <v>-7.0000000000000284</v>
      </c>
      <c r="P1655">
        <f t="shared" si="208"/>
        <v>-6.9999999999999396</v>
      </c>
      <c r="Q1655">
        <f t="shared" si="209"/>
        <v>-7.0000000000000284</v>
      </c>
      <c r="R1655">
        <f t="shared" si="210"/>
        <v>-5.9999999999999609</v>
      </c>
    </row>
    <row r="1656" spans="1:18">
      <c r="A1656" s="9">
        <v>39128</v>
      </c>
      <c r="B1656">
        <v>5.37</v>
      </c>
      <c r="C1656">
        <v>5.18</v>
      </c>
      <c r="D1656">
        <v>5.1100000000000003</v>
      </c>
      <c r="E1656">
        <v>5.09</v>
      </c>
      <c r="F1656">
        <v>5.1100000000000003</v>
      </c>
      <c r="G1656">
        <v>5.14</v>
      </c>
      <c r="H1656">
        <v>5.2</v>
      </c>
      <c r="I1656">
        <v>5.34</v>
      </c>
      <c r="K1656">
        <f t="shared" si="203"/>
        <v>-3.0000000000000249</v>
      </c>
      <c r="L1656">
        <f t="shared" si="204"/>
        <v>-6.0000000000000497</v>
      </c>
      <c r="M1656">
        <f t="shared" si="205"/>
        <v>-6.9999999999999396</v>
      </c>
      <c r="N1656">
        <f t="shared" si="206"/>
        <v>-7.0000000000000284</v>
      </c>
      <c r="O1656">
        <f t="shared" si="207"/>
        <v>-5.9999999999999609</v>
      </c>
      <c r="P1656">
        <f t="shared" si="208"/>
        <v>-6.0000000000000497</v>
      </c>
      <c r="Q1656">
        <f t="shared" si="209"/>
        <v>-5.9999999999999609</v>
      </c>
      <c r="R1656">
        <f t="shared" si="210"/>
        <v>-6.0000000000000497</v>
      </c>
    </row>
    <row r="1657" spans="1:18">
      <c r="A1657" s="9">
        <v>39129</v>
      </c>
      <c r="B1657">
        <v>5.36</v>
      </c>
      <c r="C1657">
        <v>5.19</v>
      </c>
      <c r="D1657">
        <v>5.1100000000000003</v>
      </c>
      <c r="E1657">
        <v>5.0999999999999996</v>
      </c>
      <c r="F1657">
        <v>5.0999999999999996</v>
      </c>
      <c r="G1657">
        <v>5.14</v>
      </c>
      <c r="H1657">
        <v>5.2</v>
      </c>
      <c r="I1657">
        <v>5.33</v>
      </c>
      <c r="K1657">
        <f t="shared" si="203"/>
        <v>-0.99999999999997868</v>
      </c>
      <c r="L1657">
        <f t="shared" si="204"/>
        <v>1.0000000000000675</v>
      </c>
      <c r="M1657">
        <f t="shared" si="205"/>
        <v>0</v>
      </c>
      <c r="N1657">
        <f t="shared" si="206"/>
        <v>0.99999999999997868</v>
      </c>
      <c r="O1657">
        <f t="shared" si="207"/>
        <v>-1.0000000000000675</v>
      </c>
      <c r="P1657">
        <f t="shared" si="208"/>
        <v>0</v>
      </c>
      <c r="Q1657">
        <f t="shared" si="209"/>
        <v>0</v>
      </c>
      <c r="R1657">
        <f t="shared" si="210"/>
        <v>-0.99999999999997868</v>
      </c>
    </row>
    <row r="1658" spans="1:18">
      <c r="A1658" s="9">
        <v>39133</v>
      </c>
      <c r="B1658">
        <v>5.36</v>
      </c>
      <c r="C1658">
        <v>5.18</v>
      </c>
      <c r="D1658">
        <v>5.1100000000000003</v>
      </c>
      <c r="E1658">
        <v>5.09</v>
      </c>
      <c r="F1658">
        <v>5.0999999999999996</v>
      </c>
      <c r="G1658">
        <v>5.14</v>
      </c>
      <c r="H1658">
        <v>5.2</v>
      </c>
      <c r="I1658">
        <v>5.33</v>
      </c>
      <c r="K1658">
        <f t="shared" si="203"/>
        <v>0</v>
      </c>
      <c r="L1658">
        <f t="shared" si="204"/>
        <v>-1.0000000000000675</v>
      </c>
      <c r="M1658">
        <f t="shared" si="205"/>
        <v>0</v>
      </c>
      <c r="N1658">
        <f t="shared" si="206"/>
        <v>-0.99999999999997868</v>
      </c>
      <c r="O1658">
        <f t="shared" si="207"/>
        <v>0</v>
      </c>
      <c r="P1658">
        <f t="shared" si="208"/>
        <v>0</v>
      </c>
      <c r="Q1658">
        <f t="shared" si="209"/>
        <v>0</v>
      </c>
      <c r="R1658">
        <f t="shared" si="210"/>
        <v>0</v>
      </c>
    </row>
    <row r="1659" spans="1:18">
      <c r="A1659" s="9">
        <v>39134</v>
      </c>
      <c r="B1659">
        <v>5.38</v>
      </c>
      <c r="C1659">
        <v>5.2</v>
      </c>
      <c r="D1659">
        <v>5.12</v>
      </c>
      <c r="E1659">
        <v>5.1100000000000003</v>
      </c>
      <c r="F1659">
        <v>5.12</v>
      </c>
      <c r="G1659">
        <v>5.15</v>
      </c>
      <c r="H1659">
        <v>5.21</v>
      </c>
      <c r="I1659">
        <v>5.34</v>
      </c>
      <c r="K1659">
        <f t="shared" si="203"/>
        <v>1.9999999999999574</v>
      </c>
      <c r="L1659">
        <f t="shared" si="204"/>
        <v>2.0000000000000462</v>
      </c>
      <c r="M1659">
        <f t="shared" si="205"/>
        <v>0.99999999999997868</v>
      </c>
      <c r="N1659">
        <f t="shared" si="206"/>
        <v>2.0000000000000462</v>
      </c>
      <c r="O1659">
        <f t="shared" si="207"/>
        <v>2.0000000000000462</v>
      </c>
      <c r="P1659">
        <f t="shared" si="208"/>
        <v>1.0000000000000675</v>
      </c>
      <c r="Q1659">
        <f t="shared" si="209"/>
        <v>0.99999999999997868</v>
      </c>
      <c r="R1659">
        <f t="shared" si="210"/>
        <v>0.99999999999997868</v>
      </c>
    </row>
    <row r="1660" spans="1:18">
      <c r="A1660" s="9">
        <v>39135</v>
      </c>
      <c r="B1660">
        <v>5.39</v>
      </c>
      <c r="C1660">
        <v>5.22</v>
      </c>
      <c r="D1660">
        <v>5.15</v>
      </c>
      <c r="E1660">
        <v>5.14</v>
      </c>
      <c r="F1660">
        <v>5.15</v>
      </c>
      <c r="G1660">
        <v>5.18</v>
      </c>
      <c r="H1660">
        <v>5.24</v>
      </c>
      <c r="I1660">
        <v>5.37</v>
      </c>
      <c r="K1660">
        <f t="shared" si="203"/>
        <v>0.99999999999997868</v>
      </c>
      <c r="L1660">
        <f t="shared" si="204"/>
        <v>1.9999999999999574</v>
      </c>
      <c r="M1660">
        <f t="shared" si="205"/>
        <v>3.0000000000000249</v>
      </c>
      <c r="N1660">
        <f t="shared" si="206"/>
        <v>2.9999999999999361</v>
      </c>
      <c r="O1660">
        <f t="shared" si="207"/>
        <v>3.0000000000000249</v>
      </c>
      <c r="P1660">
        <f t="shared" si="208"/>
        <v>2.9999999999999361</v>
      </c>
      <c r="Q1660">
        <f t="shared" si="209"/>
        <v>3.0000000000000249</v>
      </c>
      <c r="R1660">
        <f t="shared" si="210"/>
        <v>3.0000000000000249</v>
      </c>
    </row>
    <row r="1661" spans="1:18">
      <c r="A1661" s="9">
        <v>39136</v>
      </c>
      <c r="B1661">
        <v>5.37</v>
      </c>
      <c r="C1661">
        <v>5.19</v>
      </c>
      <c r="D1661">
        <v>5.1100000000000003</v>
      </c>
      <c r="E1661">
        <v>5.0999999999999996</v>
      </c>
      <c r="F1661">
        <v>5.1100000000000003</v>
      </c>
      <c r="G1661">
        <v>5.14</v>
      </c>
      <c r="H1661">
        <v>5.2</v>
      </c>
      <c r="I1661">
        <v>5.34</v>
      </c>
      <c r="K1661">
        <f t="shared" si="203"/>
        <v>-1.9999999999999574</v>
      </c>
      <c r="L1661">
        <f t="shared" si="204"/>
        <v>-2.9999999999999361</v>
      </c>
      <c r="M1661">
        <f t="shared" si="205"/>
        <v>-4.0000000000000036</v>
      </c>
      <c r="N1661">
        <f t="shared" si="206"/>
        <v>-4.0000000000000036</v>
      </c>
      <c r="O1661">
        <f t="shared" si="207"/>
        <v>-4.0000000000000036</v>
      </c>
      <c r="P1661">
        <f t="shared" si="208"/>
        <v>-4.0000000000000036</v>
      </c>
      <c r="Q1661">
        <f t="shared" si="209"/>
        <v>-4.0000000000000036</v>
      </c>
      <c r="R1661">
        <f t="shared" si="210"/>
        <v>-3.0000000000000249</v>
      </c>
    </row>
    <row r="1662" spans="1:18">
      <c r="A1662" s="9">
        <v>39139</v>
      </c>
      <c r="B1662">
        <v>5.35</v>
      </c>
      <c r="C1662">
        <v>5.15</v>
      </c>
      <c r="D1662">
        <v>5.08</v>
      </c>
      <c r="E1662">
        <v>5.0599999999999996</v>
      </c>
      <c r="F1662">
        <v>5.07</v>
      </c>
      <c r="G1662">
        <v>5.1100000000000003</v>
      </c>
      <c r="H1662">
        <v>5.17</v>
      </c>
      <c r="I1662">
        <v>5.31</v>
      </c>
      <c r="K1662">
        <f t="shared" si="203"/>
        <v>-2.0000000000000462</v>
      </c>
      <c r="L1662">
        <f t="shared" si="204"/>
        <v>-4.0000000000000036</v>
      </c>
      <c r="M1662">
        <f t="shared" si="205"/>
        <v>-3.0000000000000249</v>
      </c>
      <c r="N1662">
        <f t="shared" si="206"/>
        <v>-4.0000000000000036</v>
      </c>
      <c r="O1662">
        <f t="shared" si="207"/>
        <v>-4.0000000000000036</v>
      </c>
      <c r="P1662">
        <f t="shared" si="208"/>
        <v>-2.9999999999999361</v>
      </c>
      <c r="Q1662">
        <f t="shared" si="209"/>
        <v>-3.0000000000000249</v>
      </c>
      <c r="R1662">
        <f t="shared" si="210"/>
        <v>-3.0000000000000249</v>
      </c>
    </row>
    <row r="1663" spans="1:18">
      <c r="A1663" s="9">
        <v>39140</v>
      </c>
      <c r="B1663">
        <v>5.31</v>
      </c>
      <c r="C1663">
        <v>5.09</v>
      </c>
      <c r="D1663">
        <v>5.01</v>
      </c>
      <c r="E1663">
        <v>5</v>
      </c>
      <c r="F1663">
        <v>5.01</v>
      </c>
      <c r="G1663">
        <v>5.05</v>
      </c>
      <c r="H1663">
        <v>5.1100000000000003</v>
      </c>
      <c r="I1663">
        <v>5.25</v>
      </c>
      <c r="K1663">
        <f t="shared" si="203"/>
        <v>-4.0000000000000036</v>
      </c>
      <c r="L1663">
        <f t="shared" si="204"/>
        <v>-6.0000000000000497</v>
      </c>
      <c r="M1663">
        <f t="shared" si="205"/>
        <v>-7.0000000000000284</v>
      </c>
      <c r="N1663">
        <f t="shared" si="206"/>
        <v>-5.9999999999999609</v>
      </c>
      <c r="O1663">
        <f t="shared" si="207"/>
        <v>-6.0000000000000497</v>
      </c>
      <c r="P1663">
        <f t="shared" si="208"/>
        <v>-6.0000000000000497</v>
      </c>
      <c r="Q1663">
        <f t="shared" si="209"/>
        <v>-5.9999999999999609</v>
      </c>
      <c r="R1663">
        <f t="shared" si="210"/>
        <v>-5.9999999999999609</v>
      </c>
    </row>
    <row r="1664" spans="1:18">
      <c r="A1664" s="9">
        <v>39141</v>
      </c>
      <c r="B1664">
        <v>5.27</v>
      </c>
      <c r="C1664">
        <v>5.05</v>
      </c>
      <c r="D1664">
        <v>4.99</v>
      </c>
      <c r="E1664">
        <v>4.9800000000000004</v>
      </c>
      <c r="F1664">
        <v>5</v>
      </c>
      <c r="G1664">
        <v>5.04</v>
      </c>
      <c r="H1664">
        <v>5.1100000000000003</v>
      </c>
      <c r="I1664">
        <v>5.25</v>
      </c>
      <c r="K1664">
        <f t="shared" si="203"/>
        <v>-4.0000000000000036</v>
      </c>
      <c r="L1664">
        <f t="shared" si="204"/>
        <v>-4.0000000000000036</v>
      </c>
      <c r="M1664">
        <f t="shared" si="205"/>
        <v>-1.9999999999999574</v>
      </c>
      <c r="N1664">
        <f t="shared" si="206"/>
        <v>-1.9999999999999574</v>
      </c>
      <c r="O1664">
        <f t="shared" si="207"/>
        <v>-0.99999999999997868</v>
      </c>
      <c r="P1664">
        <f t="shared" si="208"/>
        <v>-0.99999999999997868</v>
      </c>
      <c r="Q1664">
        <f t="shared" si="209"/>
        <v>0</v>
      </c>
      <c r="R1664">
        <f t="shared" si="210"/>
        <v>0</v>
      </c>
    </row>
    <row r="1665" spans="1:18">
      <c r="A1665" s="9">
        <v>39142</v>
      </c>
      <c r="B1665">
        <v>5.25</v>
      </c>
      <c r="C1665">
        <v>5.04</v>
      </c>
      <c r="D1665">
        <v>4.97</v>
      </c>
      <c r="E1665">
        <v>4.96</v>
      </c>
      <c r="F1665">
        <v>4.9800000000000004</v>
      </c>
      <c r="G1665">
        <v>5.03</v>
      </c>
      <c r="H1665">
        <v>5.0999999999999996</v>
      </c>
      <c r="I1665">
        <v>5.25</v>
      </c>
      <c r="K1665">
        <f t="shared" si="203"/>
        <v>-1.9999999999999574</v>
      </c>
      <c r="L1665">
        <f t="shared" si="204"/>
        <v>-0.99999999999997868</v>
      </c>
      <c r="M1665">
        <f t="shared" si="205"/>
        <v>-2.0000000000000462</v>
      </c>
      <c r="N1665">
        <f t="shared" si="206"/>
        <v>-2.0000000000000462</v>
      </c>
      <c r="O1665">
        <f t="shared" si="207"/>
        <v>-1.9999999999999574</v>
      </c>
      <c r="P1665">
        <f t="shared" si="208"/>
        <v>-0.99999999999997868</v>
      </c>
      <c r="Q1665">
        <f t="shared" si="209"/>
        <v>-1.0000000000000675</v>
      </c>
      <c r="R1665">
        <f t="shared" si="210"/>
        <v>0</v>
      </c>
    </row>
    <row r="1666" spans="1:18">
      <c r="A1666" s="9">
        <v>39143</v>
      </c>
      <c r="B1666">
        <v>5.22</v>
      </c>
      <c r="C1666">
        <v>5.01</v>
      </c>
      <c r="D1666">
        <v>4.95</v>
      </c>
      <c r="E1666">
        <v>4.95</v>
      </c>
      <c r="F1666">
        <v>4.97</v>
      </c>
      <c r="G1666">
        <v>5.0199999999999996</v>
      </c>
      <c r="H1666">
        <v>5.0999999999999996</v>
      </c>
      <c r="I1666">
        <v>5.25</v>
      </c>
      <c r="K1666">
        <f t="shared" si="203"/>
        <v>-3.0000000000000249</v>
      </c>
      <c r="L1666">
        <f t="shared" si="204"/>
        <v>-3.0000000000000249</v>
      </c>
      <c r="M1666">
        <f t="shared" si="205"/>
        <v>-1.9999999999999574</v>
      </c>
      <c r="N1666">
        <f t="shared" si="206"/>
        <v>-0.99999999999997868</v>
      </c>
      <c r="O1666">
        <f t="shared" si="207"/>
        <v>-1.0000000000000675</v>
      </c>
      <c r="P1666">
        <f t="shared" si="208"/>
        <v>-1.0000000000000675</v>
      </c>
      <c r="Q1666">
        <f t="shared" si="209"/>
        <v>0</v>
      </c>
      <c r="R1666">
        <f t="shared" si="210"/>
        <v>0</v>
      </c>
    </row>
    <row r="1667" spans="1:18">
      <c r="A1667" s="9">
        <v>39146</v>
      </c>
      <c r="B1667">
        <v>5.18</v>
      </c>
      <c r="C1667">
        <v>4.97</v>
      </c>
      <c r="D1667">
        <v>4.91</v>
      </c>
      <c r="E1667">
        <v>4.92</v>
      </c>
      <c r="F1667">
        <v>4.9400000000000004</v>
      </c>
      <c r="G1667">
        <v>4.99</v>
      </c>
      <c r="H1667">
        <v>5.08</v>
      </c>
      <c r="I1667">
        <v>5.23</v>
      </c>
      <c r="K1667">
        <f t="shared" si="203"/>
        <v>-4.0000000000000036</v>
      </c>
      <c r="L1667">
        <f t="shared" si="204"/>
        <v>-4.0000000000000036</v>
      </c>
      <c r="M1667">
        <f t="shared" si="205"/>
        <v>-4.0000000000000036</v>
      </c>
      <c r="N1667">
        <f t="shared" si="206"/>
        <v>-3.0000000000000249</v>
      </c>
      <c r="O1667">
        <f t="shared" si="207"/>
        <v>-2.9999999999999361</v>
      </c>
      <c r="P1667">
        <f t="shared" si="208"/>
        <v>-2.9999999999999361</v>
      </c>
      <c r="Q1667">
        <f t="shared" si="209"/>
        <v>-1.9999999999999574</v>
      </c>
      <c r="R1667">
        <f t="shared" si="210"/>
        <v>-1.9999999999999574</v>
      </c>
    </row>
    <row r="1668" spans="1:18">
      <c r="A1668" s="9">
        <v>39147</v>
      </c>
      <c r="B1668">
        <v>5.17</v>
      </c>
      <c r="C1668">
        <v>4.96</v>
      </c>
      <c r="D1668">
        <v>4.9000000000000004</v>
      </c>
      <c r="E1668">
        <v>4.9000000000000004</v>
      </c>
      <c r="F1668">
        <v>4.93</v>
      </c>
      <c r="G1668">
        <v>4.9800000000000004</v>
      </c>
      <c r="H1668">
        <v>5.0599999999999996</v>
      </c>
      <c r="I1668">
        <v>5.21</v>
      </c>
      <c r="K1668">
        <f t="shared" si="203"/>
        <v>-0.99999999999997868</v>
      </c>
      <c r="L1668">
        <f t="shared" si="204"/>
        <v>-0.99999999999997868</v>
      </c>
      <c r="M1668">
        <f t="shared" si="205"/>
        <v>-0.99999999999997868</v>
      </c>
      <c r="N1668">
        <f t="shared" si="206"/>
        <v>-1.9999999999999574</v>
      </c>
      <c r="O1668">
        <f t="shared" si="207"/>
        <v>-1.0000000000000675</v>
      </c>
      <c r="P1668">
        <f t="shared" si="208"/>
        <v>-0.99999999999997868</v>
      </c>
      <c r="Q1668">
        <f t="shared" si="209"/>
        <v>-2.0000000000000462</v>
      </c>
      <c r="R1668">
        <f t="shared" si="210"/>
        <v>-2.0000000000000462</v>
      </c>
    </row>
    <row r="1669" spans="1:18">
      <c r="A1669" s="9">
        <v>39148</v>
      </c>
      <c r="B1669">
        <v>5.18</v>
      </c>
      <c r="C1669">
        <v>4.97</v>
      </c>
      <c r="D1669">
        <v>4.91</v>
      </c>
      <c r="E1669">
        <v>4.91</v>
      </c>
      <c r="F1669">
        <v>4.93</v>
      </c>
      <c r="G1669">
        <v>4.9800000000000004</v>
      </c>
      <c r="H1669">
        <v>5.05</v>
      </c>
      <c r="I1669">
        <v>5.21</v>
      </c>
      <c r="K1669">
        <f t="shared" ref="K1669:K1732" si="211">(B1669-B1668)*100</f>
        <v>0.99999999999997868</v>
      </c>
      <c r="L1669">
        <f t="shared" ref="L1669:L1732" si="212">(C1669-C1668)*100</f>
        <v>0.99999999999997868</v>
      </c>
      <c r="M1669">
        <f t="shared" ref="M1669:M1732" si="213">(D1669-D1668)*100</f>
        <v>0.99999999999997868</v>
      </c>
      <c r="N1669">
        <f t="shared" ref="N1669:N1732" si="214">(E1669-E1668)*100</f>
        <v>0.99999999999997868</v>
      </c>
      <c r="O1669">
        <f t="shared" ref="O1669:O1732" si="215">(F1669-F1668)*100</f>
        <v>0</v>
      </c>
      <c r="P1669">
        <f t="shared" ref="P1669:P1732" si="216">(G1669-G1668)*100</f>
        <v>0</v>
      </c>
      <c r="Q1669">
        <f t="shared" ref="Q1669:Q1732" si="217">(H1669-H1668)*100</f>
        <v>-0.99999999999997868</v>
      </c>
      <c r="R1669">
        <f t="shared" ref="R1669:R1732" si="218">(I1669-I1668)*100</f>
        <v>0</v>
      </c>
    </row>
    <row r="1670" spans="1:18">
      <c r="A1670" s="9">
        <v>39149</v>
      </c>
      <c r="B1670">
        <v>5.19</v>
      </c>
      <c r="C1670">
        <v>4.9800000000000004</v>
      </c>
      <c r="D1670">
        <v>4.91</v>
      </c>
      <c r="E1670">
        <v>4.91</v>
      </c>
      <c r="F1670">
        <v>4.93</v>
      </c>
      <c r="G1670">
        <v>4.9800000000000004</v>
      </c>
      <c r="H1670">
        <v>5.05</v>
      </c>
      <c r="I1670">
        <v>5.21</v>
      </c>
      <c r="K1670">
        <f t="shared" si="211"/>
        <v>1.0000000000000675</v>
      </c>
      <c r="L1670">
        <f t="shared" si="212"/>
        <v>1.0000000000000675</v>
      </c>
      <c r="M1670">
        <f t="shared" si="213"/>
        <v>0</v>
      </c>
      <c r="N1670">
        <f t="shared" si="214"/>
        <v>0</v>
      </c>
      <c r="O1670">
        <f t="shared" si="215"/>
        <v>0</v>
      </c>
      <c r="P1670">
        <f t="shared" si="216"/>
        <v>0</v>
      </c>
      <c r="Q1670">
        <f t="shared" si="217"/>
        <v>0</v>
      </c>
      <c r="R1670">
        <f t="shared" si="218"/>
        <v>0</v>
      </c>
    </row>
    <row r="1671" spans="1:18">
      <c r="A1671" s="9">
        <v>39150</v>
      </c>
      <c r="B1671">
        <v>5.27</v>
      </c>
      <c r="C1671">
        <v>5.05</v>
      </c>
      <c r="D1671">
        <v>4.99</v>
      </c>
      <c r="E1671">
        <v>4.9800000000000004</v>
      </c>
      <c r="F1671">
        <v>5</v>
      </c>
      <c r="G1671">
        <v>5.05</v>
      </c>
      <c r="H1671">
        <v>5.12</v>
      </c>
      <c r="I1671">
        <v>5.27</v>
      </c>
      <c r="K1671">
        <f t="shared" si="211"/>
        <v>7.9999999999999183</v>
      </c>
      <c r="L1671">
        <f t="shared" si="212"/>
        <v>6.9999999999999396</v>
      </c>
      <c r="M1671">
        <f t="shared" si="213"/>
        <v>8.0000000000000071</v>
      </c>
      <c r="N1671">
        <f t="shared" si="214"/>
        <v>7.0000000000000284</v>
      </c>
      <c r="O1671">
        <f t="shared" si="215"/>
        <v>7.0000000000000284</v>
      </c>
      <c r="P1671">
        <f t="shared" si="216"/>
        <v>6.9999999999999396</v>
      </c>
      <c r="Q1671">
        <f t="shared" si="217"/>
        <v>7.0000000000000284</v>
      </c>
      <c r="R1671">
        <f t="shared" si="218"/>
        <v>5.9999999999999609</v>
      </c>
    </row>
    <row r="1672" spans="1:18">
      <c r="A1672" s="9">
        <v>39153</v>
      </c>
      <c r="B1672">
        <v>5.25</v>
      </c>
      <c r="C1672">
        <v>5.03</v>
      </c>
      <c r="D1672">
        <v>4.96</v>
      </c>
      <c r="E1672">
        <v>4.95</v>
      </c>
      <c r="F1672">
        <v>4.97</v>
      </c>
      <c r="G1672">
        <v>5.0199999999999996</v>
      </c>
      <c r="H1672">
        <v>5.09</v>
      </c>
      <c r="I1672">
        <v>5.26</v>
      </c>
      <c r="K1672">
        <f t="shared" si="211"/>
        <v>-1.9999999999999574</v>
      </c>
      <c r="L1672">
        <f t="shared" si="212"/>
        <v>-1.9999999999999574</v>
      </c>
      <c r="M1672">
        <f t="shared" si="213"/>
        <v>-3.0000000000000249</v>
      </c>
      <c r="N1672">
        <f t="shared" si="214"/>
        <v>-3.0000000000000249</v>
      </c>
      <c r="O1672">
        <f t="shared" si="215"/>
        <v>-3.0000000000000249</v>
      </c>
      <c r="P1672">
        <f t="shared" si="216"/>
        <v>-3.0000000000000249</v>
      </c>
      <c r="Q1672">
        <f t="shared" si="217"/>
        <v>-3.0000000000000249</v>
      </c>
      <c r="R1672">
        <f t="shared" si="218"/>
        <v>-0.99999999999997868</v>
      </c>
    </row>
    <row r="1673" spans="1:18">
      <c r="A1673" s="9">
        <v>39154</v>
      </c>
      <c r="B1673">
        <v>5.23</v>
      </c>
      <c r="C1673">
        <v>4.99</v>
      </c>
      <c r="D1673">
        <v>4.92</v>
      </c>
      <c r="E1673">
        <v>4.92</v>
      </c>
      <c r="F1673">
        <v>4.9400000000000004</v>
      </c>
      <c r="G1673">
        <v>5</v>
      </c>
      <c r="H1673">
        <v>5.08</v>
      </c>
      <c r="I1673">
        <v>5.24</v>
      </c>
      <c r="K1673">
        <f t="shared" si="211"/>
        <v>-1.9999999999999574</v>
      </c>
      <c r="L1673">
        <f t="shared" si="212"/>
        <v>-4.0000000000000036</v>
      </c>
      <c r="M1673">
        <f t="shared" si="213"/>
        <v>-4.0000000000000036</v>
      </c>
      <c r="N1673">
        <f t="shared" si="214"/>
        <v>-3.0000000000000249</v>
      </c>
      <c r="O1673">
        <f t="shared" si="215"/>
        <v>-2.9999999999999361</v>
      </c>
      <c r="P1673">
        <f t="shared" si="216"/>
        <v>-1.9999999999999574</v>
      </c>
      <c r="Q1673">
        <f t="shared" si="217"/>
        <v>-0.99999999999997868</v>
      </c>
      <c r="R1673">
        <f t="shared" si="218"/>
        <v>-1.9999999999999574</v>
      </c>
    </row>
    <row r="1674" spans="1:18">
      <c r="A1674" s="9">
        <v>39155</v>
      </c>
      <c r="B1674">
        <v>5.19</v>
      </c>
      <c r="C1674">
        <v>4.95</v>
      </c>
      <c r="D1674">
        <v>4.88</v>
      </c>
      <c r="E1674">
        <v>4.87</v>
      </c>
      <c r="F1674">
        <v>4.9000000000000004</v>
      </c>
      <c r="G1674">
        <v>4.95</v>
      </c>
      <c r="H1674">
        <v>5.04</v>
      </c>
      <c r="I1674">
        <v>5.22</v>
      </c>
      <c r="K1674">
        <f t="shared" si="211"/>
        <v>-4.0000000000000036</v>
      </c>
      <c r="L1674">
        <f t="shared" si="212"/>
        <v>-4.0000000000000036</v>
      </c>
      <c r="M1674">
        <f t="shared" si="213"/>
        <v>-4.0000000000000036</v>
      </c>
      <c r="N1674">
        <f t="shared" si="214"/>
        <v>-4.9999999999999822</v>
      </c>
      <c r="O1674">
        <f t="shared" si="215"/>
        <v>-4.0000000000000036</v>
      </c>
      <c r="P1674">
        <f t="shared" si="216"/>
        <v>-4.9999999999999822</v>
      </c>
      <c r="Q1674">
        <f t="shared" si="217"/>
        <v>-4.0000000000000036</v>
      </c>
      <c r="R1674">
        <f t="shared" si="218"/>
        <v>-2.0000000000000462</v>
      </c>
    </row>
    <row r="1675" spans="1:18">
      <c r="A1675" s="9">
        <v>39156</v>
      </c>
      <c r="B1675">
        <v>5.22</v>
      </c>
      <c r="C1675">
        <v>4.97</v>
      </c>
      <c r="D1675">
        <v>4.91</v>
      </c>
      <c r="E1675">
        <v>4.91</v>
      </c>
      <c r="F1675">
        <v>4.93</v>
      </c>
      <c r="G1675">
        <v>4.9800000000000004</v>
      </c>
      <c r="H1675">
        <v>5.08</v>
      </c>
      <c r="I1675">
        <v>5.25</v>
      </c>
      <c r="K1675">
        <f t="shared" si="211"/>
        <v>2.9999999999999361</v>
      </c>
      <c r="L1675">
        <f t="shared" si="212"/>
        <v>1.9999999999999574</v>
      </c>
      <c r="M1675">
        <f t="shared" si="213"/>
        <v>3.0000000000000249</v>
      </c>
      <c r="N1675">
        <f t="shared" si="214"/>
        <v>4.0000000000000036</v>
      </c>
      <c r="O1675">
        <f t="shared" si="215"/>
        <v>2.9999999999999361</v>
      </c>
      <c r="P1675">
        <f t="shared" si="216"/>
        <v>3.0000000000000249</v>
      </c>
      <c r="Q1675">
        <f t="shared" si="217"/>
        <v>4.0000000000000036</v>
      </c>
      <c r="R1675">
        <f t="shared" si="218"/>
        <v>3.0000000000000249</v>
      </c>
    </row>
    <row r="1676" spans="1:18">
      <c r="A1676" s="9">
        <v>39157</v>
      </c>
      <c r="B1676">
        <v>5.25</v>
      </c>
      <c r="C1676">
        <v>5</v>
      </c>
      <c r="D1676">
        <v>4.9400000000000004</v>
      </c>
      <c r="E1676">
        <v>4.93</v>
      </c>
      <c r="F1676">
        <v>4.95</v>
      </c>
      <c r="G1676">
        <v>5</v>
      </c>
      <c r="H1676">
        <v>5.09</v>
      </c>
      <c r="I1676">
        <v>5.26</v>
      </c>
      <c r="K1676">
        <f t="shared" si="211"/>
        <v>3.0000000000000249</v>
      </c>
      <c r="L1676">
        <f t="shared" si="212"/>
        <v>3.0000000000000249</v>
      </c>
      <c r="M1676">
        <f t="shared" si="213"/>
        <v>3.0000000000000249</v>
      </c>
      <c r="N1676">
        <f t="shared" si="214"/>
        <v>1.9999999999999574</v>
      </c>
      <c r="O1676">
        <f t="shared" si="215"/>
        <v>2.0000000000000462</v>
      </c>
      <c r="P1676">
        <f t="shared" si="216"/>
        <v>1.9999999999999574</v>
      </c>
      <c r="Q1676">
        <f t="shared" si="217"/>
        <v>0.99999999999997868</v>
      </c>
      <c r="R1676">
        <f t="shared" si="218"/>
        <v>0.99999999999997868</v>
      </c>
    </row>
    <row r="1677" spans="1:18">
      <c r="A1677" s="9">
        <v>39160</v>
      </c>
      <c r="B1677">
        <v>5.27</v>
      </c>
      <c r="C1677">
        <v>5.03</v>
      </c>
      <c r="D1677">
        <v>4.96</v>
      </c>
      <c r="E1677">
        <v>4.96</v>
      </c>
      <c r="F1677">
        <v>4.9800000000000004</v>
      </c>
      <c r="G1677">
        <v>5.03</v>
      </c>
      <c r="H1677">
        <v>5.0999999999999996</v>
      </c>
      <c r="I1677">
        <v>5.27</v>
      </c>
      <c r="K1677">
        <f t="shared" si="211"/>
        <v>1.9999999999999574</v>
      </c>
      <c r="L1677">
        <f t="shared" si="212"/>
        <v>3.0000000000000249</v>
      </c>
      <c r="M1677">
        <f t="shared" si="213"/>
        <v>1.9999999999999574</v>
      </c>
      <c r="N1677">
        <f t="shared" si="214"/>
        <v>3.0000000000000249</v>
      </c>
      <c r="O1677">
        <f t="shared" si="215"/>
        <v>3.0000000000000249</v>
      </c>
      <c r="P1677">
        <f t="shared" si="216"/>
        <v>3.0000000000000249</v>
      </c>
      <c r="Q1677">
        <f t="shared" si="217"/>
        <v>0.99999999999997868</v>
      </c>
      <c r="R1677">
        <f t="shared" si="218"/>
        <v>0.99999999999997868</v>
      </c>
    </row>
    <row r="1678" spans="1:18">
      <c r="A1678" s="9">
        <v>39161</v>
      </c>
      <c r="B1678">
        <v>5.25</v>
      </c>
      <c r="C1678">
        <v>5</v>
      </c>
      <c r="D1678">
        <v>4.92</v>
      </c>
      <c r="E1678">
        <v>4.92</v>
      </c>
      <c r="F1678">
        <v>4.9400000000000004</v>
      </c>
      <c r="G1678">
        <v>4.99</v>
      </c>
      <c r="H1678">
        <v>5.08</v>
      </c>
      <c r="I1678">
        <v>5.25</v>
      </c>
      <c r="K1678">
        <f t="shared" si="211"/>
        <v>-1.9999999999999574</v>
      </c>
      <c r="L1678">
        <f t="shared" si="212"/>
        <v>-3.0000000000000249</v>
      </c>
      <c r="M1678">
        <f t="shared" si="213"/>
        <v>-4.0000000000000036</v>
      </c>
      <c r="N1678">
        <f t="shared" si="214"/>
        <v>-4.0000000000000036</v>
      </c>
      <c r="O1678">
        <f t="shared" si="215"/>
        <v>-4.0000000000000036</v>
      </c>
      <c r="P1678">
        <f t="shared" si="216"/>
        <v>-4.0000000000000036</v>
      </c>
      <c r="Q1678">
        <f t="shared" si="217"/>
        <v>-1.9999999999999574</v>
      </c>
      <c r="R1678">
        <f t="shared" si="218"/>
        <v>-1.9999999999999574</v>
      </c>
    </row>
    <row r="1679" spans="1:18">
      <c r="A1679" s="9">
        <v>39162</v>
      </c>
      <c r="B1679">
        <v>5.26</v>
      </c>
      <c r="C1679">
        <v>5.0199999999999996</v>
      </c>
      <c r="D1679">
        <v>4.95</v>
      </c>
      <c r="E1679">
        <v>4.95</v>
      </c>
      <c r="F1679">
        <v>4.97</v>
      </c>
      <c r="G1679">
        <v>5.0199999999999996</v>
      </c>
      <c r="H1679">
        <v>5.1100000000000003</v>
      </c>
      <c r="I1679">
        <v>5.29</v>
      </c>
      <c r="K1679">
        <f t="shared" si="211"/>
        <v>0.99999999999997868</v>
      </c>
      <c r="L1679">
        <f t="shared" si="212"/>
        <v>1.9999999999999574</v>
      </c>
      <c r="M1679">
        <f t="shared" si="213"/>
        <v>3.0000000000000249</v>
      </c>
      <c r="N1679">
        <f t="shared" si="214"/>
        <v>3.0000000000000249</v>
      </c>
      <c r="O1679">
        <f t="shared" si="215"/>
        <v>2.9999999999999361</v>
      </c>
      <c r="P1679">
        <f t="shared" si="216"/>
        <v>2.9999999999999361</v>
      </c>
      <c r="Q1679">
        <f t="shared" si="217"/>
        <v>3.0000000000000249</v>
      </c>
      <c r="R1679">
        <f t="shared" si="218"/>
        <v>4.0000000000000036</v>
      </c>
    </row>
    <row r="1680" spans="1:18">
      <c r="A1680" s="9">
        <v>39163</v>
      </c>
      <c r="B1680">
        <v>5.21</v>
      </c>
      <c r="C1680">
        <v>4.9400000000000004</v>
      </c>
      <c r="D1680">
        <v>4.87</v>
      </c>
      <c r="E1680">
        <v>4.87</v>
      </c>
      <c r="F1680">
        <v>4.9000000000000004</v>
      </c>
      <c r="G1680">
        <v>4.97</v>
      </c>
      <c r="H1680">
        <v>5.08</v>
      </c>
      <c r="I1680">
        <v>5.29</v>
      </c>
      <c r="K1680">
        <f t="shared" si="211"/>
        <v>-4.9999999999999822</v>
      </c>
      <c r="L1680">
        <f t="shared" si="212"/>
        <v>-7.9999999999999183</v>
      </c>
      <c r="M1680">
        <f t="shared" si="213"/>
        <v>-8.0000000000000071</v>
      </c>
      <c r="N1680">
        <f t="shared" si="214"/>
        <v>-8.0000000000000071</v>
      </c>
      <c r="O1680">
        <f t="shared" si="215"/>
        <v>-6.9999999999999396</v>
      </c>
      <c r="P1680">
        <f t="shared" si="216"/>
        <v>-4.9999999999999822</v>
      </c>
      <c r="Q1680">
        <f t="shared" si="217"/>
        <v>-3.0000000000000249</v>
      </c>
      <c r="R1680">
        <f t="shared" si="218"/>
        <v>0</v>
      </c>
    </row>
    <row r="1681" spans="1:18">
      <c r="A1681" s="9">
        <v>39164</v>
      </c>
      <c r="B1681">
        <v>5.24</v>
      </c>
      <c r="C1681">
        <v>4.99</v>
      </c>
      <c r="D1681">
        <v>4.92</v>
      </c>
      <c r="E1681">
        <v>4.93</v>
      </c>
      <c r="F1681">
        <v>4.95</v>
      </c>
      <c r="G1681">
        <v>5.0199999999999996</v>
      </c>
      <c r="H1681">
        <v>5.12</v>
      </c>
      <c r="I1681">
        <v>5.33</v>
      </c>
      <c r="K1681">
        <f t="shared" si="211"/>
        <v>3.0000000000000249</v>
      </c>
      <c r="L1681">
        <f t="shared" si="212"/>
        <v>4.9999999999999822</v>
      </c>
      <c r="M1681">
        <f t="shared" si="213"/>
        <v>4.9999999999999822</v>
      </c>
      <c r="N1681">
        <f t="shared" si="214"/>
        <v>5.9999999999999609</v>
      </c>
      <c r="O1681">
        <f t="shared" si="215"/>
        <v>4.9999999999999822</v>
      </c>
      <c r="P1681">
        <f t="shared" si="216"/>
        <v>4.9999999999999822</v>
      </c>
      <c r="Q1681">
        <f t="shared" si="217"/>
        <v>4.0000000000000036</v>
      </c>
      <c r="R1681">
        <f t="shared" si="218"/>
        <v>4.0000000000000036</v>
      </c>
    </row>
    <row r="1682" spans="1:18">
      <c r="A1682" s="9">
        <v>39167</v>
      </c>
      <c r="B1682">
        <v>5.22</v>
      </c>
      <c r="C1682">
        <v>4.96</v>
      </c>
      <c r="D1682">
        <v>4.8899999999999997</v>
      </c>
      <c r="E1682">
        <v>4.9000000000000004</v>
      </c>
      <c r="F1682">
        <v>4.92</v>
      </c>
      <c r="G1682">
        <v>5</v>
      </c>
      <c r="H1682">
        <v>5.0999999999999996</v>
      </c>
      <c r="I1682">
        <v>5.31</v>
      </c>
      <c r="K1682">
        <f t="shared" si="211"/>
        <v>-2.0000000000000462</v>
      </c>
      <c r="L1682">
        <f t="shared" si="212"/>
        <v>-3.0000000000000249</v>
      </c>
      <c r="M1682">
        <f t="shared" si="213"/>
        <v>-3.0000000000000249</v>
      </c>
      <c r="N1682">
        <f t="shared" si="214"/>
        <v>-2.9999999999999361</v>
      </c>
      <c r="O1682">
        <f t="shared" si="215"/>
        <v>-3.0000000000000249</v>
      </c>
      <c r="P1682">
        <f t="shared" si="216"/>
        <v>-1.9999999999999574</v>
      </c>
      <c r="Q1682">
        <f t="shared" si="217"/>
        <v>-2.0000000000000462</v>
      </c>
      <c r="R1682">
        <f t="shared" si="218"/>
        <v>-2.0000000000000462</v>
      </c>
    </row>
    <row r="1683" spans="1:18">
      <c r="A1683" s="9">
        <v>39168</v>
      </c>
      <c r="B1683">
        <v>5.23</v>
      </c>
      <c r="C1683">
        <v>4.97</v>
      </c>
      <c r="D1683">
        <v>4.91</v>
      </c>
      <c r="E1683">
        <v>4.92</v>
      </c>
      <c r="F1683">
        <v>4.95</v>
      </c>
      <c r="G1683">
        <v>5.03</v>
      </c>
      <c r="H1683">
        <v>5.14</v>
      </c>
      <c r="I1683">
        <v>5.36</v>
      </c>
      <c r="K1683">
        <f t="shared" si="211"/>
        <v>1.0000000000000675</v>
      </c>
      <c r="L1683">
        <f t="shared" si="212"/>
        <v>0.99999999999997868</v>
      </c>
      <c r="M1683">
        <f t="shared" si="213"/>
        <v>2.0000000000000462</v>
      </c>
      <c r="N1683">
        <f t="shared" si="214"/>
        <v>1.9999999999999574</v>
      </c>
      <c r="O1683">
        <f t="shared" si="215"/>
        <v>3.0000000000000249</v>
      </c>
      <c r="P1683">
        <f t="shared" si="216"/>
        <v>3.0000000000000249</v>
      </c>
      <c r="Q1683">
        <f t="shared" si="217"/>
        <v>4.0000000000000036</v>
      </c>
      <c r="R1683">
        <f t="shared" si="218"/>
        <v>5.0000000000000711</v>
      </c>
    </row>
    <row r="1684" spans="1:18">
      <c r="A1684" s="9">
        <v>39169</v>
      </c>
      <c r="B1684">
        <v>5.2</v>
      </c>
      <c r="C1684">
        <v>4.92</v>
      </c>
      <c r="D1684">
        <v>4.8499999999999996</v>
      </c>
      <c r="E1684">
        <v>4.87</v>
      </c>
      <c r="F1684">
        <v>4.9000000000000004</v>
      </c>
      <c r="G1684">
        <v>4.99</v>
      </c>
      <c r="H1684">
        <v>5.0999999999999996</v>
      </c>
      <c r="I1684">
        <v>5.34</v>
      </c>
      <c r="K1684">
        <f t="shared" si="211"/>
        <v>-3.0000000000000249</v>
      </c>
      <c r="L1684">
        <f t="shared" si="212"/>
        <v>-4.9999999999999822</v>
      </c>
      <c r="M1684">
        <f t="shared" si="213"/>
        <v>-6.0000000000000497</v>
      </c>
      <c r="N1684">
        <f t="shared" si="214"/>
        <v>-4.9999999999999822</v>
      </c>
      <c r="O1684">
        <f t="shared" si="215"/>
        <v>-4.9999999999999822</v>
      </c>
      <c r="P1684">
        <f t="shared" si="216"/>
        <v>-4.0000000000000036</v>
      </c>
      <c r="Q1684">
        <f t="shared" si="217"/>
        <v>-4.0000000000000036</v>
      </c>
      <c r="R1684">
        <f t="shared" si="218"/>
        <v>-2.0000000000000462</v>
      </c>
    </row>
    <row r="1685" spans="1:18">
      <c r="A1685" s="9">
        <v>39170</v>
      </c>
      <c r="B1685">
        <v>5.23</v>
      </c>
      <c r="C1685">
        <v>4.99</v>
      </c>
      <c r="D1685">
        <v>4.93</v>
      </c>
      <c r="E1685">
        <v>4.9400000000000004</v>
      </c>
      <c r="F1685">
        <v>4.97</v>
      </c>
      <c r="G1685">
        <v>5.05</v>
      </c>
      <c r="H1685">
        <v>5.16</v>
      </c>
      <c r="I1685">
        <v>5.38</v>
      </c>
      <c r="K1685">
        <f t="shared" si="211"/>
        <v>3.0000000000000249</v>
      </c>
      <c r="L1685">
        <f t="shared" si="212"/>
        <v>7.0000000000000284</v>
      </c>
      <c r="M1685">
        <f t="shared" si="213"/>
        <v>8.0000000000000071</v>
      </c>
      <c r="N1685">
        <f t="shared" si="214"/>
        <v>7.0000000000000284</v>
      </c>
      <c r="O1685">
        <f t="shared" si="215"/>
        <v>6.9999999999999396</v>
      </c>
      <c r="P1685">
        <f t="shared" si="216"/>
        <v>5.9999999999999609</v>
      </c>
      <c r="Q1685">
        <f t="shared" si="217"/>
        <v>6.0000000000000497</v>
      </c>
      <c r="R1685">
        <f t="shared" si="218"/>
        <v>4.0000000000000036</v>
      </c>
    </row>
    <row r="1686" spans="1:18">
      <c r="A1686" s="9">
        <v>39171</v>
      </c>
      <c r="B1686">
        <v>5.25</v>
      </c>
      <c r="C1686">
        <v>5.03</v>
      </c>
      <c r="D1686">
        <v>4.9800000000000004</v>
      </c>
      <c r="E1686">
        <v>4.99</v>
      </c>
      <c r="F1686">
        <v>5.0199999999999996</v>
      </c>
      <c r="G1686">
        <v>5.08</v>
      </c>
      <c r="H1686">
        <v>5.19</v>
      </c>
      <c r="I1686">
        <v>5.4</v>
      </c>
      <c r="K1686">
        <f t="shared" si="211"/>
        <v>1.9999999999999574</v>
      </c>
      <c r="L1686">
        <f t="shared" si="212"/>
        <v>4.0000000000000036</v>
      </c>
      <c r="M1686">
        <f t="shared" si="213"/>
        <v>5.0000000000000711</v>
      </c>
      <c r="N1686">
        <f t="shared" si="214"/>
        <v>4.9999999999999822</v>
      </c>
      <c r="O1686">
        <f t="shared" si="215"/>
        <v>4.9999999999999822</v>
      </c>
      <c r="P1686">
        <f t="shared" si="216"/>
        <v>3.0000000000000249</v>
      </c>
      <c r="Q1686">
        <f t="shared" si="217"/>
        <v>3.0000000000000249</v>
      </c>
      <c r="R1686">
        <f t="shared" si="218"/>
        <v>2.0000000000000462</v>
      </c>
    </row>
    <row r="1687" spans="1:18">
      <c r="A1687" s="9">
        <v>39174</v>
      </c>
      <c r="B1687">
        <v>5.24</v>
      </c>
      <c r="C1687">
        <v>5</v>
      </c>
      <c r="D1687">
        <v>4.96</v>
      </c>
      <c r="E1687">
        <v>4.97</v>
      </c>
      <c r="F1687">
        <v>5</v>
      </c>
      <c r="G1687">
        <v>5.07</v>
      </c>
      <c r="H1687">
        <v>5.18</v>
      </c>
      <c r="I1687">
        <v>5.39</v>
      </c>
      <c r="K1687">
        <f t="shared" si="211"/>
        <v>-0.99999999999997868</v>
      </c>
      <c r="L1687">
        <f t="shared" si="212"/>
        <v>-3.0000000000000249</v>
      </c>
      <c r="M1687">
        <f t="shared" si="213"/>
        <v>-2.0000000000000462</v>
      </c>
      <c r="N1687">
        <f t="shared" si="214"/>
        <v>-2.0000000000000462</v>
      </c>
      <c r="O1687">
        <f t="shared" si="215"/>
        <v>-1.9999999999999574</v>
      </c>
      <c r="P1687">
        <f t="shared" si="216"/>
        <v>-0.99999999999997868</v>
      </c>
      <c r="Q1687">
        <f t="shared" si="217"/>
        <v>-1.0000000000000675</v>
      </c>
      <c r="R1687">
        <f t="shared" si="218"/>
        <v>-1.0000000000000675</v>
      </c>
    </row>
    <row r="1688" spans="1:18">
      <c r="A1688" s="9">
        <v>39175</v>
      </c>
      <c r="B1688">
        <v>5.26</v>
      </c>
      <c r="C1688">
        <v>5.03</v>
      </c>
      <c r="D1688">
        <v>4.9800000000000004</v>
      </c>
      <c r="E1688">
        <v>4.99</v>
      </c>
      <c r="F1688">
        <v>5.0199999999999996</v>
      </c>
      <c r="G1688">
        <v>5.09</v>
      </c>
      <c r="H1688">
        <v>5.19</v>
      </c>
      <c r="I1688">
        <v>5.39</v>
      </c>
      <c r="K1688">
        <f t="shared" si="211"/>
        <v>1.9999999999999574</v>
      </c>
      <c r="L1688">
        <f t="shared" si="212"/>
        <v>3.0000000000000249</v>
      </c>
      <c r="M1688">
        <f t="shared" si="213"/>
        <v>2.0000000000000462</v>
      </c>
      <c r="N1688">
        <f t="shared" si="214"/>
        <v>2.0000000000000462</v>
      </c>
      <c r="O1688">
        <f t="shared" si="215"/>
        <v>1.9999999999999574</v>
      </c>
      <c r="P1688">
        <f t="shared" si="216"/>
        <v>1.9999999999999574</v>
      </c>
      <c r="Q1688">
        <f t="shared" si="217"/>
        <v>1.0000000000000675</v>
      </c>
      <c r="R1688">
        <f t="shared" si="218"/>
        <v>0</v>
      </c>
    </row>
    <row r="1689" spans="1:18">
      <c r="A1689" s="9">
        <v>39176</v>
      </c>
      <c r="B1689">
        <v>5.24</v>
      </c>
      <c r="C1689">
        <v>5</v>
      </c>
      <c r="D1689">
        <v>4.9400000000000004</v>
      </c>
      <c r="E1689">
        <v>4.96</v>
      </c>
      <c r="F1689">
        <v>4.99</v>
      </c>
      <c r="G1689">
        <v>5.0599999999999996</v>
      </c>
      <c r="H1689">
        <v>5.17</v>
      </c>
      <c r="I1689">
        <v>5.38</v>
      </c>
      <c r="K1689">
        <f t="shared" si="211"/>
        <v>-1.9999999999999574</v>
      </c>
      <c r="L1689">
        <f t="shared" si="212"/>
        <v>-3.0000000000000249</v>
      </c>
      <c r="M1689">
        <f t="shared" si="213"/>
        <v>-4.0000000000000036</v>
      </c>
      <c r="N1689">
        <f t="shared" si="214"/>
        <v>-3.0000000000000249</v>
      </c>
      <c r="O1689">
        <f t="shared" si="215"/>
        <v>-2.9999999999999361</v>
      </c>
      <c r="P1689">
        <f t="shared" si="216"/>
        <v>-3.0000000000000249</v>
      </c>
      <c r="Q1689">
        <f t="shared" si="217"/>
        <v>-2.0000000000000462</v>
      </c>
      <c r="R1689">
        <f t="shared" si="218"/>
        <v>-0.99999999999997868</v>
      </c>
    </row>
    <row r="1690" spans="1:18">
      <c r="A1690" s="9">
        <v>39177</v>
      </c>
      <c r="B1690">
        <v>5.25</v>
      </c>
      <c r="C1690">
        <v>5.0199999999999996</v>
      </c>
      <c r="D1690">
        <v>4.97</v>
      </c>
      <c r="E1690">
        <v>4.99</v>
      </c>
      <c r="F1690">
        <v>5.0199999999999996</v>
      </c>
      <c r="G1690">
        <v>5.09</v>
      </c>
      <c r="H1690">
        <v>5.19</v>
      </c>
      <c r="I1690">
        <v>5.4</v>
      </c>
      <c r="K1690">
        <f t="shared" si="211"/>
        <v>0.99999999999997868</v>
      </c>
      <c r="L1690">
        <f t="shared" si="212"/>
        <v>1.9999999999999574</v>
      </c>
      <c r="M1690">
        <f t="shared" si="213"/>
        <v>2.9999999999999361</v>
      </c>
      <c r="N1690">
        <f t="shared" si="214"/>
        <v>3.0000000000000249</v>
      </c>
      <c r="O1690">
        <f t="shared" si="215"/>
        <v>2.9999999999999361</v>
      </c>
      <c r="P1690">
        <f t="shared" si="216"/>
        <v>3.0000000000000249</v>
      </c>
      <c r="Q1690">
        <f t="shared" si="217"/>
        <v>2.0000000000000462</v>
      </c>
      <c r="R1690">
        <f t="shared" si="218"/>
        <v>2.0000000000000462</v>
      </c>
    </row>
    <row r="1691" spans="1:18">
      <c r="A1691" s="9">
        <v>39178</v>
      </c>
      <c r="B1691">
        <v>5.34</v>
      </c>
      <c r="C1691">
        <v>5.14</v>
      </c>
      <c r="D1691">
        <v>5.09</v>
      </c>
      <c r="E1691">
        <v>5.1100000000000003</v>
      </c>
      <c r="F1691">
        <v>5.13</v>
      </c>
      <c r="G1691">
        <v>5.2</v>
      </c>
      <c r="H1691">
        <v>5.29</v>
      </c>
      <c r="I1691">
        <v>5.49</v>
      </c>
      <c r="K1691">
        <f t="shared" si="211"/>
        <v>8.9999999999999858</v>
      </c>
      <c r="L1691">
        <f t="shared" si="212"/>
        <v>12.000000000000011</v>
      </c>
      <c r="M1691">
        <f t="shared" si="213"/>
        <v>12.000000000000011</v>
      </c>
      <c r="N1691">
        <f t="shared" si="214"/>
        <v>12.000000000000011</v>
      </c>
      <c r="O1691">
        <f t="shared" si="215"/>
        <v>11.000000000000032</v>
      </c>
      <c r="P1691">
        <f t="shared" si="216"/>
        <v>11.000000000000032</v>
      </c>
      <c r="Q1691">
        <f t="shared" si="217"/>
        <v>9.9999999999999645</v>
      </c>
      <c r="R1691">
        <f t="shared" si="218"/>
        <v>8.9999999999999858</v>
      </c>
    </row>
    <row r="1692" spans="1:18">
      <c r="A1692" s="9">
        <v>39181</v>
      </c>
      <c r="B1692">
        <v>5.35</v>
      </c>
      <c r="C1692">
        <v>5.14</v>
      </c>
      <c r="D1692">
        <v>5.09</v>
      </c>
      <c r="E1692">
        <v>5.0999999999999996</v>
      </c>
      <c r="F1692">
        <v>5.12</v>
      </c>
      <c r="G1692">
        <v>5.19</v>
      </c>
      <c r="H1692">
        <v>5.28</v>
      </c>
      <c r="I1692">
        <v>5.48</v>
      </c>
      <c r="K1692">
        <f t="shared" si="211"/>
        <v>0.99999999999997868</v>
      </c>
      <c r="L1692">
        <f t="shared" si="212"/>
        <v>0</v>
      </c>
      <c r="M1692">
        <f t="shared" si="213"/>
        <v>0</v>
      </c>
      <c r="N1692">
        <f t="shared" si="214"/>
        <v>-1.0000000000000675</v>
      </c>
      <c r="O1692">
        <f t="shared" si="215"/>
        <v>-0.99999999999997868</v>
      </c>
      <c r="P1692">
        <f t="shared" si="216"/>
        <v>-0.99999999999997868</v>
      </c>
      <c r="Q1692">
        <f t="shared" si="217"/>
        <v>-0.99999999999997868</v>
      </c>
      <c r="R1692">
        <f t="shared" si="218"/>
        <v>-0.99999999999997868</v>
      </c>
    </row>
    <row r="1693" spans="1:18">
      <c r="A1693" s="9">
        <v>39182</v>
      </c>
      <c r="B1693">
        <v>5.32</v>
      </c>
      <c r="C1693">
        <v>5.0999999999999996</v>
      </c>
      <c r="D1693">
        <v>5.05</v>
      </c>
      <c r="E1693">
        <v>5.0599999999999996</v>
      </c>
      <c r="F1693">
        <v>5.09</v>
      </c>
      <c r="G1693">
        <v>5.15</v>
      </c>
      <c r="H1693">
        <v>5.25</v>
      </c>
      <c r="I1693">
        <v>5.45</v>
      </c>
      <c r="K1693">
        <f t="shared" si="211"/>
        <v>-2.9999999999999361</v>
      </c>
      <c r="L1693">
        <f t="shared" si="212"/>
        <v>-4.0000000000000036</v>
      </c>
      <c r="M1693">
        <f t="shared" si="213"/>
        <v>-4.0000000000000036</v>
      </c>
      <c r="N1693">
        <f t="shared" si="214"/>
        <v>-4.0000000000000036</v>
      </c>
      <c r="O1693">
        <f t="shared" si="215"/>
        <v>-3.0000000000000249</v>
      </c>
      <c r="P1693">
        <f t="shared" si="216"/>
        <v>-4.0000000000000036</v>
      </c>
      <c r="Q1693">
        <f t="shared" si="217"/>
        <v>-3.0000000000000249</v>
      </c>
      <c r="R1693">
        <f t="shared" si="218"/>
        <v>-3.0000000000000249</v>
      </c>
    </row>
    <row r="1694" spans="1:18">
      <c r="A1694" s="9">
        <v>39183</v>
      </c>
      <c r="B1694">
        <v>5.31</v>
      </c>
      <c r="C1694">
        <v>5.08</v>
      </c>
      <c r="D1694">
        <v>5.03</v>
      </c>
      <c r="E1694">
        <v>5.04</v>
      </c>
      <c r="F1694">
        <v>5.07</v>
      </c>
      <c r="G1694">
        <v>5.14</v>
      </c>
      <c r="H1694">
        <v>5.25</v>
      </c>
      <c r="I1694">
        <v>5.45</v>
      </c>
      <c r="K1694">
        <f t="shared" si="211"/>
        <v>-1.0000000000000675</v>
      </c>
      <c r="L1694">
        <f t="shared" si="212"/>
        <v>-1.9999999999999574</v>
      </c>
      <c r="M1694">
        <f t="shared" si="213"/>
        <v>-1.9999999999999574</v>
      </c>
      <c r="N1694">
        <f t="shared" si="214"/>
        <v>-1.9999999999999574</v>
      </c>
      <c r="O1694">
        <f t="shared" si="215"/>
        <v>-1.9999999999999574</v>
      </c>
      <c r="P1694">
        <f t="shared" si="216"/>
        <v>-1.0000000000000675</v>
      </c>
      <c r="Q1694">
        <f t="shared" si="217"/>
        <v>0</v>
      </c>
      <c r="R1694">
        <f t="shared" si="218"/>
        <v>0</v>
      </c>
    </row>
    <row r="1695" spans="1:18">
      <c r="A1695" s="9">
        <v>39184</v>
      </c>
      <c r="B1695">
        <v>5.34</v>
      </c>
      <c r="C1695">
        <v>5.12</v>
      </c>
      <c r="D1695">
        <v>5.07</v>
      </c>
      <c r="E1695">
        <v>5.08</v>
      </c>
      <c r="F1695">
        <v>5.1100000000000003</v>
      </c>
      <c r="G1695">
        <v>5.17</v>
      </c>
      <c r="H1695">
        <v>5.26</v>
      </c>
      <c r="I1695">
        <v>5.46</v>
      </c>
      <c r="K1695">
        <f t="shared" si="211"/>
        <v>3.0000000000000249</v>
      </c>
      <c r="L1695">
        <f t="shared" si="212"/>
        <v>4.0000000000000036</v>
      </c>
      <c r="M1695">
        <f t="shared" si="213"/>
        <v>4.0000000000000036</v>
      </c>
      <c r="N1695">
        <f t="shared" si="214"/>
        <v>4.0000000000000036</v>
      </c>
      <c r="O1695">
        <f t="shared" si="215"/>
        <v>4.0000000000000036</v>
      </c>
      <c r="P1695">
        <f t="shared" si="216"/>
        <v>3.0000000000000249</v>
      </c>
      <c r="Q1695">
        <f t="shared" si="217"/>
        <v>0.99999999999997868</v>
      </c>
      <c r="R1695">
        <f t="shared" si="218"/>
        <v>0.99999999999997868</v>
      </c>
    </row>
    <row r="1696" spans="1:18">
      <c r="A1696" s="9">
        <v>39185</v>
      </c>
      <c r="B1696">
        <v>5.36</v>
      </c>
      <c r="C1696">
        <v>5.15</v>
      </c>
      <c r="D1696">
        <v>5.0999999999999996</v>
      </c>
      <c r="E1696">
        <v>5.1100000000000003</v>
      </c>
      <c r="F1696">
        <v>5.14</v>
      </c>
      <c r="G1696">
        <v>5.21</v>
      </c>
      <c r="H1696">
        <v>5.3</v>
      </c>
      <c r="I1696">
        <v>5.5</v>
      </c>
      <c r="K1696">
        <f t="shared" si="211"/>
        <v>2.0000000000000462</v>
      </c>
      <c r="L1696">
        <f t="shared" si="212"/>
        <v>3.0000000000000249</v>
      </c>
      <c r="M1696">
        <f t="shared" si="213"/>
        <v>2.9999999999999361</v>
      </c>
      <c r="N1696">
        <f t="shared" si="214"/>
        <v>3.0000000000000249</v>
      </c>
      <c r="O1696">
        <f t="shared" si="215"/>
        <v>2.9999999999999361</v>
      </c>
      <c r="P1696">
        <f t="shared" si="216"/>
        <v>4.0000000000000036</v>
      </c>
      <c r="Q1696">
        <f t="shared" si="217"/>
        <v>4.0000000000000036</v>
      </c>
      <c r="R1696">
        <f t="shared" si="218"/>
        <v>4.0000000000000036</v>
      </c>
    </row>
    <row r="1697" spans="1:18">
      <c r="A1697" s="9">
        <v>39188</v>
      </c>
      <c r="B1697">
        <v>5.36</v>
      </c>
      <c r="C1697">
        <v>5.16</v>
      </c>
      <c r="D1697">
        <v>5.1100000000000003</v>
      </c>
      <c r="E1697">
        <v>5.12</v>
      </c>
      <c r="F1697">
        <v>5.14</v>
      </c>
      <c r="G1697">
        <v>5.2</v>
      </c>
      <c r="H1697">
        <v>5.28</v>
      </c>
      <c r="I1697">
        <v>5.46</v>
      </c>
      <c r="K1697">
        <f t="shared" si="211"/>
        <v>0</v>
      </c>
      <c r="L1697">
        <f t="shared" si="212"/>
        <v>0.99999999999997868</v>
      </c>
      <c r="M1697">
        <f t="shared" si="213"/>
        <v>1.0000000000000675</v>
      </c>
      <c r="N1697">
        <f t="shared" si="214"/>
        <v>0.99999999999997868</v>
      </c>
      <c r="O1697">
        <f t="shared" si="215"/>
        <v>0</v>
      </c>
      <c r="P1697">
        <f t="shared" si="216"/>
        <v>-0.99999999999997868</v>
      </c>
      <c r="Q1697">
        <f t="shared" si="217"/>
        <v>-1.9999999999999574</v>
      </c>
      <c r="R1697">
        <f t="shared" si="218"/>
        <v>-4.0000000000000036</v>
      </c>
    </row>
    <row r="1698" spans="1:18">
      <c r="A1698" s="9">
        <v>39189</v>
      </c>
      <c r="B1698">
        <v>5.31</v>
      </c>
      <c r="C1698">
        <v>5.08</v>
      </c>
      <c r="D1698">
        <v>5.0199999999999996</v>
      </c>
      <c r="E1698">
        <v>5.04</v>
      </c>
      <c r="F1698">
        <v>5.0599999999999996</v>
      </c>
      <c r="G1698">
        <v>5.13</v>
      </c>
      <c r="H1698">
        <v>5.22</v>
      </c>
      <c r="I1698">
        <v>5.4</v>
      </c>
      <c r="K1698">
        <f t="shared" si="211"/>
        <v>-5.0000000000000711</v>
      </c>
      <c r="L1698">
        <f t="shared" si="212"/>
        <v>-8.0000000000000071</v>
      </c>
      <c r="M1698">
        <f t="shared" si="213"/>
        <v>-9.0000000000000746</v>
      </c>
      <c r="N1698">
        <f t="shared" si="214"/>
        <v>-8.0000000000000071</v>
      </c>
      <c r="O1698">
        <f t="shared" si="215"/>
        <v>-8.0000000000000071</v>
      </c>
      <c r="P1698">
        <f t="shared" si="216"/>
        <v>-7.0000000000000284</v>
      </c>
      <c r="Q1698">
        <f t="shared" si="217"/>
        <v>-6.0000000000000497</v>
      </c>
      <c r="R1698">
        <f t="shared" si="218"/>
        <v>-5.9999999999999609</v>
      </c>
    </row>
    <row r="1699" spans="1:18">
      <c r="A1699" s="9">
        <v>39190</v>
      </c>
      <c r="B1699">
        <v>5.29</v>
      </c>
      <c r="C1699">
        <v>5.03</v>
      </c>
      <c r="D1699">
        <v>4.97</v>
      </c>
      <c r="E1699">
        <v>4.9800000000000004</v>
      </c>
      <c r="F1699">
        <v>5.01</v>
      </c>
      <c r="G1699">
        <v>5.08</v>
      </c>
      <c r="H1699">
        <v>5.18</v>
      </c>
      <c r="I1699">
        <v>5.37</v>
      </c>
      <c r="K1699">
        <f t="shared" si="211"/>
        <v>-1.9999999999999574</v>
      </c>
      <c r="L1699">
        <f t="shared" si="212"/>
        <v>-4.9999999999999822</v>
      </c>
      <c r="M1699">
        <f t="shared" si="213"/>
        <v>-4.9999999999999822</v>
      </c>
      <c r="N1699">
        <f t="shared" si="214"/>
        <v>-5.9999999999999609</v>
      </c>
      <c r="O1699">
        <f t="shared" si="215"/>
        <v>-4.9999999999999822</v>
      </c>
      <c r="P1699">
        <f t="shared" si="216"/>
        <v>-4.9999999999999822</v>
      </c>
      <c r="Q1699">
        <f t="shared" si="217"/>
        <v>-4.0000000000000036</v>
      </c>
      <c r="R1699">
        <f t="shared" si="218"/>
        <v>-3.0000000000000249</v>
      </c>
    </row>
    <row r="1700" spans="1:18">
      <c r="A1700" s="9">
        <v>39191</v>
      </c>
      <c r="B1700">
        <v>5.28</v>
      </c>
      <c r="C1700">
        <v>5.03</v>
      </c>
      <c r="D1700">
        <v>4.97</v>
      </c>
      <c r="E1700">
        <v>4.9800000000000004</v>
      </c>
      <c r="F1700">
        <v>5.01</v>
      </c>
      <c r="G1700">
        <v>5.08</v>
      </c>
      <c r="H1700">
        <v>5.18</v>
      </c>
      <c r="I1700">
        <v>5.38</v>
      </c>
      <c r="K1700">
        <f t="shared" si="211"/>
        <v>-0.99999999999997868</v>
      </c>
      <c r="L1700">
        <f t="shared" si="212"/>
        <v>0</v>
      </c>
      <c r="M1700">
        <f t="shared" si="213"/>
        <v>0</v>
      </c>
      <c r="N1700">
        <f t="shared" si="214"/>
        <v>0</v>
      </c>
      <c r="O1700">
        <f t="shared" si="215"/>
        <v>0</v>
      </c>
      <c r="P1700">
        <f t="shared" si="216"/>
        <v>0</v>
      </c>
      <c r="Q1700">
        <f t="shared" si="217"/>
        <v>0</v>
      </c>
      <c r="R1700">
        <f t="shared" si="218"/>
        <v>0.99999999999997868</v>
      </c>
    </row>
    <row r="1701" spans="1:18">
      <c r="A1701" s="9">
        <v>39192</v>
      </c>
      <c r="B1701">
        <v>5.31</v>
      </c>
      <c r="C1701">
        <v>5.0599999999999996</v>
      </c>
      <c r="D1701">
        <v>5</v>
      </c>
      <c r="E1701">
        <v>5.01</v>
      </c>
      <c r="F1701">
        <v>5.04</v>
      </c>
      <c r="G1701">
        <v>5.1100000000000003</v>
      </c>
      <c r="H1701">
        <v>5.21</v>
      </c>
      <c r="I1701">
        <v>5.41</v>
      </c>
      <c r="K1701">
        <f t="shared" si="211"/>
        <v>2.9999999999999361</v>
      </c>
      <c r="L1701">
        <f t="shared" si="212"/>
        <v>2.9999999999999361</v>
      </c>
      <c r="M1701">
        <f t="shared" si="213"/>
        <v>3.0000000000000249</v>
      </c>
      <c r="N1701">
        <f t="shared" si="214"/>
        <v>2.9999999999999361</v>
      </c>
      <c r="O1701">
        <f t="shared" si="215"/>
        <v>3.0000000000000249</v>
      </c>
      <c r="P1701">
        <f t="shared" si="216"/>
        <v>3.0000000000000249</v>
      </c>
      <c r="Q1701">
        <f t="shared" si="217"/>
        <v>3.0000000000000249</v>
      </c>
      <c r="R1701">
        <f t="shared" si="218"/>
        <v>3.0000000000000249</v>
      </c>
    </row>
    <row r="1702" spans="1:18">
      <c r="A1702" s="9">
        <v>39195</v>
      </c>
      <c r="B1702">
        <v>5.29</v>
      </c>
      <c r="C1702">
        <v>5.04</v>
      </c>
      <c r="D1702">
        <v>4.97</v>
      </c>
      <c r="E1702">
        <v>4.9800000000000004</v>
      </c>
      <c r="F1702">
        <v>5.0199999999999996</v>
      </c>
      <c r="G1702">
        <v>5.09</v>
      </c>
      <c r="H1702">
        <v>5.19</v>
      </c>
      <c r="I1702">
        <v>5.39</v>
      </c>
      <c r="K1702">
        <f t="shared" si="211"/>
        <v>-1.9999999999999574</v>
      </c>
      <c r="L1702">
        <f t="shared" si="212"/>
        <v>-1.9999999999999574</v>
      </c>
      <c r="M1702">
        <f t="shared" si="213"/>
        <v>-3.0000000000000249</v>
      </c>
      <c r="N1702">
        <f t="shared" si="214"/>
        <v>-2.9999999999999361</v>
      </c>
      <c r="O1702">
        <f t="shared" si="215"/>
        <v>-2.0000000000000462</v>
      </c>
      <c r="P1702">
        <f t="shared" si="216"/>
        <v>-2.0000000000000462</v>
      </c>
      <c r="Q1702">
        <f t="shared" si="217"/>
        <v>-1.9999999999999574</v>
      </c>
      <c r="R1702">
        <f t="shared" si="218"/>
        <v>-2.0000000000000462</v>
      </c>
    </row>
    <row r="1703" spans="1:18">
      <c r="A1703" s="9">
        <v>39196</v>
      </c>
      <c r="B1703">
        <v>5.25</v>
      </c>
      <c r="C1703">
        <v>4.9800000000000004</v>
      </c>
      <c r="D1703">
        <v>4.92</v>
      </c>
      <c r="E1703">
        <v>4.93</v>
      </c>
      <c r="F1703">
        <v>4.96</v>
      </c>
      <c r="G1703">
        <v>5.03</v>
      </c>
      <c r="H1703">
        <v>5.14</v>
      </c>
      <c r="I1703">
        <v>5.35</v>
      </c>
      <c r="K1703">
        <f t="shared" si="211"/>
        <v>-4.0000000000000036</v>
      </c>
      <c r="L1703">
        <f t="shared" si="212"/>
        <v>-5.9999999999999609</v>
      </c>
      <c r="M1703">
        <f t="shared" si="213"/>
        <v>-4.9999999999999822</v>
      </c>
      <c r="N1703">
        <f t="shared" si="214"/>
        <v>-5.0000000000000711</v>
      </c>
      <c r="O1703">
        <f t="shared" si="215"/>
        <v>-5.9999999999999609</v>
      </c>
      <c r="P1703">
        <f t="shared" si="216"/>
        <v>-5.9999999999999609</v>
      </c>
      <c r="Q1703">
        <f t="shared" si="217"/>
        <v>-5.0000000000000711</v>
      </c>
      <c r="R1703">
        <f t="shared" si="218"/>
        <v>-4.0000000000000036</v>
      </c>
    </row>
    <row r="1704" spans="1:18">
      <c r="A1704" s="9">
        <v>39197</v>
      </c>
      <c r="B1704">
        <v>5.27</v>
      </c>
      <c r="C1704">
        <v>5</v>
      </c>
      <c r="D1704">
        <v>4.9400000000000004</v>
      </c>
      <c r="E1704">
        <v>4.9400000000000004</v>
      </c>
      <c r="F1704">
        <v>4.9800000000000004</v>
      </c>
      <c r="G1704">
        <v>5.05</v>
      </c>
      <c r="H1704">
        <v>5.15</v>
      </c>
      <c r="I1704">
        <v>5.37</v>
      </c>
      <c r="K1704">
        <f t="shared" si="211"/>
        <v>1.9999999999999574</v>
      </c>
      <c r="L1704">
        <f t="shared" si="212"/>
        <v>1.9999999999999574</v>
      </c>
      <c r="M1704">
        <f t="shared" si="213"/>
        <v>2.0000000000000462</v>
      </c>
      <c r="N1704">
        <f t="shared" si="214"/>
        <v>1.0000000000000675</v>
      </c>
      <c r="O1704">
        <f t="shared" si="215"/>
        <v>2.0000000000000462</v>
      </c>
      <c r="P1704">
        <f t="shared" si="216"/>
        <v>1.9999999999999574</v>
      </c>
      <c r="Q1704">
        <f t="shared" si="217"/>
        <v>1.0000000000000675</v>
      </c>
      <c r="R1704">
        <f t="shared" si="218"/>
        <v>2.0000000000000462</v>
      </c>
    </row>
    <row r="1705" spans="1:18">
      <c r="A1705" s="9">
        <v>39198</v>
      </c>
      <c r="B1705">
        <v>5.31</v>
      </c>
      <c r="C1705">
        <v>5.0599999999999996</v>
      </c>
      <c r="D1705">
        <v>5</v>
      </c>
      <c r="E1705">
        <v>5.01</v>
      </c>
      <c r="F1705">
        <v>5.04</v>
      </c>
      <c r="G1705">
        <v>5.1100000000000003</v>
      </c>
      <c r="H1705">
        <v>5.21</v>
      </c>
      <c r="I1705">
        <v>5.42</v>
      </c>
      <c r="K1705">
        <f t="shared" si="211"/>
        <v>4.0000000000000036</v>
      </c>
      <c r="L1705">
        <f t="shared" si="212"/>
        <v>5.9999999999999609</v>
      </c>
      <c r="M1705">
        <f t="shared" si="213"/>
        <v>5.9999999999999609</v>
      </c>
      <c r="N1705">
        <f t="shared" si="214"/>
        <v>6.9999999999999396</v>
      </c>
      <c r="O1705">
        <f t="shared" si="215"/>
        <v>5.9999999999999609</v>
      </c>
      <c r="P1705">
        <f t="shared" si="216"/>
        <v>6.0000000000000497</v>
      </c>
      <c r="Q1705">
        <f t="shared" si="217"/>
        <v>5.9999999999999609</v>
      </c>
      <c r="R1705">
        <f t="shared" si="218"/>
        <v>4.9999999999999822</v>
      </c>
    </row>
    <row r="1706" spans="1:18">
      <c r="A1706" s="9">
        <v>39199</v>
      </c>
      <c r="B1706">
        <v>5.31</v>
      </c>
      <c r="C1706">
        <v>5.0599999999999996</v>
      </c>
      <c r="D1706">
        <v>5</v>
      </c>
      <c r="E1706">
        <v>5.01</v>
      </c>
      <c r="F1706">
        <v>5.04</v>
      </c>
      <c r="G1706">
        <v>5.12</v>
      </c>
      <c r="H1706">
        <v>5.22</v>
      </c>
      <c r="I1706">
        <v>5.44</v>
      </c>
      <c r="K1706">
        <f t="shared" si="211"/>
        <v>0</v>
      </c>
      <c r="L1706">
        <f t="shared" si="212"/>
        <v>0</v>
      </c>
      <c r="M1706">
        <f t="shared" si="213"/>
        <v>0</v>
      </c>
      <c r="N1706">
        <f t="shared" si="214"/>
        <v>0</v>
      </c>
      <c r="O1706">
        <f t="shared" si="215"/>
        <v>0</v>
      </c>
      <c r="P1706">
        <f t="shared" si="216"/>
        <v>0.99999999999997868</v>
      </c>
      <c r="Q1706">
        <f t="shared" si="217"/>
        <v>0.99999999999997868</v>
      </c>
      <c r="R1706">
        <f t="shared" si="218"/>
        <v>2.0000000000000462</v>
      </c>
    </row>
    <row r="1707" spans="1:18">
      <c r="A1707" s="9">
        <v>39202</v>
      </c>
      <c r="B1707">
        <v>5.29</v>
      </c>
      <c r="C1707">
        <v>5.04</v>
      </c>
      <c r="D1707">
        <v>4.97</v>
      </c>
      <c r="E1707">
        <v>4.9800000000000004</v>
      </c>
      <c r="F1707">
        <v>5.01</v>
      </c>
      <c r="G1707">
        <v>5.08</v>
      </c>
      <c r="H1707">
        <v>5.19</v>
      </c>
      <c r="I1707">
        <v>5.4</v>
      </c>
      <c r="K1707">
        <f t="shared" si="211"/>
        <v>-1.9999999999999574</v>
      </c>
      <c r="L1707">
        <f t="shared" si="212"/>
        <v>-1.9999999999999574</v>
      </c>
      <c r="M1707">
        <f t="shared" si="213"/>
        <v>-3.0000000000000249</v>
      </c>
      <c r="N1707">
        <f t="shared" si="214"/>
        <v>-2.9999999999999361</v>
      </c>
      <c r="O1707">
        <f t="shared" si="215"/>
        <v>-3.0000000000000249</v>
      </c>
      <c r="P1707">
        <f t="shared" si="216"/>
        <v>-4.0000000000000036</v>
      </c>
      <c r="Q1707">
        <f t="shared" si="217"/>
        <v>-2.9999999999999361</v>
      </c>
      <c r="R1707">
        <f t="shared" si="218"/>
        <v>-4.0000000000000036</v>
      </c>
    </row>
    <row r="1708" spans="1:18">
      <c r="A1708" s="9">
        <v>39203</v>
      </c>
      <c r="B1708">
        <v>5.32</v>
      </c>
      <c r="C1708">
        <v>5.08</v>
      </c>
      <c r="D1708">
        <v>5.01</v>
      </c>
      <c r="E1708">
        <v>5.0199999999999996</v>
      </c>
      <c r="F1708">
        <v>5.04</v>
      </c>
      <c r="G1708">
        <v>5.1100000000000003</v>
      </c>
      <c r="H1708">
        <v>5.21</v>
      </c>
      <c r="I1708">
        <v>5.41</v>
      </c>
      <c r="K1708">
        <f t="shared" si="211"/>
        <v>3.0000000000000249</v>
      </c>
      <c r="L1708">
        <f t="shared" si="212"/>
        <v>4.0000000000000036</v>
      </c>
      <c r="M1708">
        <f t="shared" si="213"/>
        <v>4.0000000000000036</v>
      </c>
      <c r="N1708">
        <f t="shared" si="214"/>
        <v>3.9999999999999147</v>
      </c>
      <c r="O1708">
        <f t="shared" si="215"/>
        <v>3.0000000000000249</v>
      </c>
      <c r="P1708">
        <f t="shared" si="216"/>
        <v>3.0000000000000249</v>
      </c>
      <c r="Q1708">
        <f t="shared" si="217"/>
        <v>1.9999999999999574</v>
      </c>
      <c r="R1708">
        <f t="shared" si="218"/>
        <v>0.99999999999997868</v>
      </c>
    </row>
    <row r="1709" spans="1:18">
      <c r="A1709" s="9">
        <v>39204</v>
      </c>
      <c r="B1709">
        <v>5.32</v>
      </c>
      <c r="C1709">
        <v>5.07</v>
      </c>
      <c r="D1709">
        <v>5</v>
      </c>
      <c r="E1709">
        <v>5.01</v>
      </c>
      <c r="F1709">
        <v>5.03</v>
      </c>
      <c r="G1709">
        <v>5.09</v>
      </c>
      <c r="H1709">
        <v>5.19</v>
      </c>
      <c r="I1709">
        <v>5.4</v>
      </c>
      <c r="K1709">
        <f t="shared" si="211"/>
        <v>0</v>
      </c>
      <c r="L1709">
        <f t="shared" si="212"/>
        <v>-0.99999999999997868</v>
      </c>
      <c r="M1709">
        <f t="shared" si="213"/>
        <v>-0.99999999999997868</v>
      </c>
      <c r="N1709">
        <f t="shared" si="214"/>
        <v>-0.99999999999997868</v>
      </c>
      <c r="O1709">
        <f t="shared" si="215"/>
        <v>-0.99999999999997868</v>
      </c>
      <c r="P1709">
        <f t="shared" si="216"/>
        <v>-2.0000000000000462</v>
      </c>
      <c r="Q1709">
        <f t="shared" si="217"/>
        <v>-1.9999999999999574</v>
      </c>
      <c r="R1709">
        <f t="shared" si="218"/>
        <v>-0.99999999999997868</v>
      </c>
    </row>
    <row r="1710" spans="1:18">
      <c r="A1710" s="9">
        <v>39205</v>
      </c>
      <c r="B1710">
        <v>5.33</v>
      </c>
      <c r="C1710">
        <v>5.1100000000000003</v>
      </c>
      <c r="D1710">
        <v>5.05</v>
      </c>
      <c r="E1710">
        <v>5.05</v>
      </c>
      <c r="F1710">
        <v>5.07</v>
      </c>
      <c r="G1710">
        <v>5.13</v>
      </c>
      <c r="H1710">
        <v>5.22</v>
      </c>
      <c r="I1710">
        <v>5.42</v>
      </c>
      <c r="K1710">
        <f t="shared" si="211"/>
        <v>0.99999999999997868</v>
      </c>
      <c r="L1710">
        <f t="shared" si="212"/>
        <v>4.0000000000000036</v>
      </c>
      <c r="M1710">
        <f t="shared" si="213"/>
        <v>4.9999999999999822</v>
      </c>
      <c r="N1710">
        <f t="shared" si="214"/>
        <v>4.0000000000000036</v>
      </c>
      <c r="O1710">
        <f t="shared" si="215"/>
        <v>4.0000000000000036</v>
      </c>
      <c r="P1710">
        <f t="shared" si="216"/>
        <v>4.0000000000000036</v>
      </c>
      <c r="Q1710">
        <f t="shared" si="217"/>
        <v>2.9999999999999361</v>
      </c>
      <c r="R1710">
        <f t="shared" si="218"/>
        <v>1.9999999999999574</v>
      </c>
    </row>
    <row r="1711" spans="1:18">
      <c r="A1711" s="9">
        <v>39206</v>
      </c>
      <c r="B1711">
        <v>5.32</v>
      </c>
      <c r="C1711">
        <v>5.08</v>
      </c>
      <c r="D1711">
        <v>5.01</v>
      </c>
      <c r="E1711">
        <v>5.01</v>
      </c>
      <c r="F1711">
        <v>5.03</v>
      </c>
      <c r="G1711">
        <v>5.09</v>
      </c>
      <c r="H1711">
        <v>5.18</v>
      </c>
      <c r="I1711">
        <v>5.38</v>
      </c>
      <c r="K1711">
        <f t="shared" si="211"/>
        <v>-0.99999999999997868</v>
      </c>
      <c r="L1711">
        <f t="shared" si="212"/>
        <v>-3.0000000000000249</v>
      </c>
      <c r="M1711">
        <f t="shared" si="213"/>
        <v>-4.0000000000000036</v>
      </c>
      <c r="N1711">
        <f t="shared" si="214"/>
        <v>-4.0000000000000036</v>
      </c>
      <c r="O1711">
        <f t="shared" si="215"/>
        <v>-4.0000000000000036</v>
      </c>
      <c r="P1711">
        <f t="shared" si="216"/>
        <v>-4.0000000000000036</v>
      </c>
      <c r="Q1711">
        <f t="shared" si="217"/>
        <v>-4.0000000000000036</v>
      </c>
      <c r="R1711">
        <f t="shared" si="218"/>
        <v>-4.0000000000000036</v>
      </c>
    </row>
    <row r="1712" spans="1:18">
      <c r="A1712" s="9">
        <v>39209</v>
      </c>
      <c r="B1712">
        <v>5.32</v>
      </c>
      <c r="C1712">
        <v>5.08</v>
      </c>
      <c r="D1712">
        <v>5.01</v>
      </c>
      <c r="E1712">
        <v>5.01</v>
      </c>
      <c r="F1712">
        <v>5.0199999999999996</v>
      </c>
      <c r="G1712">
        <v>5.08</v>
      </c>
      <c r="H1712">
        <v>5.17</v>
      </c>
      <c r="I1712">
        <v>5.37</v>
      </c>
      <c r="K1712">
        <f t="shared" si="211"/>
        <v>0</v>
      </c>
      <c r="L1712">
        <f t="shared" si="212"/>
        <v>0</v>
      </c>
      <c r="M1712">
        <f t="shared" si="213"/>
        <v>0</v>
      </c>
      <c r="N1712">
        <f t="shared" si="214"/>
        <v>0</v>
      </c>
      <c r="O1712">
        <f t="shared" si="215"/>
        <v>-1.0000000000000675</v>
      </c>
      <c r="P1712">
        <f t="shared" si="216"/>
        <v>-0.99999999999997868</v>
      </c>
      <c r="Q1712">
        <f t="shared" si="217"/>
        <v>-0.99999999999997868</v>
      </c>
      <c r="R1712">
        <f t="shared" si="218"/>
        <v>-0.99999999999997868</v>
      </c>
    </row>
    <row r="1713" spans="1:18">
      <c r="A1713" s="9">
        <v>39210</v>
      </c>
      <c r="B1713">
        <v>5.32</v>
      </c>
      <c r="C1713">
        <v>5.08</v>
      </c>
      <c r="D1713">
        <v>5.01</v>
      </c>
      <c r="E1713">
        <v>5</v>
      </c>
      <c r="F1713">
        <v>5.0199999999999996</v>
      </c>
      <c r="G1713">
        <v>5.07</v>
      </c>
      <c r="H1713">
        <v>5.17</v>
      </c>
      <c r="I1713">
        <v>5.36</v>
      </c>
      <c r="K1713">
        <f t="shared" si="211"/>
        <v>0</v>
      </c>
      <c r="L1713">
        <f t="shared" si="212"/>
        <v>0</v>
      </c>
      <c r="M1713">
        <f t="shared" si="213"/>
        <v>0</v>
      </c>
      <c r="N1713">
        <f t="shared" si="214"/>
        <v>-0.99999999999997868</v>
      </c>
      <c r="O1713">
        <f t="shared" si="215"/>
        <v>0</v>
      </c>
      <c r="P1713">
        <f t="shared" si="216"/>
        <v>-0.99999999999997868</v>
      </c>
      <c r="Q1713">
        <f t="shared" si="217"/>
        <v>0</v>
      </c>
      <c r="R1713">
        <f t="shared" si="218"/>
        <v>-0.99999999999997868</v>
      </c>
    </row>
    <row r="1714" spans="1:18">
      <c r="A1714" s="9">
        <v>39211</v>
      </c>
      <c r="B1714">
        <v>5.32</v>
      </c>
      <c r="C1714">
        <v>5.08</v>
      </c>
      <c r="D1714">
        <v>5.0199999999999996</v>
      </c>
      <c r="E1714">
        <v>5.01</v>
      </c>
      <c r="F1714">
        <v>5.03</v>
      </c>
      <c r="G1714">
        <v>5.08</v>
      </c>
      <c r="H1714">
        <v>5.18</v>
      </c>
      <c r="I1714">
        <v>5.38</v>
      </c>
      <c r="K1714">
        <f t="shared" si="211"/>
        <v>0</v>
      </c>
      <c r="L1714">
        <f t="shared" si="212"/>
        <v>0</v>
      </c>
      <c r="M1714">
        <f t="shared" si="213"/>
        <v>0.99999999999997868</v>
      </c>
      <c r="N1714">
        <f t="shared" si="214"/>
        <v>0.99999999999997868</v>
      </c>
      <c r="O1714">
        <f t="shared" si="215"/>
        <v>1.0000000000000675</v>
      </c>
      <c r="P1714">
        <f t="shared" si="216"/>
        <v>0.99999999999997868</v>
      </c>
      <c r="Q1714">
        <f t="shared" si="217"/>
        <v>0.99999999999997868</v>
      </c>
      <c r="R1714">
        <f t="shared" si="218"/>
        <v>1.9999999999999574</v>
      </c>
    </row>
    <row r="1715" spans="1:18">
      <c r="A1715" s="9">
        <v>39212</v>
      </c>
      <c r="B1715">
        <v>5.34</v>
      </c>
      <c r="C1715">
        <v>5.12</v>
      </c>
      <c r="D1715">
        <v>5.05</v>
      </c>
      <c r="E1715">
        <v>5.04</v>
      </c>
      <c r="F1715">
        <v>5.0599999999999996</v>
      </c>
      <c r="G1715">
        <v>5.1100000000000003</v>
      </c>
      <c r="H1715">
        <v>5.2</v>
      </c>
      <c r="I1715">
        <v>5.4</v>
      </c>
      <c r="K1715">
        <f t="shared" si="211"/>
        <v>1.9999999999999574</v>
      </c>
      <c r="L1715">
        <f t="shared" si="212"/>
        <v>4.0000000000000036</v>
      </c>
      <c r="M1715">
        <f t="shared" si="213"/>
        <v>3.0000000000000249</v>
      </c>
      <c r="N1715">
        <f t="shared" si="214"/>
        <v>3.0000000000000249</v>
      </c>
      <c r="O1715">
        <f t="shared" si="215"/>
        <v>2.9999999999999361</v>
      </c>
      <c r="P1715">
        <f t="shared" si="216"/>
        <v>3.0000000000000249</v>
      </c>
      <c r="Q1715">
        <f t="shared" si="217"/>
        <v>2.0000000000000462</v>
      </c>
      <c r="R1715">
        <f t="shared" si="218"/>
        <v>2.0000000000000462</v>
      </c>
    </row>
    <row r="1716" spans="1:18">
      <c r="A1716" s="9">
        <v>39213</v>
      </c>
      <c r="B1716">
        <v>5.32</v>
      </c>
      <c r="C1716">
        <v>5.08</v>
      </c>
      <c r="D1716">
        <v>5</v>
      </c>
      <c r="E1716">
        <v>5</v>
      </c>
      <c r="F1716">
        <v>5.0199999999999996</v>
      </c>
      <c r="G1716">
        <v>5.07</v>
      </c>
      <c r="H1716">
        <v>5.17</v>
      </c>
      <c r="I1716">
        <v>5.38</v>
      </c>
      <c r="K1716">
        <f t="shared" si="211"/>
        <v>-1.9999999999999574</v>
      </c>
      <c r="L1716">
        <f t="shared" si="212"/>
        <v>-4.0000000000000036</v>
      </c>
      <c r="M1716">
        <f t="shared" si="213"/>
        <v>-4.9999999999999822</v>
      </c>
      <c r="N1716">
        <f t="shared" si="214"/>
        <v>-4.0000000000000036</v>
      </c>
      <c r="O1716">
        <f t="shared" si="215"/>
        <v>-4.0000000000000036</v>
      </c>
      <c r="P1716">
        <f t="shared" si="216"/>
        <v>-4.0000000000000036</v>
      </c>
      <c r="Q1716">
        <f t="shared" si="217"/>
        <v>-3.0000000000000249</v>
      </c>
      <c r="R1716">
        <f t="shared" si="218"/>
        <v>-2.0000000000000462</v>
      </c>
    </row>
    <row r="1717" spans="1:18">
      <c r="A1717" s="9">
        <v>39216</v>
      </c>
      <c r="B1717">
        <v>5.34</v>
      </c>
      <c r="C1717">
        <v>5.13</v>
      </c>
      <c r="D1717">
        <v>5.0599999999999996</v>
      </c>
      <c r="E1717">
        <v>5.05</v>
      </c>
      <c r="F1717">
        <v>5.07</v>
      </c>
      <c r="G1717">
        <v>5.12</v>
      </c>
      <c r="H1717">
        <v>5.21</v>
      </c>
      <c r="I1717">
        <v>5.41</v>
      </c>
      <c r="K1717">
        <f t="shared" si="211"/>
        <v>1.9999999999999574</v>
      </c>
      <c r="L1717">
        <f t="shared" si="212"/>
        <v>4.9999999999999822</v>
      </c>
      <c r="M1717">
        <f t="shared" si="213"/>
        <v>5.9999999999999609</v>
      </c>
      <c r="N1717">
        <f t="shared" si="214"/>
        <v>4.9999999999999822</v>
      </c>
      <c r="O1717">
        <f t="shared" si="215"/>
        <v>5.0000000000000711</v>
      </c>
      <c r="P1717">
        <f t="shared" si="216"/>
        <v>4.9999999999999822</v>
      </c>
      <c r="Q1717">
        <f t="shared" si="217"/>
        <v>4.0000000000000036</v>
      </c>
      <c r="R1717">
        <f t="shared" si="218"/>
        <v>3.0000000000000249</v>
      </c>
    </row>
    <row r="1718" spans="1:18">
      <c r="A1718" s="9">
        <v>39217</v>
      </c>
      <c r="B1718">
        <v>5.34</v>
      </c>
      <c r="C1718">
        <v>5.14</v>
      </c>
      <c r="D1718">
        <v>5.07</v>
      </c>
      <c r="E1718">
        <v>5.07</v>
      </c>
      <c r="F1718">
        <v>5.09</v>
      </c>
      <c r="G1718">
        <v>5.15</v>
      </c>
      <c r="H1718">
        <v>5.24</v>
      </c>
      <c r="I1718">
        <v>5.44</v>
      </c>
      <c r="K1718">
        <f t="shared" si="211"/>
        <v>0</v>
      </c>
      <c r="L1718">
        <f t="shared" si="212"/>
        <v>0.99999999999997868</v>
      </c>
      <c r="M1718">
        <f t="shared" si="213"/>
        <v>1.0000000000000675</v>
      </c>
      <c r="N1718">
        <f t="shared" si="214"/>
        <v>2.0000000000000462</v>
      </c>
      <c r="O1718">
        <f t="shared" si="215"/>
        <v>1.9999999999999574</v>
      </c>
      <c r="P1718">
        <f t="shared" si="216"/>
        <v>3.0000000000000249</v>
      </c>
      <c r="Q1718">
        <f t="shared" si="217"/>
        <v>3.0000000000000249</v>
      </c>
      <c r="R1718">
        <f t="shared" si="218"/>
        <v>3.0000000000000249</v>
      </c>
    </row>
    <row r="1719" spans="1:18">
      <c r="A1719" s="9">
        <v>39218</v>
      </c>
      <c r="B1719">
        <v>5.33</v>
      </c>
      <c r="C1719">
        <v>5.14</v>
      </c>
      <c r="D1719">
        <v>5.08</v>
      </c>
      <c r="E1719">
        <v>5.08</v>
      </c>
      <c r="F1719">
        <v>5.0999999999999996</v>
      </c>
      <c r="G1719">
        <v>5.16</v>
      </c>
      <c r="H1719">
        <v>5.25</v>
      </c>
      <c r="I1719">
        <v>5.44</v>
      </c>
      <c r="K1719">
        <f t="shared" si="211"/>
        <v>-0.99999999999997868</v>
      </c>
      <c r="L1719">
        <f t="shared" si="212"/>
        <v>0</v>
      </c>
      <c r="M1719">
        <f t="shared" si="213"/>
        <v>0.99999999999997868</v>
      </c>
      <c r="N1719">
        <f t="shared" si="214"/>
        <v>0.99999999999997868</v>
      </c>
      <c r="O1719">
        <f t="shared" si="215"/>
        <v>0.99999999999997868</v>
      </c>
      <c r="P1719">
        <f t="shared" si="216"/>
        <v>0.99999999999997868</v>
      </c>
      <c r="Q1719">
        <f t="shared" si="217"/>
        <v>0.99999999999997868</v>
      </c>
      <c r="R1719">
        <f t="shared" si="218"/>
        <v>0</v>
      </c>
    </row>
    <row r="1720" spans="1:18">
      <c r="A1720" s="9">
        <v>39219</v>
      </c>
      <c r="B1720">
        <v>5.36</v>
      </c>
      <c r="C1720">
        <v>5.18</v>
      </c>
      <c r="D1720">
        <v>5.12</v>
      </c>
      <c r="E1720">
        <v>5.13</v>
      </c>
      <c r="F1720">
        <v>5.15</v>
      </c>
      <c r="G1720">
        <v>5.2</v>
      </c>
      <c r="H1720">
        <v>5.29</v>
      </c>
      <c r="I1720">
        <v>5.48</v>
      </c>
      <c r="K1720">
        <f t="shared" si="211"/>
        <v>3.0000000000000249</v>
      </c>
      <c r="L1720">
        <f t="shared" si="212"/>
        <v>4.0000000000000036</v>
      </c>
      <c r="M1720">
        <f t="shared" si="213"/>
        <v>4.0000000000000036</v>
      </c>
      <c r="N1720">
        <f t="shared" si="214"/>
        <v>4.9999999999999822</v>
      </c>
      <c r="O1720">
        <f t="shared" si="215"/>
        <v>5.0000000000000711</v>
      </c>
      <c r="P1720">
        <f t="shared" si="216"/>
        <v>4.0000000000000036</v>
      </c>
      <c r="Q1720">
        <f t="shared" si="217"/>
        <v>4.0000000000000036</v>
      </c>
      <c r="R1720">
        <f t="shared" si="218"/>
        <v>4.0000000000000036</v>
      </c>
    </row>
    <row r="1721" spans="1:18">
      <c r="A1721" s="9">
        <v>39220</v>
      </c>
      <c r="B1721">
        <v>5.37</v>
      </c>
      <c r="C1721">
        <v>5.21</v>
      </c>
      <c r="D1721">
        <v>5.16</v>
      </c>
      <c r="E1721">
        <v>5.16</v>
      </c>
      <c r="F1721">
        <v>5.18</v>
      </c>
      <c r="G1721">
        <v>5.24</v>
      </c>
      <c r="H1721">
        <v>5.32</v>
      </c>
      <c r="I1721">
        <v>5.51</v>
      </c>
      <c r="K1721">
        <f t="shared" si="211"/>
        <v>0.99999999999997868</v>
      </c>
      <c r="L1721">
        <f t="shared" si="212"/>
        <v>3.0000000000000249</v>
      </c>
      <c r="M1721">
        <f t="shared" si="213"/>
        <v>4.0000000000000036</v>
      </c>
      <c r="N1721">
        <f t="shared" si="214"/>
        <v>3.0000000000000249</v>
      </c>
      <c r="O1721">
        <f t="shared" si="215"/>
        <v>2.9999999999999361</v>
      </c>
      <c r="P1721">
        <f t="shared" si="216"/>
        <v>4.0000000000000036</v>
      </c>
      <c r="Q1721">
        <f t="shared" si="217"/>
        <v>3.0000000000000249</v>
      </c>
      <c r="R1721">
        <f t="shared" si="218"/>
        <v>2.9999999999999361</v>
      </c>
    </row>
    <row r="1722" spans="1:18">
      <c r="A1722" s="9">
        <v>39223</v>
      </c>
      <c r="B1722">
        <v>5.39</v>
      </c>
      <c r="C1722">
        <v>5.25</v>
      </c>
      <c r="D1722">
        <v>5.21</v>
      </c>
      <c r="E1722">
        <v>5.21</v>
      </c>
      <c r="F1722">
        <v>5.24</v>
      </c>
      <c r="G1722">
        <v>5.29</v>
      </c>
      <c r="H1722">
        <v>5.37</v>
      </c>
      <c r="I1722">
        <v>5.56</v>
      </c>
      <c r="K1722">
        <f t="shared" si="211"/>
        <v>1.9999999999999574</v>
      </c>
      <c r="L1722">
        <f t="shared" si="212"/>
        <v>4.0000000000000036</v>
      </c>
      <c r="M1722">
        <f t="shared" si="213"/>
        <v>4.9999999999999822</v>
      </c>
      <c r="N1722">
        <f t="shared" si="214"/>
        <v>4.9999999999999822</v>
      </c>
      <c r="O1722">
        <f t="shared" si="215"/>
        <v>6.0000000000000497</v>
      </c>
      <c r="P1722">
        <f t="shared" si="216"/>
        <v>4.9999999999999822</v>
      </c>
      <c r="Q1722">
        <f t="shared" si="217"/>
        <v>4.9999999999999822</v>
      </c>
      <c r="R1722">
        <f t="shared" si="218"/>
        <v>4.9999999999999822</v>
      </c>
    </row>
    <row r="1723" spans="1:18">
      <c r="A1723" s="9">
        <v>39224</v>
      </c>
      <c r="B1723">
        <v>5.38</v>
      </c>
      <c r="C1723">
        <v>5.22</v>
      </c>
      <c r="D1723">
        <v>5.18</v>
      </c>
      <c r="E1723">
        <v>5.18</v>
      </c>
      <c r="F1723">
        <v>5.21</v>
      </c>
      <c r="G1723">
        <v>5.26</v>
      </c>
      <c r="H1723">
        <v>5.34</v>
      </c>
      <c r="I1723">
        <v>5.52</v>
      </c>
      <c r="K1723">
        <f t="shared" si="211"/>
        <v>-0.99999999999997868</v>
      </c>
      <c r="L1723">
        <f t="shared" si="212"/>
        <v>-3.0000000000000249</v>
      </c>
      <c r="M1723">
        <f t="shared" si="213"/>
        <v>-3.0000000000000249</v>
      </c>
      <c r="N1723">
        <f t="shared" si="214"/>
        <v>-3.0000000000000249</v>
      </c>
      <c r="O1723">
        <f t="shared" si="215"/>
        <v>-3.0000000000000249</v>
      </c>
      <c r="P1723">
        <f t="shared" si="216"/>
        <v>-3.0000000000000249</v>
      </c>
      <c r="Q1723">
        <f t="shared" si="217"/>
        <v>-3.0000000000000249</v>
      </c>
      <c r="R1723">
        <f t="shared" si="218"/>
        <v>-4.0000000000000036</v>
      </c>
    </row>
    <row r="1724" spans="1:18">
      <c r="A1724" s="9">
        <v>39225</v>
      </c>
      <c r="B1724">
        <v>5.4</v>
      </c>
      <c r="C1724">
        <v>5.25</v>
      </c>
      <c r="D1724">
        <v>5.21</v>
      </c>
      <c r="E1724">
        <v>5.22</v>
      </c>
      <c r="F1724">
        <v>5.25</v>
      </c>
      <c r="G1724">
        <v>5.31</v>
      </c>
      <c r="H1724">
        <v>5.39</v>
      </c>
      <c r="I1724">
        <v>5.58</v>
      </c>
      <c r="K1724">
        <f t="shared" si="211"/>
        <v>2.0000000000000462</v>
      </c>
      <c r="L1724">
        <f t="shared" si="212"/>
        <v>3.0000000000000249</v>
      </c>
      <c r="M1724">
        <f t="shared" si="213"/>
        <v>3.0000000000000249</v>
      </c>
      <c r="N1724">
        <f t="shared" si="214"/>
        <v>4.0000000000000036</v>
      </c>
      <c r="O1724">
        <f t="shared" si="215"/>
        <v>4.0000000000000036</v>
      </c>
      <c r="P1724">
        <f t="shared" si="216"/>
        <v>4.9999999999999822</v>
      </c>
      <c r="Q1724">
        <f t="shared" si="217"/>
        <v>4.9999999999999822</v>
      </c>
      <c r="R1724">
        <f t="shared" si="218"/>
        <v>6.0000000000000497</v>
      </c>
    </row>
    <row r="1725" spans="1:18">
      <c r="A1725" s="9">
        <v>39226</v>
      </c>
      <c r="B1725">
        <v>5.4</v>
      </c>
      <c r="C1725">
        <v>5.28</v>
      </c>
      <c r="D1725">
        <v>5.25</v>
      </c>
      <c r="E1725">
        <v>5.27</v>
      </c>
      <c r="F1725">
        <v>5.3</v>
      </c>
      <c r="G1725">
        <v>5.36</v>
      </c>
      <c r="H1725">
        <v>5.44</v>
      </c>
      <c r="I1725">
        <v>5.62</v>
      </c>
      <c r="K1725">
        <f t="shared" si="211"/>
        <v>0</v>
      </c>
      <c r="L1725">
        <f t="shared" si="212"/>
        <v>3.0000000000000249</v>
      </c>
      <c r="M1725">
        <f t="shared" si="213"/>
        <v>4.0000000000000036</v>
      </c>
      <c r="N1725">
        <f t="shared" si="214"/>
        <v>4.9999999999999822</v>
      </c>
      <c r="O1725">
        <f t="shared" si="215"/>
        <v>4.9999999999999822</v>
      </c>
      <c r="P1725">
        <f t="shared" si="216"/>
        <v>5.0000000000000711</v>
      </c>
      <c r="Q1725">
        <f t="shared" si="217"/>
        <v>5.0000000000000711</v>
      </c>
      <c r="R1725">
        <f t="shared" si="218"/>
        <v>4.0000000000000036</v>
      </c>
    </row>
    <row r="1726" spans="1:18">
      <c r="A1726" s="9">
        <v>39227</v>
      </c>
      <c r="B1726">
        <v>5.39</v>
      </c>
      <c r="C1726">
        <v>5.27</v>
      </c>
      <c r="D1726">
        <v>5.24</v>
      </c>
      <c r="E1726">
        <v>5.26</v>
      </c>
      <c r="F1726">
        <v>5.28</v>
      </c>
      <c r="G1726">
        <v>5.34</v>
      </c>
      <c r="H1726">
        <v>5.41</v>
      </c>
      <c r="I1726">
        <v>5.59</v>
      </c>
      <c r="K1726">
        <f t="shared" si="211"/>
        <v>-1.0000000000000675</v>
      </c>
      <c r="L1726">
        <f t="shared" si="212"/>
        <v>-1.0000000000000675</v>
      </c>
      <c r="M1726">
        <f t="shared" si="213"/>
        <v>-0.99999999999997868</v>
      </c>
      <c r="N1726">
        <f t="shared" si="214"/>
        <v>-0.99999999999997868</v>
      </c>
      <c r="O1726">
        <f t="shared" si="215"/>
        <v>-1.9999999999999574</v>
      </c>
      <c r="P1726">
        <f t="shared" si="216"/>
        <v>-2.0000000000000462</v>
      </c>
      <c r="Q1726">
        <f t="shared" si="217"/>
        <v>-3.0000000000000249</v>
      </c>
      <c r="R1726">
        <f t="shared" si="218"/>
        <v>-3.0000000000000249</v>
      </c>
    </row>
    <row r="1727" spans="1:18">
      <c r="A1727" s="9">
        <v>39231</v>
      </c>
      <c r="B1727">
        <v>5.4</v>
      </c>
      <c r="C1727">
        <v>5.3</v>
      </c>
      <c r="D1727">
        <v>5.27</v>
      </c>
      <c r="E1727">
        <v>5.29</v>
      </c>
      <c r="F1727">
        <v>5.31</v>
      </c>
      <c r="G1727">
        <v>5.36</v>
      </c>
      <c r="H1727">
        <v>5.43</v>
      </c>
      <c r="I1727">
        <v>5.59</v>
      </c>
      <c r="K1727">
        <f t="shared" si="211"/>
        <v>1.0000000000000675</v>
      </c>
      <c r="L1727">
        <f t="shared" si="212"/>
        <v>3.0000000000000249</v>
      </c>
      <c r="M1727">
        <f t="shared" si="213"/>
        <v>2.9999999999999361</v>
      </c>
      <c r="N1727">
        <f t="shared" si="214"/>
        <v>3.0000000000000249</v>
      </c>
      <c r="O1727">
        <f t="shared" si="215"/>
        <v>2.9999999999999361</v>
      </c>
      <c r="P1727">
        <f t="shared" si="216"/>
        <v>2.0000000000000462</v>
      </c>
      <c r="Q1727">
        <f t="shared" si="217"/>
        <v>1.9999999999999574</v>
      </c>
      <c r="R1727">
        <f t="shared" si="218"/>
        <v>0</v>
      </c>
    </row>
    <row r="1728" spans="1:18">
      <c r="A1728" s="9">
        <v>39232</v>
      </c>
      <c r="B1728">
        <v>5.4</v>
      </c>
      <c r="C1728">
        <v>5.29</v>
      </c>
      <c r="D1728">
        <v>5.26</v>
      </c>
      <c r="E1728">
        <v>5.27</v>
      </c>
      <c r="F1728">
        <v>5.3</v>
      </c>
      <c r="G1728">
        <v>5.35</v>
      </c>
      <c r="H1728">
        <v>5.42</v>
      </c>
      <c r="I1728">
        <v>5.59</v>
      </c>
      <c r="K1728">
        <f t="shared" si="211"/>
        <v>0</v>
      </c>
      <c r="L1728">
        <f t="shared" si="212"/>
        <v>-0.99999999999997868</v>
      </c>
      <c r="M1728">
        <f t="shared" si="213"/>
        <v>-0.99999999999997868</v>
      </c>
      <c r="N1728">
        <f t="shared" si="214"/>
        <v>-2.0000000000000462</v>
      </c>
      <c r="O1728">
        <f t="shared" si="215"/>
        <v>-0.99999999999997868</v>
      </c>
      <c r="P1728">
        <f t="shared" si="216"/>
        <v>-1.0000000000000675</v>
      </c>
      <c r="Q1728">
        <f t="shared" si="217"/>
        <v>-0.99999999999997868</v>
      </c>
      <c r="R1728">
        <f t="shared" si="218"/>
        <v>0</v>
      </c>
    </row>
    <row r="1729" spans="1:18">
      <c r="A1729" s="9">
        <v>39233</v>
      </c>
      <c r="B1729">
        <v>5.44</v>
      </c>
      <c r="C1729">
        <v>5.34</v>
      </c>
      <c r="D1729">
        <v>5.33</v>
      </c>
      <c r="E1729">
        <v>5.34</v>
      </c>
      <c r="F1729">
        <v>5.36</v>
      </c>
      <c r="G1729">
        <v>5.4</v>
      </c>
      <c r="H1729">
        <v>5.47</v>
      </c>
      <c r="I1729">
        <v>5.64</v>
      </c>
      <c r="K1729">
        <f t="shared" si="211"/>
        <v>4.0000000000000036</v>
      </c>
      <c r="L1729">
        <f t="shared" si="212"/>
        <v>4.9999999999999822</v>
      </c>
      <c r="M1729">
        <f t="shared" si="213"/>
        <v>7.0000000000000284</v>
      </c>
      <c r="N1729">
        <f t="shared" si="214"/>
        <v>7.0000000000000284</v>
      </c>
      <c r="O1729">
        <f t="shared" si="215"/>
        <v>6.0000000000000497</v>
      </c>
      <c r="P1729">
        <f t="shared" si="216"/>
        <v>5.0000000000000711</v>
      </c>
      <c r="Q1729">
        <f t="shared" si="217"/>
        <v>4.9999999999999822</v>
      </c>
      <c r="R1729">
        <f t="shared" si="218"/>
        <v>4.9999999999999822</v>
      </c>
    </row>
    <row r="1730" spans="1:18">
      <c r="A1730" s="9">
        <v>39234</v>
      </c>
      <c r="B1730">
        <v>5.46</v>
      </c>
      <c r="C1730">
        <v>5.39</v>
      </c>
      <c r="D1730">
        <v>5.37</v>
      </c>
      <c r="E1730">
        <v>5.38</v>
      </c>
      <c r="F1730">
        <v>5.41</v>
      </c>
      <c r="G1730">
        <v>5.45</v>
      </c>
      <c r="H1730">
        <v>5.51</v>
      </c>
      <c r="I1730">
        <v>5.65</v>
      </c>
      <c r="K1730">
        <f t="shared" si="211"/>
        <v>1.9999999999999574</v>
      </c>
      <c r="L1730">
        <f t="shared" si="212"/>
        <v>4.9999999999999822</v>
      </c>
      <c r="M1730">
        <f t="shared" si="213"/>
        <v>4.0000000000000036</v>
      </c>
      <c r="N1730">
        <f t="shared" si="214"/>
        <v>4.0000000000000036</v>
      </c>
      <c r="O1730">
        <f t="shared" si="215"/>
        <v>4.9999999999999822</v>
      </c>
      <c r="P1730">
        <f t="shared" si="216"/>
        <v>4.9999999999999822</v>
      </c>
      <c r="Q1730">
        <f t="shared" si="217"/>
        <v>4.0000000000000036</v>
      </c>
      <c r="R1730">
        <f t="shared" si="218"/>
        <v>1.0000000000000675</v>
      </c>
    </row>
    <row r="1731" spans="1:18">
      <c r="A1731" s="9">
        <v>39237</v>
      </c>
      <c r="B1731">
        <v>5.46</v>
      </c>
      <c r="C1731">
        <v>5.4</v>
      </c>
      <c r="D1731">
        <v>5.38</v>
      </c>
      <c r="E1731">
        <v>5.39</v>
      </c>
      <c r="F1731">
        <v>5.41</v>
      </c>
      <c r="G1731">
        <v>5.45</v>
      </c>
      <c r="H1731">
        <v>5.51</v>
      </c>
      <c r="I1731">
        <v>5.65</v>
      </c>
      <c r="K1731">
        <f t="shared" si="211"/>
        <v>0</v>
      </c>
      <c r="L1731">
        <f t="shared" si="212"/>
        <v>1.0000000000000675</v>
      </c>
      <c r="M1731">
        <f t="shared" si="213"/>
        <v>0.99999999999997868</v>
      </c>
      <c r="N1731">
        <f t="shared" si="214"/>
        <v>0.99999999999997868</v>
      </c>
      <c r="O1731">
        <f t="shared" si="215"/>
        <v>0</v>
      </c>
      <c r="P1731">
        <f t="shared" si="216"/>
        <v>0</v>
      </c>
      <c r="Q1731">
        <f t="shared" si="217"/>
        <v>0</v>
      </c>
      <c r="R1731">
        <f t="shared" si="218"/>
        <v>0</v>
      </c>
    </row>
    <row r="1732" spans="1:18">
      <c r="A1732" s="9">
        <v>39238</v>
      </c>
      <c r="B1732">
        <v>5.47</v>
      </c>
      <c r="C1732">
        <v>5.43</v>
      </c>
      <c r="D1732">
        <v>5.42</v>
      </c>
      <c r="E1732">
        <v>5.43</v>
      </c>
      <c r="F1732">
        <v>5.45</v>
      </c>
      <c r="G1732">
        <v>5.49</v>
      </c>
      <c r="H1732">
        <v>5.55</v>
      </c>
      <c r="I1732">
        <v>5.68</v>
      </c>
      <c r="K1732">
        <f t="shared" si="211"/>
        <v>0.99999999999997868</v>
      </c>
      <c r="L1732">
        <f t="shared" si="212"/>
        <v>2.9999999999999361</v>
      </c>
      <c r="M1732">
        <f t="shared" si="213"/>
        <v>4.0000000000000036</v>
      </c>
      <c r="N1732">
        <f t="shared" si="214"/>
        <v>4.0000000000000036</v>
      </c>
      <c r="O1732">
        <f t="shared" si="215"/>
        <v>4.0000000000000036</v>
      </c>
      <c r="P1732">
        <f t="shared" si="216"/>
        <v>4.0000000000000036</v>
      </c>
      <c r="Q1732">
        <f t="shared" si="217"/>
        <v>4.0000000000000036</v>
      </c>
      <c r="R1732">
        <f t="shared" si="218"/>
        <v>2.9999999999999361</v>
      </c>
    </row>
    <row r="1733" spans="1:18">
      <c r="A1733" s="9">
        <v>39239</v>
      </c>
      <c r="B1733">
        <v>5.45</v>
      </c>
      <c r="C1733">
        <v>5.39</v>
      </c>
      <c r="D1733">
        <v>5.38</v>
      </c>
      <c r="E1733">
        <v>5.4</v>
      </c>
      <c r="F1733">
        <v>5.43</v>
      </c>
      <c r="G1733">
        <v>5.48</v>
      </c>
      <c r="H1733">
        <v>5.54</v>
      </c>
      <c r="I1733">
        <v>5.7</v>
      </c>
      <c r="K1733">
        <f t="shared" ref="K1733:K1796" si="219">(B1733-B1732)*100</f>
        <v>-1.9999999999999574</v>
      </c>
      <c r="L1733">
        <f t="shared" ref="L1733:L1796" si="220">(C1733-C1732)*100</f>
        <v>-4.0000000000000036</v>
      </c>
      <c r="M1733">
        <f t="shared" ref="M1733:M1796" si="221">(D1733-D1732)*100</f>
        <v>-4.0000000000000036</v>
      </c>
      <c r="N1733">
        <f t="shared" ref="N1733:N1796" si="222">(E1733-E1732)*100</f>
        <v>-2.9999999999999361</v>
      </c>
      <c r="O1733">
        <f t="shared" ref="O1733:O1796" si="223">(F1733-F1732)*100</f>
        <v>-2.0000000000000462</v>
      </c>
      <c r="P1733">
        <f t="shared" ref="P1733:P1796" si="224">(G1733-G1732)*100</f>
        <v>-0.99999999999997868</v>
      </c>
      <c r="Q1733">
        <f t="shared" ref="Q1733:Q1796" si="225">(H1733-H1732)*100</f>
        <v>-0.99999999999997868</v>
      </c>
      <c r="R1733">
        <f t="shared" ref="R1733:R1796" si="226">(I1733-I1732)*100</f>
        <v>2.0000000000000462</v>
      </c>
    </row>
    <row r="1734" spans="1:18">
      <c r="A1734" s="9">
        <v>39240</v>
      </c>
      <c r="B1734">
        <v>5.47</v>
      </c>
      <c r="C1734">
        <v>5.46</v>
      </c>
      <c r="D1734">
        <v>5.48</v>
      </c>
      <c r="E1734">
        <v>5.52</v>
      </c>
      <c r="F1734">
        <v>5.56</v>
      </c>
      <c r="G1734">
        <v>5.62</v>
      </c>
      <c r="H1734">
        <v>5.69</v>
      </c>
      <c r="I1734">
        <v>5.84</v>
      </c>
      <c r="K1734">
        <f t="shared" si="219"/>
        <v>1.9999999999999574</v>
      </c>
      <c r="L1734">
        <f t="shared" si="220"/>
        <v>7.0000000000000284</v>
      </c>
      <c r="M1734">
        <f t="shared" si="221"/>
        <v>10.000000000000053</v>
      </c>
      <c r="N1734">
        <f t="shared" si="222"/>
        <v>11.999999999999922</v>
      </c>
      <c r="O1734">
        <f t="shared" si="223"/>
        <v>12.999999999999989</v>
      </c>
      <c r="P1734">
        <f t="shared" si="224"/>
        <v>13.999999999999968</v>
      </c>
      <c r="Q1734">
        <f t="shared" si="225"/>
        <v>15.000000000000036</v>
      </c>
      <c r="R1734">
        <f t="shared" si="226"/>
        <v>13.999999999999968</v>
      </c>
    </row>
    <row r="1735" spans="1:18">
      <c r="A1735" s="9">
        <v>39241</v>
      </c>
      <c r="B1735">
        <v>5.48</v>
      </c>
      <c r="C1735">
        <v>5.47</v>
      </c>
      <c r="D1735">
        <v>5.51</v>
      </c>
      <c r="E1735">
        <v>5.56</v>
      </c>
      <c r="F1735">
        <v>5.61</v>
      </c>
      <c r="G1735">
        <v>5.68</v>
      </c>
      <c r="H1735">
        <v>5.76</v>
      </c>
      <c r="I1735">
        <v>5.93</v>
      </c>
      <c r="K1735">
        <f t="shared" si="219"/>
        <v>1.0000000000000675</v>
      </c>
      <c r="L1735">
        <f t="shared" si="220"/>
        <v>0.99999999999997868</v>
      </c>
      <c r="M1735">
        <f t="shared" si="221"/>
        <v>2.9999999999999361</v>
      </c>
      <c r="N1735">
        <f t="shared" si="222"/>
        <v>4.0000000000000036</v>
      </c>
      <c r="O1735">
        <f t="shared" si="223"/>
        <v>5.0000000000000711</v>
      </c>
      <c r="P1735">
        <f t="shared" si="224"/>
        <v>5.9999999999999609</v>
      </c>
      <c r="Q1735">
        <f t="shared" si="225"/>
        <v>6.9999999999999396</v>
      </c>
      <c r="R1735">
        <f t="shared" si="226"/>
        <v>8.9999999999999858</v>
      </c>
    </row>
    <row r="1736" spans="1:18">
      <c r="A1736" s="9">
        <v>39244</v>
      </c>
      <c r="B1736">
        <v>5.48</v>
      </c>
      <c r="C1736">
        <v>5.45</v>
      </c>
      <c r="D1736">
        <v>5.49</v>
      </c>
      <c r="E1736">
        <v>5.54</v>
      </c>
      <c r="F1736">
        <v>5.58</v>
      </c>
      <c r="G1736">
        <v>5.66</v>
      </c>
      <c r="H1736">
        <v>5.74</v>
      </c>
      <c r="I1736">
        <v>5.92</v>
      </c>
      <c r="K1736">
        <f t="shared" si="219"/>
        <v>0</v>
      </c>
      <c r="L1736">
        <f t="shared" si="220"/>
        <v>-1.9999999999999574</v>
      </c>
      <c r="M1736">
        <f t="shared" si="221"/>
        <v>-1.9999999999999574</v>
      </c>
      <c r="N1736">
        <f t="shared" si="222"/>
        <v>-1.9999999999999574</v>
      </c>
      <c r="O1736">
        <f t="shared" si="223"/>
        <v>-3.0000000000000249</v>
      </c>
      <c r="P1736">
        <f t="shared" si="224"/>
        <v>-1.9999999999999574</v>
      </c>
      <c r="Q1736">
        <f t="shared" si="225"/>
        <v>-1.9999999999999574</v>
      </c>
      <c r="R1736">
        <f t="shared" si="226"/>
        <v>-0.99999999999997868</v>
      </c>
    </row>
    <row r="1737" spans="1:18">
      <c r="A1737" s="9">
        <v>39245</v>
      </c>
      <c r="B1737">
        <v>5.49</v>
      </c>
      <c r="C1737">
        <v>5.49</v>
      </c>
      <c r="D1737">
        <v>5.54</v>
      </c>
      <c r="E1737">
        <v>5.6</v>
      </c>
      <c r="F1737">
        <v>5.65</v>
      </c>
      <c r="G1737">
        <v>5.74</v>
      </c>
      <c r="H1737">
        <v>5.84</v>
      </c>
      <c r="I1737">
        <v>6.02</v>
      </c>
      <c r="K1737">
        <f t="shared" si="219"/>
        <v>0.99999999999997868</v>
      </c>
      <c r="L1737">
        <f t="shared" si="220"/>
        <v>4.0000000000000036</v>
      </c>
      <c r="M1737">
        <f t="shared" si="221"/>
        <v>4.9999999999999822</v>
      </c>
      <c r="N1737">
        <f t="shared" si="222"/>
        <v>5.9999999999999609</v>
      </c>
      <c r="O1737">
        <f t="shared" si="223"/>
        <v>7.0000000000000284</v>
      </c>
      <c r="P1737">
        <f t="shared" si="224"/>
        <v>8.0000000000000071</v>
      </c>
      <c r="Q1737">
        <f t="shared" si="225"/>
        <v>9.9999999999999645</v>
      </c>
      <c r="R1737">
        <f t="shared" si="226"/>
        <v>9.9999999999999645</v>
      </c>
    </row>
    <row r="1738" spans="1:18">
      <c r="A1738" s="9">
        <v>39246</v>
      </c>
      <c r="B1738">
        <v>5.51</v>
      </c>
      <c r="C1738">
        <v>5.52</v>
      </c>
      <c r="D1738">
        <v>5.57</v>
      </c>
      <c r="E1738">
        <v>5.62</v>
      </c>
      <c r="F1738">
        <v>5.67</v>
      </c>
      <c r="G1738">
        <v>5.75</v>
      </c>
      <c r="H1738">
        <v>5.84</v>
      </c>
      <c r="I1738">
        <v>6.01</v>
      </c>
      <c r="K1738">
        <f t="shared" si="219"/>
        <v>1.9999999999999574</v>
      </c>
      <c r="L1738">
        <f t="shared" si="220"/>
        <v>2.9999999999999361</v>
      </c>
      <c r="M1738">
        <f t="shared" si="221"/>
        <v>3.0000000000000249</v>
      </c>
      <c r="N1738">
        <f t="shared" si="222"/>
        <v>2.0000000000000462</v>
      </c>
      <c r="O1738">
        <f t="shared" si="223"/>
        <v>1.9999999999999574</v>
      </c>
      <c r="P1738">
        <f t="shared" si="224"/>
        <v>0.99999999999997868</v>
      </c>
      <c r="Q1738">
        <f t="shared" si="225"/>
        <v>0</v>
      </c>
      <c r="R1738">
        <f t="shared" si="226"/>
        <v>-0.99999999999997868</v>
      </c>
    </row>
    <row r="1739" spans="1:18">
      <c r="A1739" s="9">
        <v>39247</v>
      </c>
      <c r="B1739">
        <v>5.5</v>
      </c>
      <c r="C1739">
        <v>5.51</v>
      </c>
      <c r="D1739">
        <v>5.55</v>
      </c>
      <c r="E1739">
        <v>5.59</v>
      </c>
      <c r="F1739">
        <v>5.63</v>
      </c>
      <c r="G1739">
        <v>5.7</v>
      </c>
      <c r="H1739">
        <v>5.77</v>
      </c>
      <c r="I1739">
        <v>5.91</v>
      </c>
      <c r="K1739">
        <f t="shared" si="219"/>
        <v>-0.99999999999997868</v>
      </c>
      <c r="L1739">
        <f t="shared" si="220"/>
        <v>-0.99999999999997868</v>
      </c>
      <c r="M1739">
        <f t="shared" si="221"/>
        <v>-2.0000000000000462</v>
      </c>
      <c r="N1739">
        <f t="shared" si="222"/>
        <v>-3.0000000000000249</v>
      </c>
      <c r="O1739">
        <f t="shared" si="223"/>
        <v>-4.0000000000000036</v>
      </c>
      <c r="P1739">
        <f t="shared" si="224"/>
        <v>-4.9999999999999822</v>
      </c>
      <c r="Q1739">
        <f t="shared" si="225"/>
        <v>-7.0000000000000284</v>
      </c>
      <c r="R1739">
        <f t="shared" si="226"/>
        <v>-9.9999999999999645</v>
      </c>
    </row>
    <row r="1740" spans="1:18">
      <c r="A1740" s="9">
        <v>39248</v>
      </c>
      <c r="B1740">
        <v>5.5</v>
      </c>
      <c r="C1740">
        <v>5.5</v>
      </c>
      <c r="D1740">
        <v>5.54</v>
      </c>
      <c r="E1740">
        <v>5.58</v>
      </c>
      <c r="F1740">
        <v>5.62</v>
      </c>
      <c r="G1740">
        <v>5.69</v>
      </c>
      <c r="H1740">
        <v>5.78</v>
      </c>
      <c r="I1740">
        <v>5.92</v>
      </c>
      <c r="K1740">
        <f t="shared" si="219"/>
        <v>0</v>
      </c>
      <c r="L1740">
        <f t="shared" si="220"/>
        <v>-0.99999999999997868</v>
      </c>
      <c r="M1740">
        <f t="shared" si="221"/>
        <v>-0.99999999999997868</v>
      </c>
      <c r="N1740">
        <f t="shared" si="222"/>
        <v>-0.99999999999997868</v>
      </c>
      <c r="O1740">
        <f t="shared" si="223"/>
        <v>-0.99999999999997868</v>
      </c>
      <c r="P1740">
        <f t="shared" si="224"/>
        <v>-0.99999999999997868</v>
      </c>
      <c r="Q1740">
        <f t="shared" si="225"/>
        <v>1.0000000000000675</v>
      </c>
      <c r="R1740">
        <f t="shared" si="226"/>
        <v>0.99999999999997868</v>
      </c>
    </row>
    <row r="1741" spans="1:18">
      <c r="A1741" s="9">
        <v>39251</v>
      </c>
      <c r="B1741">
        <v>5.49</v>
      </c>
      <c r="C1741">
        <v>5.49</v>
      </c>
      <c r="D1741">
        <v>5.53</v>
      </c>
      <c r="E1741">
        <v>5.57</v>
      </c>
      <c r="F1741">
        <v>5.61</v>
      </c>
      <c r="G1741">
        <v>5.68</v>
      </c>
      <c r="H1741">
        <v>5.76</v>
      </c>
      <c r="I1741">
        <v>5.93</v>
      </c>
      <c r="K1741">
        <f t="shared" si="219"/>
        <v>-0.99999999999997868</v>
      </c>
      <c r="L1741">
        <f t="shared" si="220"/>
        <v>-0.99999999999997868</v>
      </c>
      <c r="M1741">
        <f t="shared" si="221"/>
        <v>-0.99999999999997868</v>
      </c>
      <c r="N1741">
        <f t="shared" si="222"/>
        <v>-0.99999999999997868</v>
      </c>
      <c r="O1741">
        <f t="shared" si="223"/>
        <v>-0.99999999999997868</v>
      </c>
      <c r="P1741">
        <f t="shared" si="224"/>
        <v>-1.0000000000000675</v>
      </c>
      <c r="Q1741">
        <f t="shared" si="225"/>
        <v>-2.0000000000000462</v>
      </c>
      <c r="R1741">
        <f t="shared" si="226"/>
        <v>0.99999999999997868</v>
      </c>
    </row>
    <row r="1742" spans="1:18">
      <c r="A1742" s="9">
        <v>39252</v>
      </c>
      <c r="B1742">
        <v>5.46</v>
      </c>
      <c r="C1742">
        <v>5.43</v>
      </c>
      <c r="D1742">
        <v>5.45</v>
      </c>
      <c r="E1742">
        <v>5.49</v>
      </c>
      <c r="F1742">
        <v>5.53</v>
      </c>
      <c r="G1742">
        <v>5.61</v>
      </c>
      <c r="H1742">
        <v>5.7</v>
      </c>
      <c r="I1742">
        <v>5.87</v>
      </c>
      <c r="K1742">
        <f t="shared" si="219"/>
        <v>-3.0000000000000249</v>
      </c>
      <c r="L1742">
        <f t="shared" si="220"/>
        <v>-6.0000000000000497</v>
      </c>
      <c r="M1742">
        <f t="shared" si="221"/>
        <v>-8.0000000000000071</v>
      </c>
      <c r="N1742">
        <f t="shared" si="222"/>
        <v>-8.0000000000000071</v>
      </c>
      <c r="O1742">
        <f t="shared" si="223"/>
        <v>-8.0000000000000071</v>
      </c>
      <c r="P1742">
        <f t="shared" si="224"/>
        <v>-6.9999999999999396</v>
      </c>
      <c r="Q1742">
        <f t="shared" si="225"/>
        <v>-5.9999999999999609</v>
      </c>
      <c r="R1742">
        <f t="shared" si="226"/>
        <v>-5.9999999999999609</v>
      </c>
    </row>
    <row r="1743" spans="1:18">
      <c r="A1743" s="9">
        <v>39253</v>
      </c>
      <c r="B1743">
        <v>5.47</v>
      </c>
      <c r="C1743">
        <v>5.44</v>
      </c>
      <c r="D1743">
        <v>5.47</v>
      </c>
      <c r="E1743">
        <v>5.5</v>
      </c>
      <c r="F1743">
        <v>5.55</v>
      </c>
      <c r="G1743">
        <v>5.62</v>
      </c>
      <c r="H1743">
        <v>5.71</v>
      </c>
      <c r="I1743">
        <v>5.88</v>
      </c>
      <c r="K1743">
        <f t="shared" si="219"/>
        <v>0.99999999999997868</v>
      </c>
      <c r="L1743">
        <f t="shared" si="220"/>
        <v>1.0000000000000675</v>
      </c>
      <c r="M1743">
        <f t="shared" si="221"/>
        <v>1.9999999999999574</v>
      </c>
      <c r="N1743">
        <f t="shared" si="222"/>
        <v>0.99999999999997868</v>
      </c>
      <c r="O1743">
        <f t="shared" si="223"/>
        <v>1.9999999999999574</v>
      </c>
      <c r="P1743">
        <f t="shared" si="224"/>
        <v>0.99999999999997868</v>
      </c>
      <c r="Q1743">
        <f t="shared" si="225"/>
        <v>0.99999999999997868</v>
      </c>
      <c r="R1743">
        <f t="shared" si="226"/>
        <v>0.99999999999997868</v>
      </c>
    </row>
    <row r="1744" spans="1:18">
      <c r="A1744" s="9">
        <v>39254</v>
      </c>
      <c r="B1744">
        <v>5.45</v>
      </c>
      <c r="C1744">
        <v>5.43</v>
      </c>
      <c r="D1744">
        <v>5.47</v>
      </c>
      <c r="E1744">
        <v>5.52</v>
      </c>
      <c r="F1744">
        <v>5.57</v>
      </c>
      <c r="G1744">
        <v>5.65</v>
      </c>
      <c r="H1744">
        <v>5.75</v>
      </c>
      <c r="I1744">
        <v>5.92</v>
      </c>
      <c r="K1744">
        <f t="shared" si="219"/>
        <v>-1.9999999999999574</v>
      </c>
      <c r="L1744">
        <f t="shared" si="220"/>
        <v>-1.0000000000000675</v>
      </c>
      <c r="M1744">
        <f t="shared" si="221"/>
        <v>0</v>
      </c>
      <c r="N1744">
        <f t="shared" si="222"/>
        <v>1.9999999999999574</v>
      </c>
      <c r="O1744">
        <f t="shared" si="223"/>
        <v>2.0000000000000462</v>
      </c>
      <c r="P1744">
        <f t="shared" si="224"/>
        <v>3.0000000000000249</v>
      </c>
      <c r="Q1744">
        <f t="shared" si="225"/>
        <v>4.0000000000000036</v>
      </c>
      <c r="R1744">
        <f t="shared" si="226"/>
        <v>4.0000000000000036</v>
      </c>
    </row>
    <row r="1745" spans="1:18">
      <c r="A1745" s="9">
        <v>39255</v>
      </c>
      <c r="B1745">
        <v>5.45</v>
      </c>
      <c r="C1745">
        <v>5.45</v>
      </c>
      <c r="D1745">
        <v>5.5</v>
      </c>
      <c r="E1745">
        <v>5.55</v>
      </c>
      <c r="F1745">
        <v>5.61</v>
      </c>
      <c r="G1745">
        <v>5.7</v>
      </c>
      <c r="H1745">
        <v>5.8</v>
      </c>
      <c r="I1745">
        <v>5.97</v>
      </c>
      <c r="K1745">
        <f t="shared" si="219"/>
        <v>0</v>
      </c>
      <c r="L1745">
        <f t="shared" si="220"/>
        <v>2.0000000000000462</v>
      </c>
      <c r="M1745">
        <f t="shared" si="221"/>
        <v>3.0000000000000249</v>
      </c>
      <c r="N1745">
        <f t="shared" si="222"/>
        <v>3.0000000000000249</v>
      </c>
      <c r="O1745">
        <f t="shared" si="223"/>
        <v>4.0000000000000036</v>
      </c>
      <c r="P1745">
        <f t="shared" si="224"/>
        <v>4.9999999999999822</v>
      </c>
      <c r="Q1745">
        <f t="shared" si="225"/>
        <v>4.9999999999999822</v>
      </c>
      <c r="R1745">
        <f t="shared" si="226"/>
        <v>4.9999999999999822</v>
      </c>
    </row>
    <row r="1746" spans="1:18">
      <c r="A1746" s="9">
        <v>39258</v>
      </c>
      <c r="B1746">
        <v>5.42</v>
      </c>
      <c r="C1746">
        <v>5.4</v>
      </c>
      <c r="D1746">
        <v>5.44</v>
      </c>
      <c r="E1746">
        <v>5.49</v>
      </c>
      <c r="F1746">
        <v>5.54</v>
      </c>
      <c r="G1746">
        <v>5.63</v>
      </c>
      <c r="H1746">
        <v>5.73</v>
      </c>
      <c r="I1746">
        <v>5.9</v>
      </c>
      <c r="K1746">
        <f t="shared" si="219"/>
        <v>-3.0000000000000249</v>
      </c>
      <c r="L1746">
        <f t="shared" si="220"/>
        <v>-4.9999999999999822</v>
      </c>
      <c r="M1746">
        <f t="shared" si="221"/>
        <v>-5.9999999999999609</v>
      </c>
      <c r="N1746">
        <f t="shared" si="222"/>
        <v>-5.9999999999999609</v>
      </c>
      <c r="O1746">
        <f t="shared" si="223"/>
        <v>-7.0000000000000284</v>
      </c>
      <c r="P1746">
        <f t="shared" si="224"/>
        <v>-7.0000000000000284</v>
      </c>
      <c r="Q1746">
        <f t="shared" si="225"/>
        <v>-6.9999999999999396</v>
      </c>
      <c r="R1746">
        <f t="shared" si="226"/>
        <v>-6.9999999999999396</v>
      </c>
    </row>
    <row r="1747" spans="1:18">
      <c r="A1747" s="9">
        <v>39259</v>
      </c>
      <c r="B1747">
        <v>5.41</v>
      </c>
      <c r="C1747">
        <v>5.37</v>
      </c>
      <c r="D1747">
        <v>5.41</v>
      </c>
      <c r="E1747">
        <v>5.46</v>
      </c>
      <c r="F1747">
        <v>5.52</v>
      </c>
      <c r="G1747">
        <v>5.61</v>
      </c>
      <c r="H1747">
        <v>5.7</v>
      </c>
      <c r="I1747">
        <v>5.87</v>
      </c>
      <c r="K1747">
        <f t="shared" si="219"/>
        <v>-0.99999999999997868</v>
      </c>
      <c r="L1747">
        <f t="shared" si="220"/>
        <v>-3.0000000000000249</v>
      </c>
      <c r="M1747">
        <f t="shared" si="221"/>
        <v>-3.0000000000000249</v>
      </c>
      <c r="N1747">
        <f t="shared" si="222"/>
        <v>-3.0000000000000249</v>
      </c>
      <c r="O1747">
        <f t="shared" si="223"/>
        <v>-2.0000000000000462</v>
      </c>
      <c r="P1747">
        <f t="shared" si="224"/>
        <v>-1.9999999999999574</v>
      </c>
      <c r="Q1747">
        <f t="shared" si="225"/>
        <v>-3.0000000000000249</v>
      </c>
      <c r="R1747">
        <f t="shared" si="226"/>
        <v>-3.0000000000000249</v>
      </c>
    </row>
    <row r="1748" spans="1:18">
      <c r="A1748" s="9">
        <v>39260</v>
      </c>
      <c r="B1748">
        <v>5.38</v>
      </c>
      <c r="C1748">
        <v>5.33</v>
      </c>
      <c r="D1748">
        <v>5.37</v>
      </c>
      <c r="E1748">
        <v>5.42</v>
      </c>
      <c r="F1748">
        <v>5.47</v>
      </c>
      <c r="G1748">
        <v>5.57</v>
      </c>
      <c r="H1748">
        <v>5.67</v>
      </c>
      <c r="I1748">
        <v>5.85</v>
      </c>
      <c r="K1748">
        <f t="shared" si="219"/>
        <v>-3.0000000000000249</v>
      </c>
      <c r="L1748">
        <f t="shared" si="220"/>
        <v>-4.0000000000000036</v>
      </c>
      <c r="M1748">
        <f t="shared" si="221"/>
        <v>-4.0000000000000036</v>
      </c>
      <c r="N1748">
        <f t="shared" si="222"/>
        <v>-4.0000000000000036</v>
      </c>
      <c r="O1748">
        <f t="shared" si="223"/>
        <v>-4.9999999999999822</v>
      </c>
      <c r="P1748">
        <f t="shared" si="224"/>
        <v>-4.0000000000000036</v>
      </c>
      <c r="Q1748">
        <f t="shared" si="225"/>
        <v>-3.0000000000000249</v>
      </c>
      <c r="R1748">
        <f t="shared" si="226"/>
        <v>-2.0000000000000462</v>
      </c>
    </row>
    <row r="1749" spans="1:18">
      <c r="A1749" s="9">
        <v>39261</v>
      </c>
      <c r="B1749">
        <v>5.43</v>
      </c>
      <c r="C1749">
        <v>5.38</v>
      </c>
      <c r="D1749">
        <v>5.43</v>
      </c>
      <c r="E1749">
        <v>5.47</v>
      </c>
      <c r="F1749">
        <v>5.52</v>
      </c>
      <c r="G1749">
        <v>5.6</v>
      </c>
      <c r="H1749">
        <v>5.7</v>
      </c>
      <c r="I1749">
        <v>5.85</v>
      </c>
      <c r="K1749">
        <f t="shared" si="219"/>
        <v>4.9999999999999822</v>
      </c>
      <c r="L1749">
        <f t="shared" si="220"/>
        <v>4.9999999999999822</v>
      </c>
      <c r="M1749">
        <f t="shared" si="221"/>
        <v>5.9999999999999609</v>
      </c>
      <c r="N1749">
        <f t="shared" si="222"/>
        <v>4.9999999999999822</v>
      </c>
      <c r="O1749">
        <f t="shared" si="223"/>
        <v>4.9999999999999822</v>
      </c>
      <c r="P1749">
        <f t="shared" si="224"/>
        <v>2.9999999999999361</v>
      </c>
      <c r="Q1749">
        <f t="shared" si="225"/>
        <v>3.0000000000000249</v>
      </c>
      <c r="R1749">
        <f t="shared" si="226"/>
        <v>0</v>
      </c>
    </row>
    <row r="1750" spans="1:18">
      <c r="A1750" s="9">
        <v>39262</v>
      </c>
      <c r="B1750">
        <v>5.44</v>
      </c>
      <c r="C1750">
        <v>5.4</v>
      </c>
      <c r="D1750">
        <v>5.44</v>
      </c>
      <c r="E1750">
        <v>5.49</v>
      </c>
      <c r="F1750">
        <v>5.53</v>
      </c>
      <c r="G1750">
        <v>5.61</v>
      </c>
      <c r="H1750">
        <v>5.7</v>
      </c>
      <c r="I1750">
        <v>5.85</v>
      </c>
      <c r="K1750">
        <f t="shared" si="219"/>
        <v>1.0000000000000675</v>
      </c>
      <c r="L1750">
        <f t="shared" si="220"/>
        <v>2.0000000000000462</v>
      </c>
      <c r="M1750">
        <f t="shared" si="221"/>
        <v>1.0000000000000675</v>
      </c>
      <c r="N1750">
        <f t="shared" si="222"/>
        <v>2.0000000000000462</v>
      </c>
      <c r="O1750">
        <f t="shared" si="223"/>
        <v>1.0000000000000675</v>
      </c>
      <c r="P1750">
        <f t="shared" si="224"/>
        <v>1.0000000000000675</v>
      </c>
      <c r="Q1750">
        <f t="shared" si="225"/>
        <v>0</v>
      </c>
      <c r="R1750">
        <f t="shared" si="226"/>
        <v>0</v>
      </c>
    </row>
    <row r="1751" spans="1:18">
      <c r="A1751" s="9">
        <v>39265</v>
      </c>
      <c r="B1751">
        <v>5.41</v>
      </c>
      <c r="C1751">
        <v>5.34</v>
      </c>
      <c r="D1751">
        <v>5.37</v>
      </c>
      <c r="E1751">
        <v>5.42</v>
      </c>
      <c r="F1751">
        <v>5.47</v>
      </c>
      <c r="G1751">
        <v>5.54</v>
      </c>
      <c r="H1751">
        <v>5.64</v>
      </c>
      <c r="I1751">
        <v>5.79</v>
      </c>
      <c r="K1751">
        <f t="shared" si="219"/>
        <v>-3.0000000000000249</v>
      </c>
      <c r="L1751">
        <f t="shared" si="220"/>
        <v>-6.0000000000000497</v>
      </c>
      <c r="M1751">
        <f t="shared" si="221"/>
        <v>-7.0000000000000284</v>
      </c>
      <c r="N1751">
        <f t="shared" si="222"/>
        <v>-7.0000000000000284</v>
      </c>
      <c r="O1751">
        <f t="shared" si="223"/>
        <v>-6.0000000000000497</v>
      </c>
      <c r="P1751">
        <f t="shared" si="224"/>
        <v>-7.0000000000000284</v>
      </c>
      <c r="Q1751">
        <f t="shared" si="225"/>
        <v>-6.0000000000000497</v>
      </c>
      <c r="R1751">
        <f t="shared" si="226"/>
        <v>-5.9999999999999609</v>
      </c>
    </row>
    <row r="1752" spans="1:18">
      <c r="A1752" s="9">
        <v>39266</v>
      </c>
      <c r="B1752">
        <v>5.42</v>
      </c>
      <c r="C1752">
        <v>5.36</v>
      </c>
      <c r="D1752">
        <v>5.39</v>
      </c>
      <c r="E1752">
        <v>5.43</v>
      </c>
      <c r="F1752">
        <v>5.48</v>
      </c>
      <c r="G1752">
        <v>5.56</v>
      </c>
      <c r="H1752">
        <v>5.66</v>
      </c>
      <c r="I1752">
        <v>5.82</v>
      </c>
      <c r="K1752">
        <f t="shared" si="219"/>
        <v>0.99999999999997868</v>
      </c>
      <c r="L1752">
        <f t="shared" si="220"/>
        <v>2.0000000000000462</v>
      </c>
      <c r="M1752">
        <f t="shared" si="221"/>
        <v>1.9999999999999574</v>
      </c>
      <c r="N1752">
        <f t="shared" si="222"/>
        <v>0.99999999999997868</v>
      </c>
      <c r="O1752">
        <f t="shared" si="223"/>
        <v>1.0000000000000675</v>
      </c>
      <c r="P1752">
        <f t="shared" si="224"/>
        <v>1.9999999999999574</v>
      </c>
      <c r="Q1752">
        <f t="shared" si="225"/>
        <v>2.0000000000000462</v>
      </c>
      <c r="R1752">
        <f t="shared" si="226"/>
        <v>3.0000000000000249</v>
      </c>
    </row>
    <row r="1753" spans="1:18">
      <c r="A1753" s="9">
        <v>39268</v>
      </c>
      <c r="B1753">
        <v>5.46</v>
      </c>
      <c r="C1753">
        <v>5.43</v>
      </c>
      <c r="D1753">
        <v>5.46</v>
      </c>
      <c r="E1753">
        <v>5.51</v>
      </c>
      <c r="F1753">
        <v>5.56</v>
      </c>
      <c r="G1753">
        <v>5.64</v>
      </c>
      <c r="H1753">
        <v>5.74</v>
      </c>
      <c r="I1753">
        <v>5.89</v>
      </c>
      <c r="K1753">
        <f t="shared" si="219"/>
        <v>4.0000000000000036</v>
      </c>
      <c r="L1753">
        <f t="shared" si="220"/>
        <v>6.9999999999999396</v>
      </c>
      <c r="M1753">
        <f t="shared" si="221"/>
        <v>7.0000000000000284</v>
      </c>
      <c r="N1753">
        <f t="shared" si="222"/>
        <v>8.0000000000000071</v>
      </c>
      <c r="O1753">
        <f t="shared" si="223"/>
        <v>7.9999999999999183</v>
      </c>
      <c r="P1753">
        <f t="shared" si="224"/>
        <v>8.0000000000000071</v>
      </c>
      <c r="Q1753">
        <f t="shared" si="225"/>
        <v>8.0000000000000071</v>
      </c>
      <c r="R1753">
        <f t="shared" si="226"/>
        <v>6.9999999999999396</v>
      </c>
    </row>
    <row r="1754" spans="1:18">
      <c r="A1754" s="9">
        <v>39269</v>
      </c>
      <c r="B1754">
        <v>5.47</v>
      </c>
      <c r="C1754">
        <v>5.47</v>
      </c>
      <c r="D1754">
        <v>5.52</v>
      </c>
      <c r="E1754">
        <v>5.58</v>
      </c>
      <c r="F1754">
        <v>5.63</v>
      </c>
      <c r="G1754">
        <v>5.72</v>
      </c>
      <c r="H1754">
        <v>5.81</v>
      </c>
      <c r="I1754">
        <v>5.97</v>
      </c>
      <c r="K1754">
        <f t="shared" si="219"/>
        <v>0.99999999999997868</v>
      </c>
      <c r="L1754">
        <f t="shared" si="220"/>
        <v>4.0000000000000036</v>
      </c>
      <c r="M1754">
        <f t="shared" si="221"/>
        <v>5.9999999999999609</v>
      </c>
      <c r="N1754">
        <f t="shared" si="222"/>
        <v>7.0000000000000284</v>
      </c>
      <c r="O1754">
        <f t="shared" si="223"/>
        <v>7.0000000000000284</v>
      </c>
      <c r="P1754">
        <f t="shared" si="224"/>
        <v>8.0000000000000071</v>
      </c>
      <c r="Q1754">
        <f t="shared" si="225"/>
        <v>6.9999999999999396</v>
      </c>
      <c r="R1754">
        <f t="shared" si="226"/>
        <v>8.0000000000000071</v>
      </c>
    </row>
    <row r="1755" spans="1:18">
      <c r="A1755" s="9">
        <v>39272</v>
      </c>
      <c r="B1755">
        <v>5.47</v>
      </c>
      <c r="C1755">
        <v>5.46</v>
      </c>
      <c r="D1755">
        <v>5.5</v>
      </c>
      <c r="E1755">
        <v>5.56</v>
      </c>
      <c r="F1755">
        <v>5.61</v>
      </c>
      <c r="G1755">
        <v>5.69</v>
      </c>
      <c r="H1755">
        <v>5.78</v>
      </c>
      <c r="I1755">
        <v>5.93</v>
      </c>
      <c r="K1755">
        <f t="shared" si="219"/>
        <v>0</v>
      </c>
      <c r="L1755">
        <f t="shared" si="220"/>
        <v>-0.99999999999997868</v>
      </c>
      <c r="M1755">
        <f t="shared" si="221"/>
        <v>-1.9999999999999574</v>
      </c>
      <c r="N1755">
        <f t="shared" si="222"/>
        <v>-2.0000000000000462</v>
      </c>
      <c r="O1755">
        <f t="shared" si="223"/>
        <v>-1.9999999999999574</v>
      </c>
      <c r="P1755">
        <f t="shared" si="224"/>
        <v>-2.9999999999999361</v>
      </c>
      <c r="Q1755">
        <f t="shared" si="225"/>
        <v>-2.9999999999999361</v>
      </c>
      <c r="R1755">
        <f t="shared" si="226"/>
        <v>-4.0000000000000036</v>
      </c>
    </row>
    <row r="1756" spans="1:18">
      <c r="A1756" s="9">
        <v>39273</v>
      </c>
      <c r="B1756">
        <v>5.44</v>
      </c>
      <c r="C1756">
        <v>5.39</v>
      </c>
      <c r="D1756">
        <v>5.43</v>
      </c>
      <c r="E1756">
        <v>5.49</v>
      </c>
      <c r="F1756">
        <v>5.54</v>
      </c>
      <c r="G1756">
        <v>5.62</v>
      </c>
      <c r="H1756">
        <v>5.72</v>
      </c>
      <c r="I1756">
        <v>5.88</v>
      </c>
      <c r="K1756">
        <f t="shared" si="219"/>
        <v>-2.9999999999999361</v>
      </c>
      <c r="L1756">
        <f t="shared" si="220"/>
        <v>-7.0000000000000284</v>
      </c>
      <c r="M1756">
        <f t="shared" si="221"/>
        <v>-7.0000000000000284</v>
      </c>
      <c r="N1756">
        <f t="shared" si="222"/>
        <v>-6.9999999999999396</v>
      </c>
      <c r="O1756">
        <f t="shared" si="223"/>
        <v>-7.0000000000000284</v>
      </c>
      <c r="P1756">
        <f t="shared" si="224"/>
        <v>-7.0000000000000284</v>
      </c>
      <c r="Q1756">
        <f t="shared" si="225"/>
        <v>-6.0000000000000497</v>
      </c>
      <c r="R1756">
        <f t="shared" si="226"/>
        <v>-4.9999999999999822</v>
      </c>
    </row>
    <row r="1757" spans="1:18">
      <c r="A1757" s="9">
        <v>39274</v>
      </c>
      <c r="B1757">
        <v>5.42</v>
      </c>
      <c r="C1757">
        <v>5.37</v>
      </c>
      <c r="D1757">
        <v>5.41</v>
      </c>
      <c r="E1757">
        <v>5.46</v>
      </c>
      <c r="F1757">
        <v>5.52</v>
      </c>
      <c r="G1757">
        <v>5.61</v>
      </c>
      <c r="H1757">
        <v>5.71</v>
      </c>
      <c r="I1757">
        <v>5.87</v>
      </c>
      <c r="K1757">
        <f t="shared" si="219"/>
        <v>-2.0000000000000462</v>
      </c>
      <c r="L1757">
        <f t="shared" si="220"/>
        <v>-1.9999999999999574</v>
      </c>
      <c r="M1757">
        <f t="shared" si="221"/>
        <v>-1.9999999999999574</v>
      </c>
      <c r="N1757">
        <f t="shared" si="222"/>
        <v>-3.0000000000000249</v>
      </c>
      <c r="O1757">
        <f t="shared" si="223"/>
        <v>-2.0000000000000462</v>
      </c>
      <c r="P1757">
        <f t="shared" si="224"/>
        <v>-0.99999999999997868</v>
      </c>
      <c r="Q1757">
        <f t="shared" si="225"/>
        <v>-0.99999999999997868</v>
      </c>
      <c r="R1757">
        <f t="shared" si="226"/>
        <v>-0.99999999999997868</v>
      </c>
    </row>
    <row r="1758" spans="1:18">
      <c r="A1758" s="9">
        <v>39275</v>
      </c>
      <c r="B1758">
        <v>5.45</v>
      </c>
      <c r="C1758">
        <v>5.41</v>
      </c>
      <c r="D1758">
        <v>5.45</v>
      </c>
      <c r="E1758">
        <v>5.51</v>
      </c>
      <c r="F1758">
        <v>5.57</v>
      </c>
      <c r="G1758">
        <v>5.66</v>
      </c>
      <c r="H1758">
        <v>5.76</v>
      </c>
      <c r="I1758">
        <v>5.92</v>
      </c>
      <c r="K1758">
        <f t="shared" si="219"/>
        <v>3.0000000000000249</v>
      </c>
      <c r="L1758">
        <f t="shared" si="220"/>
        <v>4.0000000000000036</v>
      </c>
      <c r="M1758">
        <f t="shared" si="221"/>
        <v>4.0000000000000036</v>
      </c>
      <c r="N1758">
        <f t="shared" si="222"/>
        <v>4.9999999999999822</v>
      </c>
      <c r="O1758">
        <f t="shared" si="223"/>
        <v>5.0000000000000711</v>
      </c>
      <c r="P1758">
        <f t="shared" si="224"/>
        <v>4.9999999999999822</v>
      </c>
      <c r="Q1758">
        <f t="shared" si="225"/>
        <v>4.9999999999999822</v>
      </c>
      <c r="R1758">
        <f t="shared" si="226"/>
        <v>4.9999999999999822</v>
      </c>
    </row>
    <row r="1759" spans="1:18">
      <c r="A1759" s="9">
        <v>39276</v>
      </c>
      <c r="B1759">
        <v>5.45</v>
      </c>
      <c r="C1759">
        <v>5.42</v>
      </c>
      <c r="D1759">
        <v>5.48</v>
      </c>
      <c r="E1759">
        <v>5.54</v>
      </c>
      <c r="F1759">
        <v>5.59</v>
      </c>
      <c r="G1759">
        <v>5.68</v>
      </c>
      <c r="H1759">
        <v>5.77</v>
      </c>
      <c r="I1759">
        <v>5.93</v>
      </c>
      <c r="K1759">
        <f t="shared" si="219"/>
        <v>0</v>
      </c>
      <c r="L1759">
        <f t="shared" si="220"/>
        <v>0.99999999999997868</v>
      </c>
      <c r="M1759">
        <f t="shared" si="221"/>
        <v>3.0000000000000249</v>
      </c>
      <c r="N1759">
        <f t="shared" si="222"/>
        <v>3.0000000000000249</v>
      </c>
      <c r="O1759">
        <f t="shared" si="223"/>
        <v>1.9999999999999574</v>
      </c>
      <c r="P1759">
        <f t="shared" si="224"/>
        <v>1.9999999999999574</v>
      </c>
      <c r="Q1759">
        <f t="shared" si="225"/>
        <v>0.99999999999997868</v>
      </c>
      <c r="R1759">
        <f t="shared" si="226"/>
        <v>0.99999999999997868</v>
      </c>
    </row>
    <row r="1760" spans="1:18">
      <c r="A1760" s="9">
        <v>39279</v>
      </c>
      <c r="B1760">
        <v>5.45</v>
      </c>
      <c r="C1760">
        <v>5.41</v>
      </c>
      <c r="D1760">
        <v>5.46</v>
      </c>
      <c r="E1760">
        <v>5.51</v>
      </c>
      <c r="F1760">
        <v>5.56</v>
      </c>
      <c r="G1760">
        <v>5.64</v>
      </c>
      <c r="H1760">
        <v>5.73</v>
      </c>
      <c r="I1760">
        <v>5.89</v>
      </c>
      <c r="K1760">
        <f t="shared" si="219"/>
        <v>0</v>
      </c>
      <c r="L1760">
        <f t="shared" si="220"/>
        <v>-0.99999999999997868</v>
      </c>
      <c r="M1760">
        <f t="shared" si="221"/>
        <v>-2.0000000000000462</v>
      </c>
      <c r="N1760">
        <f t="shared" si="222"/>
        <v>-3.0000000000000249</v>
      </c>
      <c r="O1760">
        <f t="shared" si="223"/>
        <v>-3.0000000000000249</v>
      </c>
      <c r="P1760">
        <f t="shared" si="224"/>
        <v>-4.0000000000000036</v>
      </c>
      <c r="Q1760">
        <f t="shared" si="225"/>
        <v>-3.9999999999999147</v>
      </c>
      <c r="R1760">
        <f t="shared" si="226"/>
        <v>-4.0000000000000036</v>
      </c>
    </row>
    <row r="1761" spans="1:18">
      <c r="A1761" s="9">
        <v>39280</v>
      </c>
      <c r="B1761">
        <v>5.45</v>
      </c>
      <c r="C1761">
        <v>5.41</v>
      </c>
      <c r="D1761">
        <v>5.46</v>
      </c>
      <c r="E1761">
        <v>5.52</v>
      </c>
      <c r="F1761">
        <v>5.58</v>
      </c>
      <c r="G1761">
        <v>5.66</v>
      </c>
      <c r="H1761">
        <v>5.76</v>
      </c>
      <c r="I1761">
        <v>5.91</v>
      </c>
      <c r="K1761">
        <f t="shared" si="219"/>
        <v>0</v>
      </c>
      <c r="L1761">
        <f t="shared" si="220"/>
        <v>0</v>
      </c>
      <c r="M1761">
        <f t="shared" si="221"/>
        <v>0</v>
      </c>
      <c r="N1761">
        <f t="shared" si="222"/>
        <v>0.99999999999997868</v>
      </c>
      <c r="O1761">
        <f t="shared" si="223"/>
        <v>2.0000000000000462</v>
      </c>
      <c r="P1761">
        <f t="shared" si="224"/>
        <v>2.0000000000000462</v>
      </c>
      <c r="Q1761">
        <f t="shared" si="225"/>
        <v>2.9999999999999361</v>
      </c>
      <c r="R1761">
        <f t="shared" si="226"/>
        <v>2.0000000000000462</v>
      </c>
    </row>
    <row r="1762" spans="1:18">
      <c r="A1762" s="9">
        <v>39281</v>
      </c>
      <c r="B1762">
        <v>5.41</v>
      </c>
      <c r="C1762">
        <v>5.34</v>
      </c>
      <c r="D1762">
        <v>5.38</v>
      </c>
      <c r="E1762">
        <v>5.43</v>
      </c>
      <c r="F1762">
        <v>5.49</v>
      </c>
      <c r="G1762">
        <v>5.58</v>
      </c>
      <c r="H1762">
        <v>5.68</v>
      </c>
      <c r="I1762">
        <v>5.84</v>
      </c>
      <c r="K1762">
        <f t="shared" si="219"/>
        <v>-4.0000000000000036</v>
      </c>
      <c r="L1762">
        <f t="shared" si="220"/>
        <v>-7.0000000000000284</v>
      </c>
      <c r="M1762">
        <f t="shared" si="221"/>
        <v>-8.0000000000000071</v>
      </c>
      <c r="N1762">
        <f t="shared" si="222"/>
        <v>-8.9999999999999858</v>
      </c>
      <c r="O1762">
        <f t="shared" si="223"/>
        <v>-8.9999999999999858</v>
      </c>
      <c r="P1762">
        <f t="shared" si="224"/>
        <v>-8.0000000000000071</v>
      </c>
      <c r="Q1762">
        <f t="shared" si="225"/>
        <v>-8.0000000000000071</v>
      </c>
      <c r="R1762">
        <f t="shared" si="226"/>
        <v>-7.0000000000000284</v>
      </c>
    </row>
    <row r="1763" spans="1:18">
      <c r="A1763" s="9">
        <v>39282</v>
      </c>
      <c r="B1763">
        <v>5.42</v>
      </c>
      <c r="C1763">
        <v>5.36</v>
      </c>
      <c r="D1763">
        <v>5.4</v>
      </c>
      <c r="E1763">
        <v>5.46</v>
      </c>
      <c r="F1763">
        <v>5.51</v>
      </c>
      <c r="G1763">
        <v>5.6</v>
      </c>
      <c r="H1763">
        <v>5.7</v>
      </c>
      <c r="I1763">
        <v>5.85</v>
      </c>
      <c r="K1763">
        <f t="shared" si="219"/>
        <v>0.99999999999997868</v>
      </c>
      <c r="L1763">
        <f t="shared" si="220"/>
        <v>2.0000000000000462</v>
      </c>
      <c r="M1763">
        <f t="shared" si="221"/>
        <v>2.0000000000000462</v>
      </c>
      <c r="N1763">
        <f t="shared" si="222"/>
        <v>3.0000000000000249</v>
      </c>
      <c r="O1763">
        <f t="shared" si="223"/>
        <v>1.9999999999999574</v>
      </c>
      <c r="P1763">
        <f t="shared" si="224"/>
        <v>1.9999999999999574</v>
      </c>
      <c r="Q1763">
        <f t="shared" si="225"/>
        <v>2.0000000000000462</v>
      </c>
      <c r="R1763">
        <f t="shared" si="226"/>
        <v>0.99999999999997868</v>
      </c>
    </row>
    <row r="1764" spans="1:18">
      <c r="A1764" s="9">
        <v>39283</v>
      </c>
      <c r="B1764">
        <v>5.39</v>
      </c>
      <c r="C1764">
        <v>5.3</v>
      </c>
      <c r="D1764">
        <v>5.34</v>
      </c>
      <c r="E1764">
        <v>5.39</v>
      </c>
      <c r="F1764">
        <v>5.44</v>
      </c>
      <c r="G1764">
        <v>5.53</v>
      </c>
      <c r="H1764">
        <v>5.63</v>
      </c>
      <c r="I1764">
        <v>5.79</v>
      </c>
      <c r="K1764">
        <f t="shared" si="219"/>
        <v>-3.0000000000000249</v>
      </c>
      <c r="L1764">
        <f t="shared" si="220"/>
        <v>-6.0000000000000497</v>
      </c>
      <c r="M1764">
        <f t="shared" si="221"/>
        <v>-6.0000000000000497</v>
      </c>
      <c r="N1764">
        <f t="shared" si="222"/>
        <v>-7.0000000000000284</v>
      </c>
      <c r="O1764">
        <f t="shared" si="223"/>
        <v>-6.9999999999999396</v>
      </c>
      <c r="P1764">
        <f t="shared" si="224"/>
        <v>-6.9999999999999396</v>
      </c>
      <c r="Q1764">
        <f t="shared" si="225"/>
        <v>-7.0000000000000284</v>
      </c>
      <c r="R1764">
        <f t="shared" si="226"/>
        <v>-5.9999999999999609</v>
      </c>
    </row>
    <row r="1765" spans="1:18">
      <c r="A1765" s="9">
        <v>39286</v>
      </c>
      <c r="B1765">
        <v>5.4</v>
      </c>
      <c r="C1765">
        <v>5.33</v>
      </c>
      <c r="D1765">
        <v>5.36</v>
      </c>
      <c r="E1765">
        <v>5.42</v>
      </c>
      <c r="F1765">
        <v>5.47</v>
      </c>
      <c r="G1765">
        <v>5.55</v>
      </c>
      <c r="H1765">
        <v>5.65</v>
      </c>
      <c r="I1765">
        <v>5.81</v>
      </c>
      <c r="K1765">
        <f t="shared" si="219"/>
        <v>1.0000000000000675</v>
      </c>
      <c r="L1765">
        <f t="shared" si="220"/>
        <v>3.0000000000000249</v>
      </c>
      <c r="M1765">
        <f t="shared" si="221"/>
        <v>2.0000000000000462</v>
      </c>
      <c r="N1765">
        <f t="shared" si="222"/>
        <v>3.0000000000000249</v>
      </c>
      <c r="O1765">
        <f t="shared" si="223"/>
        <v>2.9999999999999361</v>
      </c>
      <c r="P1765">
        <f t="shared" si="224"/>
        <v>1.9999999999999574</v>
      </c>
      <c r="Q1765">
        <f t="shared" si="225"/>
        <v>2.0000000000000462</v>
      </c>
      <c r="R1765">
        <f t="shared" si="226"/>
        <v>1.9999999999999574</v>
      </c>
    </row>
    <row r="1766" spans="1:18">
      <c r="A1766" s="9">
        <v>39287</v>
      </c>
      <c r="B1766">
        <v>5.39</v>
      </c>
      <c r="C1766">
        <v>5.31</v>
      </c>
      <c r="D1766">
        <v>5.34</v>
      </c>
      <c r="E1766">
        <v>5.39</v>
      </c>
      <c r="F1766">
        <v>5.45</v>
      </c>
      <c r="G1766">
        <v>5.54</v>
      </c>
      <c r="H1766">
        <v>5.64</v>
      </c>
      <c r="I1766">
        <v>5.8</v>
      </c>
      <c r="K1766">
        <f t="shared" si="219"/>
        <v>-1.0000000000000675</v>
      </c>
      <c r="L1766">
        <f t="shared" si="220"/>
        <v>-2.0000000000000462</v>
      </c>
      <c r="M1766">
        <f t="shared" si="221"/>
        <v>-2.0000000000000462</v>
      </c>
      <c r="N1766">
        <f t="shared" si="222"/>
        <v>-3.0000000000000249</v>
      </c>
      <c r="O1766">
        <f t="shared" si="223"/>
        <v>-1.9999999999999574</v>
      </c>
      <c r="P1766">
        <f t="shared" si="224"/>
        <v>-0.99999999999997868</v>
      </c>
      <c r="Q1766">
        <f t="shared" si="225"/>
        <v>-1.0000000000000675</v>
      </c>
      <c r="R1766">
        <f t="shared" si="226"/>
        <v>-0.99999999999997868</v>
      </c>
    </row>
    <row r="1767" spans="1:18">
      <c r="A1767" s="9">
        <v>39288</v>
      </c>
      <c r="B1767">
        <v>5.37</v>
      </c>
      <c r="C1767">
        <v>5.28</v>
      </c>
      <c r="D1767">
        <v>5.3</v>
      </c>
      <c r="E1767">
        <v>5.36</v>
      </c>
      <c r="F1767">
        <v>5.41</v>
      </c>
      <c r="G1767">
        <v>5.5</v>
      </c>
      <c r="H1767">
        <v>5.62</v>
      </c>
      <c r="I1767">
        <v>5.78</v>
      </c>
      <c r="K1767">
        <f t="shared" si="219"/>
        <v>-1.9999999999999574</v>
      </c>
      <c r="L1767">
        <f t="shared" si="220"/>
        <v>-2.9999999999999361</v>
      </c>
      <c r="M1767">
        <f t="shared" si="221"/>
        <v>-4.0000000000000036</v>
      </c>
      <c r="N1767">
        <f t="shared" si="222"/>
        <v>-2.9999999999999361</v>
      </c>
      <c r="O1767">
        <f t="shared" si="223"/>
        <v>-4.0000000000000036</v>
      </c>
      <c r="P1767">
        <f t="shared" si="224"/>
        <v>-4.0000000000000036</v>
      </c>
      <c r="Q1767">
        <f t="shared" si="225"/>
        <v>-1.9999999999999574</v>
      </c>
      <c r="R1767">
        <f t="shared" si="226"/>
        <v>-1.9999999999999574</v>
      </c>
    </row>
    <row r="1768" spans="1:18">
      <c r="A1768" s="9">
        <v>39289</v>
      </c>
      <c r="B1768">
        <v>5.32</v>
      </c>
      <c r="C1768">
        <v>5.21</v>
      </c>
      <c r="D1768">
        <v>5.23</v>
      </c>
      <c r="E1768">
        <v>5.29</v>
      </c>
      <c r="F1768">
        <v>5.35</v>
      </c>
      <c r="G1768">
        <v>5.45</v>
      </c>
      <c r="H1768">
        <v>5.58</v>
      </c>
      <c r="I1768">
        <v>5.77</v>
      </c>
      <c r="K1768">
        <f t="shared" si="219"/>
        <v>-4.9999999999999822</v>
      </c>
      <c r="L1768">
        <f t="shared" si="220"/>
        <v>-7.0000000000000284</v>
      </c>
      <c r="M1768">
        <f t="shared" si="221"/>
        <v>-6.9999999999999396</v>
      </c>
      <c r="N1768">
        <f t="shared" si="222"/>
        <v>-7.0000000000000284</v>
      </c>
      <c r="O1768">
        <f t="shared" si="223"/>
        <v>-6.0000000000000497</v>
      </c>
      <c r="P1768">
        <f t="shared" si="224"/>
        <v>-4.9999999999999822</v>
      </c>
      <c r="Q1768">
        <f t="shared" si="225"/>
        <v>-4.0000000000000036</v>
      </c>
      <c r="R1768">
        <f t="shared" si="226"/>
        <v>-1.0000000000000675</v>
      </c>
    </row>
    <row r="1769" spans="1:18">
      <c r="A1769" s="9">
        <v>39290</v>
      </c>
      <c r="B1769">
        <v>5.25</v>
      </c>
      <c r="C1769">
        <v>5.1100000000000003</v>
      </c>
      <c r="D1769">
        <v>5.13</v>
      </c>
      <c r="E1769">
        <v>5.21</v>
      </c>
      <c r="F1769">
        <v>5.28</v>
      </c>
      <c r="G1769">
        <v>5.39</v>
      </c>
      <c r="H1769">
        <v>5.53</v>
      </c>
      <c r="I1769">
        <v>5.72</v>
      </c>
      <c r="K1769">
        <f t="shared" si="219"/>
        <v>-7.0000000000000284</v>
      </c>
      <c r="L1769">
        <f t="shared" si="220"/>
        <v>-9.9999999999999645</v>
      </c>
      <c r="M1769">
        <f t="shared" si="221"/>
        <v>-10.000000000000053</v>
      </c>
      <c r="N1769">
        <f t="shared" si="222"/>
        <v>-8.0000000000000071</v>
      </c>
      <c r="O1769">
        <f t="shared" si="223"/>
        <v>-6.9999999999999396</v>
      </c>
      <c r="P1769">
        <f t="shared" si="224"/>
        <v>-6.0000000000000497</v>
      </c>
      <c r="Q1769">
        <f t="shared" si="225"/>
        <v>-4.9999999999999822</v>
      </c>
      <c r="R1769">
        <f t="shared" si="226"/>
        <v>-4.9999999999999822</v>
      </c>
    </row>
    <row r="1770" spans="1:18">
      <c r="A1770" s="9">
        <v>39293</v>
      </c>
      <c r="B1770">
        <v>5.22</v>
      </c>
      <c r="C1770">
        <v>5.07</v>
      </c>
      <c r="D1770">
        <v>5.12</v>
      </c>
      <c r="E1770">
        <v>5.2</v>
      </c>
      <c r="F1770">
        <v>5.27</v>
      </c>
      <c r="G1770">
        <v>5.4</v>
      </c>
      <c r="H1770">
        <v>5.54</v>
      </c>
      <c r="I1770">
        <v>5.74</v>
      </c>
      <c r="K1770">
        <f t="shared" si="219"/>
        <v>-3.0000000000000249</v>
      </c>
      <c r="L1770">
        <f t="shared" si="220"/>
        <v>-4.0000000000000036</v>
      </c>
      <c r="M1770">
        <f t="shared" si="221"/>
        <v>-0.99999999999997868</v>
      </c>
      <c r="N1770">
        <f t="shared" si="222"/>
        <v>-0.99999999999997868</v>
      </c>
      <c r="O1770">
        <f t="shared" si="223"/>
        <v>-1.0000000000000675</v>
      </c>
      <c r="P1770">
        <f t="shared" si="224"/>
        <v>1.0000000000000675</v>
      </c>
      <c r="Q1770">
        <f t="shared" si="225"/>
        <v>0.99999999999997868</v>
      </c>
      <c r="R1770">
        <f t="shared" si="226"/>
        <v>2.0000000000000462</v>
      </c>
    </row>
    <row r="1771" spans="1:18">
      <c r="A1771" s="9">
        <v>39294</v>
      </c>
      <c r="B1771">
        <v>5.26</v>
      </c>
      <c r="C1771">
        <v>5.13</v>
      </c>
      <c r="D1771">
        <v>5.16</v>
      </c>
      <c r="E1771">
        <v>5.23</v>
      </c>
      <c r="F1771">
        <v>5.3</v>
      </c>
      <c r="G1771">
        <v>5.41</v>
      </c>
      <c r="H1771">
        <v>5.53</v>
      </c>
      <c r="I1771">
        <v>5.72</v>
      </c>
      <c r="K1771">
        <f t="shared" si="219"/>
        <v>4.0000000000000036</v>
      </c>
      <c r="L1771">
        <f t="shared" si="220"/>
        <v>5.9999999999999609</v>
      </c>
      <c r="M1771">
        <f t="shared" si="221"/>
        <v>4.0000000000000036</v>
      </c>
      <c r="N1771">
        <f t="shared" si="222"/>
        <v>3.0000000000000249</v>
      </c>
      <c r="O1771">
        <f t="shared" si="223"/>
        <v>3.0000000000000249</v>
      </c>
      <c r="P1771">
        <f t="shared" si="224"/>
        <v>0.99999999999997868</v>
      </c>
      <c r="Q1771">
        <f t="shared" si="225"/>
        <v>-0.99999999999997868</v>
      </c>
      <c r="R1771">
        <f t="shared" si="226"/>
        <v>-2.0000000000000462</v>
      </c>
    </row>
    <row r="1772" spans="1:18">
      <c r="A1772" s="9">
        <v>39295</v>
      </c>
      <c r="B1772">
        <v>5.21</v>
      </c>
      <c r="C1772">
        <v>5.07</v>
      </c>
      <c r="D1772">
        <v>5.0999999999999996</v>
      </c>
      <c r="E1772">
        <v>5.17</v>
      </c>
      <c r="F1772">
        <v>5.24</v>
      </c>
      <c r="G1772">
        <v>5.35</v>
      </c>
      <c r="H1772">
        <v>5.48</v>
      </c>
      <c r="I1772">
        <v>5.67</v>
      </c>
      <c r="K1772">
        <f t="shared" si="219"/>
        <v>-4.9999999999999822</v>
      </c>
      <c r="L1772">
        <f t="shared" si="220"/>
        <v>-5.9999999999999609</v>
      </c>
      <c r="M1772">
        <f t="shared" si="221"/>
        <v>-6.0000000000000497</v>
      </c>
      <c r="N1772">
        <f t="shared" si="222"/>
        <v>-6.0000000000000497</v>
      </c>
      <c r="O1772">
        <f t="shared" si="223"/>
        <v>-5.9999999999999609</v>
      </c>
      <c r="P1772">
        <f t="shared" si="224"/>
        <v>-6.0000000000000497</v>
      </c>
      <c r="Q1772">
        <f t="shared" si="225"/>
        <v>-4.9999999999999822</v>
      </c>
      <c r="R1772">
        <f t="shared" si="226"/>
        <v>-4.9999999999999822</v>
      </c>
    </row>
    <row r="1773" spans="1:18">
      <c r="A1773" s="9">
        <v>39296</v>
      </c>
      <c r="B1773">
        <v>5.24</v>
      </c>
      <c r="C1773">
        <v>5.13</v>
      </c>
      <c r="D1773">
        <v>5.16</v>
      </c>
      <c r="E1773">
        <v>5.22</v>
      </c>
      <c r="F1773">
        <v>5.29</v>
      </c>
      <c r="G1773">
        <v>5.39</v>
      </c>
      <c r="H1773">
        <v>5.51</v>
      </c>
      <c r="I1773">
        <v>5.67</v>
      </c>
      <c r="K1773">
        <f t="shared" si="219"/>
        <v>3.0000000000000249</v>
      </c>
      <c r="L1773">
        <f t="shared" si="220"/>
        <v>5.9999999999999609</v>
      </c>
      <c r="M1773">
        <f t="shared" si="221"/>
        <v>6.0000000000000497</v>
      </c>
      <c r="N1773">
        <f t="shared" si="222"/>
        <v>4.9999999999999822</v>
      </c>
      <c r="O1773">
        <f t="shared" si="223"/>
        <v>4.9999999999999822</v>
      </c>
      <c r="P1773">
        <f t="shared" si="224"/>
        <v>4.0000000000000036</v>
      </c>
      <c r="Q1773">
        <f t="shared" si="225"/>
        <v>2.9999999999999361</v>
      </c>
      <c r="R1773">
        <f t="shared" si="226"/>
        <v>0</v>
      </c>
    </row>
    <row r="1774" spans="1:18">
      <c r="A1774" s="9">
        <v>39297</v>
      </c>
      <c r="B1774">
        <v>5.17</v>
      </c>
      <c r="C1774">
        <v>5.04</v>
      </c>
      <c r="D1774">
        <v>5.07</v>
      </c>
      <c r="E1774">
        <v>5.14</v>
      </c>
      <c r="F1774">
        <v>5.2</v>
      </c>
      <c r="G1774">
        <v>5.32</v>
      </c>
      <c r="H1774">
        <v>5.45</v>
      </c>
      <c r="I1774">
        <v>5.64</v>
      </c>
      <c r="K1774">
        <f t="shared" si="219"/>
        <v>-7.0000000000000284</v>
      </c>
      <c r="L1774">
        <f t="shared" si="220"/>
        <v>-8.9999999999999858</v>
      </c>
      <c r="M1774">
        <f t="shared" si="221"/>
        <v>-8.9999999999999858</v>
      </c>
      <c r="N1774">
        <f t="shared" si="222"/>
        <v>-8.0000000000000071</v>
      </c>
      <c r="O1774">
        <f t="shared" si="223"/>
        <v>-8.9999999999999858</v>
      </c>
      <c r="P1774">
        <f t="shared" si="224"/>
        <v>-6.9999999999999396</v>
      </c>
      <c r="Q1774">
        <f t="shared" si="225"/>
        <v>-5.9999999999999609</v>
      </c>
      <c r="R1774">
        <f t="shared" si="226"/>
        <v>-3.0000000000000249</v>
      </c>
    </row>
    <row r="1775" spans="1:18">
      <c r="A1775" s="9">
        <v>39300</v>
      </c>
      <c r="B1775">
        <v>5.1100000000000003</v>
      </c>
      <c r="C1775">
        <v>4.99</v>
      </c>
      <c r="D1775">
        <v>5.0199999999999996</v>
      </c>
      <c r="E1775">
        <v>5.09</v>
      </c>
      <c r="F1775">
        <v>5.15</v>
      </c>
      <c r="G1775">
        <v>5.29</v>
      </c>
      <c r="H1775">
        <v>5.44</v>
      </c>
      <c r="I1775">
        <v>5.65</v>
      </c>
      <c r="K1775">
        <f t="shared" si="219"/>
        <v>-5.9999999999999609</v>
      </c>
      <c r="L1775">
        <f t="shared" si="220"/>
        <v>-4.9999999999999822</v>
      </c>
      <c r="M1775">
        <f t="shared" si="221"/>
        <v>-5.0000000000000711</v>
      </c>
      <c r="N1775">
        <f t="shared" si="222"/>
        <v>-4.9999999999999822</v>
      </c>
      <c r="O1775">
        <f t="shared" si="223"/>
        <v>-4.9999999999999822</v>
      </c>
      <c r="P1775">
        <f t="shared" si="224"/>
        <v>-3.0000000000000249</v>
      </c>
      <c r="Q1775">
        <f t="shared" si="225"/>
        <v>-0.99999999999997868</v>
      </c>
      <c r="R1775">
        <f t="shared" si="226"/>
        <v>1.0000000000000675</v>
      </c>
    </row>
    <row r="1776" spans="1:18">
      <c r="A1776" s="9">
        <v>39301</v>
      </c>
      <c r="B1776">
        <v>5.19</v>
      </c>
      <c r="C1776">
        <v>5.0599999999999996</v>
      </c>
      <c r="D1776">
        <v>5.09</v>
      </c>
      <c r="E1776">
        <v>5.15</v>
      </c>
      <c r="F1776">
        <v>5.21</v>
      </c>
      <c r="G1776">
        <v>5.33</v>
      </c>
      <c r="H1776">
        <v>5.46</v>
      </c>
      <c r="I1776">
        <v>5.64</v>
      </c>
      <c r="K1776">
        <f t="shared" si="219"/>
        <v>8.0000000000000071</v>
      </c>
      <c r="L1776">
        <f t="shared" si="220"/>
        <v>6.9999999999999396</v>
      </c>
      <c r="M1776">
        <f t="shared" si="221"/>
        <v>7.0000000000000284</v>
      </c>
      <c r="N1776">
        <f t="shared" si="222"/>
        <v>6.0000000000000497</v>
      </c>
      <c r="O1776">
        <f t="shared" si="223"/>
        <v>5.9999999999999609</v>
      </c>
      <c r="P1776">
        <f t="shared" si="224"/>
        <v>4.0000000000000036</v>
      </c>
      <c r="Q1776">
        <f t="shared" si="225"/>
        <v>1.9999999999999574</v>
      </c>
      <c r="R1776">
        <f t="shared" si="226"/>
        <v>-1.0000000000000675</v>
      </c>
    </row>
    <row r="1777" spans="1:18">
      <c r="A1777" s="9">
        <v>39302</v>
      </c>
      <c r="B1777">
        <v>5.27</v>
      </c>
      <c r="C1777">
        <v>5.16</v>
      </c>
      <c r="D1777">
        <v>5.19</v>
      </c>
      <c r="E1777">
        <v>5.24</v>
      </c>
      <c r="F1777">
        <v>5.3</v>
      </c>
      <c r="G1777">
        <v>5.4</v>
      </c>
      <c r="H1777">
        <v>5.53</v>
      </c>
      <c r="I1777">
        <v>5.7</v>
      </c>
      <c r="K1777">
        <f t="shared" si="219"/>
        <v>7.9999999999999183</v>
      </c>
      <c r="L1777">
        <f t="shared" si="220"/>
        <v>10.000000000000053</v>
      </c>
      <c r="M1777">
        <f t="shared" si="221"/>
        <v>10.000000000000053</v>
      </c>
      <c r="N1777">
        <f t="shared" si="222"/>
        <v>8.9999999999999858</v>
      </c>
      <c r="O1777">
        <f t="shared" si="223"/>
        <v>8.9999999999999858</v>
      </c>
      <c r="P1777">
        <f t="shared" si="224"/>
        <v>7.0000000000000284</v>
      </c>
      <c r="Q1777">
        <f t="shared" si="225"/>
        <v>7.0000000000000284</v>
      </c>
      <c r="R1777">
        <f t="shared" si="226"/>
        <v>6.0000000000000497</v>
      </c>
    </row>
    <row r="1778" spans="1:18">
      <c r="A1778" s="9">
        <v>39303</v>
      </c>
      <c r="B1778">
        <v>5.2</v>
      </c>
      <c r="C1778">
        <v>5.08</v>
      </c>
      <c r="D1778">
        <v>5.0999999999999996</v>
      </c>
      <c r="E1778">
        <v>5.15</v>
      </c>
      <c r="F1778">
        <v>5.21</v>
      </c>
      <c r="G1778">
        <v>5.34</v>
      </c>
      <c r="H1778">
        <v>5.46</v>
      </c>
      <c r="I1778">
        <v>5.68</v>
      </c>
      <c r="K1778">
        <f t="shared" si="219"/>
        <v>-6.9999999999999396</v>
      </c>
      <c r="L1778">
        <f t="shared" si="220"/>
        <v>-8.0000000000000071</v>
      </c>
      <c r="M1778">
        <f t="shared" si="221"/>
        <v>-9.0000000000000746</v>
      </c>
      <c r="N1778">
        <f t="shared" si="222"/>
        <v>-8.9999999999999858</v>
      </c>
      <c r="O1778">
        <f t="shared" si="223"/>
        <v>-8.9999999999999858</v>
      </c>
      <c r="P1778">
        <f t="shared" si="224"/>
        <v>-6.0000000000000497</v>
      </c>
      <c r="Q1778">
        <f t="shared" si="225"/>
        <v>-7.0000000000000284</v>
      </c>
      <c r="R1778">
        <f t="shared" si="226"/>
        <v>-2.0000000000000462</v>
      </c>
    </row>
    <row r="1779" spans="1:18">
      <c r="A1779" s="9">
        <v>39304</v>
      </c>
      <c r="B1779">
        <v>5.12</v>
      </c>
      <c r="C1779">
        <v>5.01</v>
      </c>
      <c r="D1779">
        <v>5.05</v>
      </c>
      <c r="E1779">
        <v>5.12</v>
      </c>
      <c r="F1779">
        <v>5.18</v>
      </c>
      <c r="G1779">
        <v>5.3</v>
      </c>
      <c r="H1779">
        <v>5.44</v>
      </c>
      <c r="I1779">
        <v>5.66</v>
      </c>
      <c r="K1779">
        <f t="shared" si="219"/>
        <v>-8.0000000000000071</v>
      </c>
      <c r="L1779">
        <f t="shared" si="220"/>
        <v>-7.0000000000000284</v>
      </c>
      <c r="M1779">
        <f t="shared" si="221"/>
        <v>-4.9999999999999822</v>
      </c>
      <c r="N1779">
        <f t="shared" si="222"/>
        <v>-3.0000000000000249</v>
      </c>
      <c r="O1779">
        <f t="shared" si="223"/>
        <v>-3.0000000000000249</v>
      </c>
      <c r="P1779">
        <f t="shared" si="224"/>
        <v>-4.0000000000000036</v>
      </c>
      <c r="Q1779">
        <f t="shared" si="225"/>
        <v>-1.9999999999999574</v>
      </c>
      <c r="R1779">
        <f t="shared" si="226"/>
        <v>-1.9999999999999574</v>
      </c>
    </row>
    <row r="1780" spans="1:18">
      <c r="A1780" s="9">
        <v>39307</v>
      </c>
      <c r="B1780">
        <v>5.19</v>
      </c>
      <c r="C1780">
        <v>5.07</v>
      </c>
      <c r="D1780">
        <v>5.12</v>
      </c>
      <c r="E1780">
        <v>5.19</v>
      </c>
      <c r="F1780">
        <v>5.27</v>
      </c>
      <c r="G1780">
        <v>5.38</v>
      </c>
      <c r="H1780">
        <v>5.51</v>
      </c>
      <c r="I1780">
        <v>5.73</v>
      </c>
      <c r="K1780">
        <f t="shared" si="219"/>
        <v>7.0000000000000284</v>
      </c>
      <c r="L1780">
        <f t="shared" si="220"/>
        <v>6.0000000000000497</v>
      </c>
      <c r="M1780">
        <f t="shared" si="221"/>
        <v>7.0000000000000284</v>
      </c>
      <c r="N1780">
        <f t="shared" si="222"/>
        <v>7.0000000000000284</v>
      </c>
      <c r="O1780">
        <f t="shared" si="223"/>
        <v>8.9999999999999858</v>
      </c>
      <c r="P1780">
        <f t="shared" si="224"/>
        <v>8.0000000000000071</v>
      </c>
      <c r="Q1780">
        <f t="shared" si="225"/>
        <v>6.9999999999999396</v>
      </c>
      <c r="R1780">
        <f t="shared" si="226"/>
        <v>7.0000000000000284</v>
      </c>
    </row>
    <row r="1781" spans="1:18">
      <c r="A1781" s="9">
        <v>39308</v>
      </c>
      <c r="B1781">
        <v>5.14</v>
      </c>
      <c r="C1781">
        <v>5.0199999999999996</v>
      </c>
      <c r="D1781">
        <v>5.0599999999999996</v>
      </c>
      <c r="E1781">
        <v>5.14</v>
      </c>
      <c r="F1781">
        <v>5.2</v>
      </c>
      <c r="G1781">
        <v>5.33</v>
      </c>
      <c r="H1781">
        <v>5.46</v>
      </c>
      <c r="I1781">
        <v>5.69</v>
      </c>
      <c r="K1781">
        <f t="shared" si="219"/>
        <v>-5.0000000000000711</v>
      </c>
      <c r="L1781">
        <f t="shared" si="220"/>
        <v>-5.0000000000000711</v>
      </c>
      <c r="M1781">
        <f t="shared" si="221"/>
        <v>-6.0000000000000497</v>
      </c>
      <c r="N1781">
        <f t="shared" si="222"/>
        <v>-5.0000000000000711</v>
      </c>
      <c r="O1781">
        <f t="shared" si="223"/>
        <v>-6.9999999999999396</v>
      </c>
      <c r="P1781">
        <f t="shared" si="224"/>
        <v>-4.9999999999999822</v>
      </c>
      <c r="Q1781">
        <f t="shared" si="225"/>
        <v>-4.9999999999999822</v>
      </c>
      <c r="R1781">
        <f t="shared" si="226"/>
        <v>-4.0000000000000036</v>
      </c>
    </row>
    <row r="1782" spans="1:18">
      <c r="A1782" s="9">
        <v>39309</v>
      </c>
      <c r="B1782">
        <v>5.1100000000000003</v>
      </c>
      <c r="C1782">
        <v>4.99</v>
      </c>
      <c r="D1782">
        <v>5.04</v>
      </c>
      <c r="E1782">
        <v>5.12</v>
      </c>
      <c r="F1782">
        <v>5.19</v>
      </c>
      <c r="G1782">
        <v>5.32</v>
      </c>
      <c r="H1782">
        <v>5.47</v>
      </c>
      <c r="I1782">
        <v>5.72</v>
      </c>
      <c r="K1782">
        <f t="shared" si="219"/>
        <v>-2.9999999999999361</v>
      </c>
      <c r="L1782">
        <f t="shared" si="220"/>
        <v>-2.9999999999999361</v>
      </c>
      <c r="M1782">
        <f t="shared" si="221"/>
        <v>-1.9999999999999574</v>
      </c>
      <c r="N1782">
        <f t="shared" si="222"/>
        <v>-1.9999999999999574</v>
      </c>
      <c r="O1782">
        <f t="shared" si="223"/>
        <v>-0.99999999999997868</v>
      </c>
      <c r="P1782">
        <f t="shared" si="224"/>
        <v>-0.99999999999997868</v>
      </c>
      <c r="Q1782">
        <f t="shared" si="225"/>
        <v>0.99999999999997868</v>
      </c>
      <c r="R1782">
        <f t="shared" si="226"/>
        <v>2.9999999999999361</v>
      </c>
    </row>
    <row r="1783" spans="1:18">
      <c r="A1783" s="9">
        <v>39310</v>
      </c>
      <c r="B1783">
        <v>5.01</v>
      </c>
      <c r="C1783">
        <v>4.91</v>
      </c>
      <c r="D1783">
        <v>4.97</v>
      </c>
      <c r="E1783">
        <v>5.0599999999999996</v>
      </c>
      <c r="F1783">
        <v>5.13</v>
      </c>
      <c r="G1783">
        <v>5.29</v>
      </c>
      <c r="H1783">
        <v>5.44</v>
      </c>
      <c r="I1783">
        <v>5.68</v>
      </c>
      <c r="K1783">
        <f t="shared" si="219"/>
        <v>-10.000000000000053</v>
      </c>
      <c r="L1783">
        <f t="shared" si="220"/>
        <v>-8.0000000000000071</v>
      </c>
      <c r="M1783">
        <f t="shared" si="221"/>
        <v>-7.0000000000000284</v>
      </c>
      <c r="N1783">
        <f t="shared" si="222"/>
        <v>-6.0000000000000497</v>
      </c>
      <c r="O1783">
        <f t="shared" si="223"/>
        <v>-6.0000000000000497</v>
      </c>
      <c r="P1783">
        <f t="shared" si="224"/>
        <v>-3.0000000000000249</v>
      </c>
      <c r="Q1783">
        <f t="shared" si="225"/>
        <v>-2.9999999999999361</v>
      </c>
      <c r="R1783">
        <f t="shared" si="226"/>
        <v>-4.0000000000000036</v>
      </c>
    </row>
    <row r="1784" spans="1:18">
      <c r="A1784" s="9">
        <v>39311</v>
      </c>
      <c r="B1784">
        <v>4.93</v>
      </c>
      <c r="C1784">
        <v>4.8499999999999996</v>
      </c>
      <c r="D1784">
        <v>4.91</v>
      </c>
      <c r="E1784">
        <v>5</v>
      </c>
      <c r="F1784">
        <v>5.09</v>
      </c>
      <c r="G1784">
        <v>5.26</v>
      </c>
      <c r="H1784">
        <v>5.43</v>
      </c>
      <c r="I1784">
        <v>5.68</v>
      </c>
      <c r="K1784">
        <f t="shared" si="219"/>
        <v>-8.0000000000000071</v>
      </c>
      <c r="L1784">
        <f t="shared" si="220"/>
        <v>-6.0000000000000497</v>
      </c>
      <c r="M1784">
        <f t="shared" si="221"/>
        <v>-5.9999999999999609</v>
      </c>
      <c r="N1784">
        <f t="shared" si="222"/>
        <v>-5.9999999999999609</v>
      </c>
      <c r="O1784">
        <f t="shared" si="223"/>
        <v>-4.0000000000000036</v>
      </c>
      <c r="P1784">
        <f t="shared" si="224"/>
        <v>-3.0000000000000249</v>
      </c>
      <c r="Q1784">
        <f t="shared" si="225"/>
        <v>-1.0000000000000675</v>
      </c>
      <c r="R1784">
        <f t="shared" si="226"/>
        <v>0</v>
      </c>
    </row>
    <row r="1785" spans="1:18">
      <c r="A1785" s="9">
        <v>39314</v>
      </c>
      <c r="B1785">
        <v>4.9400000000000004</v>
      </c>
      <c r="C1785">
        <v>4.84</v>
      </c>
      <c r="D1785">
        <v>4.9000000000000004</v>
      </c>
      <c r="E1785">
        <v>4.9800000000000004</v>
      </c>
      <c r="F1785">
        <v>5.0599999999999996</v>
      </c>
      <c r="G1785">
        <v>5.23</v>
      </c>
      <c r="H1785">
        <v>5.4</v>
      </c>
      <c r="I1785">
        <v>5.67</v>
      </c>
      <c r="K1785">
        <f t="shared" si="219"/>
        <v>1.0000000000000675</v>
      </c>
      <c r="L1785">
        <f t="shared" si="220"/>
        <v>-0.99999999999997868</v>
      </c>
      <c r="M1785">
        <f t="shared" si="221"/>
        <v>-0.99999999999997868</v>
      </c>
      <c r="N1785">
        <f t="shared" si="222"/>
        <v>-1.9999999999999574</v>
      </c>
      <c r="O1785">
        <f t="shared" si="223"/>
        <v>-3.0000000000000249</v>
      </c>
      <c r="P1785">
        <f t="shared" si="224"/>
        <v>-2.9999999999999361</v>
      </c>
      <c r="Q1785">
        <f t="shared" si="225"/>
        <v>-2.9999999999999361</v>
      </c>
      <c r="R1785">
        <f t="shared" si="226"/>
        <v>-0.99999999999997868</v>
      </c>
    </row>
    <row r="1786" spans="1:18">
      <c r="A1786" s="9">
        <v>39315</v>
      </c>
      <c r="B1786">
        <v>4.9000000000000004</v>
      </c>
      <c r="C1786">
        <v>4.79</v>
      </c>
      <c r="D1786">
        <v>4.87</v>
      </c>
      <c r="E1786">
        <v>4.9400000000000004</v>
      </c>
      <c r="F1786">
        <v>5.0199999999999996</v>
      </c>
      <c r="G1786">
        <v>5.18</v>
      </c>
      <c r="H1786">
        <v>5.35</v>
      </c>
      <c r="I1786">
        <v>5.63</v>
      </c>
      <c r="K1786">
        <f t="shared" si="219"/>
        <v>-4.0000000000000036</v>
      </c>
      <c r="L1786">
        <f t="shared" si="220"/>
        <v>-4.9999999999999822</v>
      </c>
      <c r="M1786">
        <f t="shared" si="221"/>
        <v>-3.0000000000000249</v>
      </c>
      <c r="N1786">
        <f t="shared" si="222"/>
        <v>-4.0000000000000036</v>
      </c>
      <c r="O1786">
        <f t="shared" si="223"/>
        <v>-4.0000000000000036</v>
      </c>
      <c r="P1786">
        <f t="shared" si="224"/>
        <v>-5.0000000000000711</v>
      </c>
      <c r="Q1786">
        <f t="shared" si="225"/>
        <v>-5.0000000000000711</v>
      </c>
      <c r="R1786">
        <f t="shared" si="226"/>
        <v>-4.0000000000000036</v>
      </c>
    </row>
    <row r="1787" spans="1:18">
      <c r="A1787" s="9">
        <v>39316</v>
      </c>
      <c r="B1787">
        <v>5</v>
      </c>
      <c r="C1787">
        <v>4.88</v>
      </c>
      <c r="D1787">
        <v>4.93</v>
      </c>
      <c r="E1787">
        <v>5</v>
      </c>
      <c r="F1787">
        <v>5.07</v>
      </c>
      <c r="G1787">
        <v>5.21</v>
      </c>
      <c r="H1787">
        <v>5.37</v>
      </c>
      <c r="I1787">
        <v>5.63</v>
      </c>
      <c r="K1787">
        <f t="shared" si="219"/>
        <v>9.9999999999999645</v>
      </c>
      <c r="L1787">
        <f t="shared" si="220"/>
        <v>8.9999999999999858</v>
      </c>
      <c r="M1787">
        <f t="shared" si="221"/>
        <v>5.9999999999999609</v>
      </c>
      <c r="N1787">
        <f t="shared" si="222"/>
        <v>5.9999999999999609</v>
      </c>
      <c r="O1787">
        <f t="shared" si="223"/>
        <v>5.0000000000000711</v>
      </c>
      <c r="P1787">
        <f t="shared" si="224"/>
        <v>3.0000000000000249</v>
      </c>
      <c r="Q1787">
        <f t="shared" si="225"/>
        <v>2.0000000000000462</v>
      </c>
      <c r="R1787">
        <f t="shared" si="226"/>
        <v>0</v>
      </c>
    </row>
    <row r="1788" spans="1:18">
      <c r="A1788" s="9">
        <v>39317</v>
      </c>
      <c r="B1788">
        <v>5.0599999999999996</v>
      </c>
      <c r="C1788">
        <v>4.96</v>
      </c>
      <c r="D1788">
        <v>4.99</v>
      </c>
      <c r="E1788">
        <v>5.04</v>
      </c>
      <c r="F1788">
        <v>5.0999999999999996</v>
      </c>
      <c r="G1788">
        <v>5.22</v>
      </c>
      <c r="H1788">
        <v>5.36</v>
      </c>
      <c r="I1788">
        <v>5.6</v>
      </c>
      <c r="K1788">
        <f t="shared" si="219"/>
        <v>5.9999999999999609</v>
      </c>
      <c r="L1788">
        <f t="shared" si="220"/>
        <v>8.0000000000000071</v>
      </c>
      <c r="M1788">
        <f t="shared" si="221"/>
        <v>6.0000000000000497</v>
      </c>
      <c r="N1788">
        <f t="shared" si="222"/>
        <v>4.0000000000000036</v>
      </c>
      <c r="O1788">
        <f t="shared" si="223"/>
        <v>2.9999999999999361</v>
      </c>
      <c r="P1788">
        <f t="shared" si="224"/>
        <v>0.99999999999997868</v>
      </c>
      <c r="Q1788">
        <f t="shared" si="225"/>
        <v>-0.99999999999997868</v>
      </c>
      <c r="R1788">
        <f t="shared" si="226"/>
        <v>-3.0000000000000249</v>
      </c>
    </row>
    <row r="1789" spans="1:18">
      <c r="A1789" s="9">
        <v>39318</v>
      </c>
      <c r="B1789">
        <v>5.09</v>
      </c>
      <c r="C1789">
        <v>4.97</v>
      </c>
      <c r="D1789">
        <v>4.99</v>
      </c>
      <c r="E1789">
        <v>5.04</v>
      </c>
      <c r="F1789">
        <v>5.0999999999999996</v>
      </c>
      <c r="G1789">
        <v>5.2</v>
      </c>
      <c r="H1789">
        <v>5.32</v>
      </c>
      <c r="I1789">
        <v>5.54</v>
      </c>
      <c r="K1789">
        <f t="shared" si="219"/>
        <v>3.0000000000000249</v>
      </c>
      <c r="L1789">
        <f t="shared" si="220"/>
        <v>0.99999999999997868</v>
      </c>
      <c r="M1789">
        <f t="shared" si="221"/>
        <v>0</v>
      </c>
      <c r="N1789">
        <f t="shared" si="222"/>
        <v>0</v>
      </c>
      <c r="O1789">
        <f t="shared" si="223"/>
        <v>0</v>
      </c>
      <c r="P1789">
        <f t="shared" si="224"/>
        <v>-1.9999999999999574</v>
      </c>
      <c r="Q1789">
        <f t="shared" si="225"/>
        <v>-4.0000000000000036</v>
      </c>
      <c r="R1789">
        <f t="shared" si="226"/>
        <v>-5.9999999999999609</v>
      </c>
    </row>
    <row r="1790" spans="1:18">
      <c r="A1790" s="9">
        <v>39321</v>
      </c>
      <c r="B1790">
        <v>5.07</v>
      </c>
      <c r="C1790">
        <v>4.93</v>
      </c>
      <c r="D1790">
        <v>4.95</v>
      </c>
      <c r="E1790">
        <v>4.9800000000000004</v>
      </c>
      <c r="F1790">
        <v>5.04</v>
      </c>
      <c r="G1790">
        <v>5.14</v>
      </c>
      <c r="H1790">
        <v>5.25</v>
      </c>
      <c r="I1790">
        <v>5.47</v>
      </c>
      <c r="K1790">
        <f t="shared" si="219"/>
        <v>-1.9999999999999574</v>
      </c>
      <c r="L1790">
        <f t="shared" si="220"/>
        <v>-4.0000000000000036</v>
      </c>
      <c r="M1790">
        <f t="shared" si="221"/>
        <v>-4.0000000000000036</v>
      </c>
      <c r="N1790">
        <f t="shared" si="222"/>
        <v>-5.9999999999999609</v>
      </c>
      <c r="O1790">
        <f t="shared" si="223"/>
        <v>-5.9999999999999609</v>
      </c>
      <c r="P1790">
        <f t="shared" si="224"/>
        <v>-6.0000000000000497</v>
      </c>
      <c r="Q1790">
        <f t="shared" si="225"/>
        <v>-7.0000000000000284</v>
      </c>
      <c r="R1790">
        <f t="shared" si="226"/>
        <v>-7.0000000000000284</v>
      </c>
    </row>
    <row r="1791" spans="1:18">
      <c r="A1791" s="9">
        <v>39322</v>
      </c>
      <c r="B1791">
        <v>5.0199999999999996</v>
      </c>
      <c r="C1791">
        <v>4.88</v>
      </c>
      <c r="D1791">
        <v>4.8899999999999997</v>
      </c>
      <c r="E1791">
        <v>4.93</v>
      </c>
      <c r="F1791">
        <v>4.99</v>
      </c>
      <c r="G1791">
        <v>5.0999999999999996</v>
      </c>
      <c r="H1791">
        <v>5.23</v>
      </c>
      <c r="I1791">
        <v>5.47</v>
      </c>
      <c r="K1791">
        <f t="shared" si="219"/>
        <v>-5.0000000000000711</v>
      </c>
      <c r="L1791">
        <f t="shared" si="220"/>
        <v>-4.9999999999999822</v>
      </c>
      <c r="M1791">
        <f t="shared" si="221"/>
        <v>-6.0000000000000497</v>
      </c>
      <c r="N1791">
        <f t="shared" si="222"/>
        <v>-5.0000000000000711</v>
      </c>
      <c r="O1791">
        <f t="shared" si="223"/>
        <v>-4.9999999999999822</v>
      </c>
      <c r="P1791">
        <f t="shared" si="224"/>
        <v>-4.0000000000000036</v>
      </c>
      <c r="Q1791">
        <f t="shared" si="225"/>
        <v>-1.9999999999999574</v>
      </c>
      <c r="R1791">
        <f t="shared" si="226"/>
        <v>0</v>
      </c>
    </row>
    <row r="1792" spans="1:18">
      <c r="A1792" s="9">
        <v>39323</v>
      </c>
      <c r="B1792">
        <v>5.01</v>
      </c>
      <c r="C1792">
        <v>4.8499999999999996</v>
      </c>
      <c r="D1792">
        <v>4.8499999999999996</v>
      </c>
      <c r="E1792">
        <v>4.9000000000000004</v>
      </c>
      <c r="F1792">
        <v>4.96</v>
      </c>
      <c r="G1792">
        <v>5.09</v>
      </c>
      <c r="H1792">
        <v>5.23</v>
      </c>
      <c r="I1792">
        <v>5.48</v>
      </c>
      <c r="K1792">
        <f t="shared" si="219"/>
        <v>-0.99999999999997868</v>
      </c>
      <c r="L1792">
        <f t="shared" si="220"/>
        <v>-3.0000000000000249</v>
      </c>
      <c r="M1792">
        <f t="shared" si="221"/>
        <v>-4.0000000000000036</v>
      </c>
      <c r="N1792">
        <f t="shared" si="222"/>
        <v>-2.9999999999999361</v>
      </c>
      <c r="O1792">
        <f t="shared" si="223"/>
        <v>-3.0000000000000249</v>
      </c>
      <c r="P1792">
        <f t="shared" si="224"/>
        <v>-0.99999999999997868</v>
      </c>
      <c r="Q1792">
        <f t="shared" si="225"/>
        <v>0</v>
      </c>
      <c r="R1792">
        <f t="shared" si="226"/>
        <v>1.0000000000000675</v>
      </c>
    </row>
    <row r="1793" spans="1:18">
      <c r="A1793" s="9">
        <v>39324</v>
      </c>
      <c r="B1793">
        <v>5.05</v>
      </c>
      <c r="C1793">
        <v>4.8600000000000003</v>
      </c>
      <c r="D1793">
        <v>4.8600000000000003</v>
      </c>
      <c r="E1793">
        <v>4.9000000000000004</v>
      </c>
      <c r="F1793">
        <v>4.96</v>
      </c>
      <c r="G1793">
        <v>5.08</v>
      </c>
      <c r="H1793">
        <v>5.22</v>
      </c>
      <c r="I1793">
        <v>5.46</v>
      </c>
      <c r="K1793">
        <f t="shared" si="219"/>
        <v>4.0000000000000036</v>
      </c>
      <c r="L1793">
        <f t="shared" si="220"/>
        <v>1.0000000000000675</v>
      </c>
      <c r="M1793">
        <f t="shared" si="221"/>
        <v>1.0000000000000675</v>
      </c>
      <c r="N1793">
        <f t="shared" si="222"/>
        <v>0</v>
      </c>
      <c r="O1793">
        <f t="shared" si="223"/>
        <v>0</v>
      </c>
      <c r="P1793">
        <f t="shared" si="224"/>
        <v>-0.99999999999997868</v>
      </c>
      <c r="Q1793">
        <f t="shared" si="225"/>
        <v>-1.0000000000000675</v>
      </c>
      <c r="R1793">
        <f t="shared" si="226"/>
        <v>-2.0000000000000462</v>
      </c>
    </row>
    <row r="1794" spans="1:18">
      <c r="A1794" s="9">
        <v>39325</v>
      </c>
      <c r="B1794">
        <v>5.0599999999999996</v>
      </c>
      <c r="C1794">
        <v>4.8600000000000003</v>
      </c>
      <c r="D1794">
        <v>4.8600000000000003</v>
      </c>
      <c r="E1794">
        <v>4.91</v>
      </c>
      <c r="F1794">
        <v>4.97</v>
      </c>
      <c r="G1794">
        <v>5.09</v>
      </c>
      <c r="H1794">
        <v>5.24</v>
      </c>
      <c r="I1794">
        <v>5.48</v>
      </c>
      <c r="K1794">
        <f t="shared" si="219"/>
        <v>0.99999999999997868</v>
      </c>
      <c r="L1794">
        <f t="shared" si="220"/>
        <v>0</v>
      </c>
      <c r="M1794">
        <f t="shared" si="221"/>
        <v>0</v>
      </c>
      <c r="N1794">
        <f t="shared" si="222"/>
        <v>0.99999999999997868</v>
      </c>
      <c r="O1794">
        <f t="shared" si="223"/>
        <v>0.99999999999997868</v>
      </c>
      <c r="P1794">
        <f t="shared" si="224"/>
        <v>0.99999999999997868</v>
      </c>
      <c r="Q1794">
        <f t="shared" si="225"/>
        <v>2.0000000000000462</v>
      </c>
      <c r="R1794">
        <f t="shared" si="226"/>
        <v>2.0000000000000462</v>
      </c>
    </row>
    <row r="1795" spans="1:18">
      <c r="A1795" s="9">
        <v>39329</v>
      </c>
      <c r="B1795">
        <v>5.1100000000000003</v>
      </c>
      <c r="C1795">
        <v>4.9000000000000004</v>
      </c>
      <c r="D1795">
        <v>4.9000000000000004</v>
      </c>
      <c r="E1795">
        <v>4.93</v>
      </c>
      <c r="F1795">
        <v>4.99</v>
      </c>
      <c r="G1795">
        <v>5.1100000000000003</v>
      </c>
      <c r="H1795">
        <v>5.26</v>
      </c>
      <c r="I1795">
        <v>5.49</v>
      </c>
      <c r="K1795">
        <f t="shared" si="219"/>
        <v>5.0000000000000711</v>
      </c>
      <c r="L1795">
        <f t="shared" si="220"/>
        <v>4.0000000000000036</v>
      </c>
      <c r="M1795">
        <f t="shared" si="221"/>
        <v>4.0000000000000036</v>
      </c>
      <c r="N1795">
        <f t="shared" si="222"/>
        <v>1.9999999999999574</v>
      </c>
      <c r="O1795">
        <f t="shared" si="223"/>
        <v>2.0000000000000462</v>
      </c>
      <c r="P1795">
        <f t="shared" si="224"/>
        <v>2.0000000000000462</v>
      </c>
      <c r="Q1795">
        <f t="shared" si="225"/>
        <v>1.9999999999999574</v>
      </c>
      <c r="R1795">
        <f t="shared" si="226"/>
        <v>0.99999999999997868</v>
      </c>
    </row>
    <row r="1796" spans="1:18">
      <c r="A1796" s="9">
        <v>39330</v>
      </c>
      <c r="B1796">
        <v>5.04</v>
      </c>
      <c r="C1796">
        <v>4.8</v>
      </c>
      <c r="D1796">
        <v>4.8</v>
      </c>
      <c r="E1796">
        <v>4.8499999999999996</v>
      </c>
      <c r="F1796">
        <v>4.9000000000000004</v>
      </c>
      <c r="G1796">
        <v>5.03</v>
      </c>
      <c r="H1796">
        <v>5.19</v>
      </c>
      <c r="I1796">
        <v>5.43</v>
      </c>
      <c r="K1796">
        <f t="shared" si="219"/>
        <v>-7.0000000000000284</v>
      </c>
      <c r="L1796">
        <f t="shared" si="220"/>
        <v>-10.000000000000053</v>
      </c>
      <c r="M1796">
        <f t="shared" si="221"/>
        <v>-10.000000000000053</v>
      </c>
      <c r="N1796">
        <f t="shared" si="222"/>
        <v>-8.0000000000000071</v>
      </c>
      <c r="O1796">
        <f t="shared" si="223"/>
        <v>-8.9999999999999858</v>
      </c>
      <c r="P1796">
        <f t="shared" si="224"/>
        <v>-8.0000000000000071</v>
      </c>
      <c r="Q1796">
        <f t="shared" si="225"/>
        <v>-6.9999999999999396</v>
      </c>
      <c r="R1796">
        <f t="shared" si="226"/>
        <v>-6.0000000000000497</v>
      </c>
    </row>
    <row r="1797" spans="1:18">
      <c r="A1797" s="9">
        <v>39331</v>
      </c>
      <c r="B1797">
        <v>5.05</v>
      </c>
      <c r="C1797">
        <v>4.8099999999999996</v>
      </c>
      <c r="D1797">
        <v>4.8</v>
      </c>
      <c r="E1797">
        <v>4.84</v>
      </c>
      <c r="F1797">
        <v>4.8899999999999997</v>
      </c>
      <c r="G1797">
        <v>5.01</v>
      </c>
      <c r="H1797">
        <v>5.16</v>
      </c>
      <c r="I1797">
        <v>5.4</v>
      </c>
      <c r="K1797">
        <f t="shared" ref="K1797:K1860" si="227">(B1797-B1796)*100</f>
        <v>0.99999999999997868</v>
      </c>
      <c r="L1797">
        <f t="shared" ref="L1797:L1860" si="228">(C1797-C1796)*100</f>
        <v>0.99999999999997868</v>
      </c>
      <c r="M1797">
        <f t="shared" ref="M1797:M1860" si="229">(D1797-D1796)*100</f>
        <v>0</v>
      </c>
      <c r="N1797">
        <f t="shared" ref="N1797:N1860" si="230">(E1797-E1796)*100</f>
        <v>-0.99999999999997868</v>
      </c>
      <c r="O1797">
        <f t="shared" ref="O1797:O1860" si="231">(F1797-F1796)*100</f>
        <v>-1.0000000000000675</v>
      </c>
      <c r="P1797">
        <f t="shared" ref="P1797:P1860" si="232">(G1797-G1796)*100</f>
        <v>-2.0000000000000462</v>
      </c>
      <c r="Q1797">
        <f t="shared" ref="Q1797:Q1860" si="233">(H1797-H1796)*100</f>
        <v>-3.0000000000000249</v>
      </c>
      <c r="R1797">
        <f t="shared" ref="R1797:R1860" si="234">(I1797-I1796)*100</f>
        <v>-2.9999999999999361</v>
      </c>
    </row>
    <row r="1798" spans="1:18">
      <c r="A1798" s="9">
        <v>39332</v>
      </c>
      <c r="B1798">
        <v>4.9000000000000004</v>
      </c>
      <c r="C1798">
        <v>4.6500000000000004</v>
      </c>
      <c r="D1798">
        <v>4.63</v>
      </c>
      <c r="E1798">
        <v>4.67</v>
      </c>
      <c r="F1798">
        <v>4.7300000000000004</v>
      </c>
      <c r="G1798">
        <v>4.8600000000000003</v>
      </c>
      <c r="H1798">
        <v>5.03</v>
      </c>
      <c r="I1798">
        <v>5.29</v>
      </c>
      <c r="K1798">
        <f t="shared" si="227"/>
        <v>-14.999999999999947</v>
      </c>
      <c r="L1798">
        <f t="shared" si="228"/>
        <v>-15.999999999999925</v>
      </c>
      <c r="M1798">
        <f t="shared" si="229"/>
        <v>-16.999999999999993</v>
      </c>
      <c r="N1798">
        <f t="shared" si="230"/>
        <v>-16.999999999999993</v>
      </c>
      <c r="O1798">
        <f t="shared" si="231"/>
        <v>-15.999999999999925</v>
      </c>
      <c r="P1798">
        <f t="shared" si="232"/>
        <v>-14.999999999999947</v>
      </c>
      <c r="Q1798">
        <f t="shared" si="233"/>
        <v>-12.999999999999989</v>
      </c>
      <c r="R1798">
        <f t="shared" si="234"/>
        <v>-11.000000000000032</v>
      </c>
    </row>
    <row r="1799" spans="1:18">
      <c r="A1799" s="9">
        <v>39335</v>
      </c>
      <c r="B1799">
        <v>4.87</v>
      </c>
      <c r="C1799">
        <v>4.59</v>
      </c>
      <c r="D1799">
        <v>4.58</v>
      </c>
      <c r="E1799">
        <v>4.6100000000000003</v>
      </c>
      <c r="F1799">
        <v>4.67</v>
      </c>
      <c r="G1799">
        <v>4.8</v>
      </c>
      <c r="H1799">
        <v>4.97</v>
      </c>
      <c r="I1799">
        <v>5.23</v>
      </c>
      <c r="K1799">
        <f t="shared" si="227"/>
        <v>-3.0000000000000249</v>
      </c>
      <c r="L1799">
        <f t="shared" si="228"/>
        <v>-6.0000000000000497</v>
      </c>
      <c r="M1799">
        <f t="shared" si="229"/>
        <v>-4.9999999999999822</v>
      </c>
      <c r="N1799">
        <f t="shared" si="230"/>
        <v>-5.9999999999999609</v>
      </c>
      <c r="O1799">
        <f t="shared" si="231"/>
        <v>-6.0000000000000497</v>
      </c>
      <c r="P1799">
        <f t="shared" si="232"/>
        <v>-6.0000000000000497</v>
      </c>
      <c r="Q1799">
        <f t="shared" si="233"/>
        <v>-6.0000000000000497</v>
      </c>
      <c r="R1799">
        <f t="shared" si="234"/>
        <v>-5.9999999999999609</v>
      </c>
    </row>
    <row r="1800" spans="1:18">
      <c r="A1800" s="9">
        <v>39336</v>
      </c>
      <c r="B1800">
        <v>4.93</v>
      </c>
      <c r="C1800">
        <v>4.67</v>
      </c>
      <c r="D1800">
        <v>4.63</v>
      </c>
      <c r="E1800">
        <v>4.66</v>
      </c>
      <c r="F1800">
        <v>4.71</v>
      </c>
      <c r="G1800">
        <v>4.83</v>
      </c>
      <c r="H1800">
        <v>5</v>
      </c>
      <c r="I1800">
        <v>5.25</v>
      </c>
      <c r="K1800">
        <f t="shared" si="227"/>
        <v>5.9999999999999609</v>
      </c>
      <c r="L1800">
        <f t="shared" si="228"/>
        <v>8.0000000000000071</v>
      </c>
      <c r="M1800">
        <f t="shared" si="229"/>
        <v>4.9999999999999822</v>
      </c>
      <c r="N1800">
        <f t="shared" si="230"/>
        <v>4.9999999999999822</v>
      </c>
      <c r="O1800">
        <f t="shared" si="231"/>
        <v>4.0000000000000036</v>
      </c>
      <c r="P1800">
        <f t="shared" si="232"/>
        <v>3.0000000000000249</v>
      </c>
      <c r="Q1800">
        <f t="shared" si="233"/>
        <v>3.0000000000000249</v>
      </c>
      <c r="R1800">
        <f t="shared" si="234"/>
        <v>1.9999999999999574</v>
      </c>
    </row>
    <row r="1801" spans="1:18">
      <c r="A1801" s="9">
        <v>39337</v>
      </c>
      <c r="B1801">
        <v>5</v>
      </c>
      <c r="C1801">
        <v>4.72</v>
      </c>
      <c r="D1801">
        <v>4.7</v>
      </c>
      <c r="E1801">
        <v>4.72</v>
      </c>
      <c r="F1801">
        <v>4.78</v>
      </c>
      <c r="G1801">
        <v>4.8899999999999997</v>
      </c>
      <c r="H1801">
        <v>5.05</v>
      </c>
      <c r="I1801">
        <v>5.28</v>
      </c>
      <c r="K1801">
        <f t="shared" si="227"/>
        <v>7.0000000000000284</v>
      </c>
      <c r="L1801">
        <f t="shared" si="228"/>
        <v>4.9999999999999822</v>
      </c>
      <c r="M1801">
        <f t="shared" si="229"/>
        <v>7.0000000000000284</v>
      </c>
      <c r="N1801">
        <f t="shared" si="230"/>
        <v>5.9999999999999609</v>
      </c>
      <c r="O1801">
        <f t="shared" si="231"/>
        <v>7.0000000000000284</v>
      </c>
      <c r="P1801">
        <f t="shared" si="232"/>
        <v>5.9999999999999609</v>
      </c>
      <c r="Q1801">
        <f t="shared" si="233"/>
        <v>4.9999999999999822</v>
      </c>
      <c r="R1801">
        <f t="shared" si="234"/>
        <v>3.0000000000000249</v>
      </c>
    </row>
    <row r="1802" spans="1:18">
      <c r="A1802" s="9">
        <v>39338</v>
      </c>
      <c r="B1802">
        <v>5.01</v>
      </c>
      <c r="C1802">
        <v>4.76</v>
      </c>
      <c r="D1802">
        <v>4.76</v>
      </c>
      <c r="E1802">
        <v>4.8</v>
      </c>
      <c r="F1802">
        <v>4.8600000000000003</v>
      </c>
      <c r="G1802">
        <v>4.9800000000000004</v>
      </c>
      <c r="H1802">
        <v>5.13</v>
      </c>
      <c r="I1802">
        <v>5.35</v>
      </c>
      <c r="K1802">
        <f t="shared" si="227"/>
        <v>0.99999999999997868</v>
      </c>
      <c r="L1802">
        <f t="shared" si="228"/>
        <v>4.0000000000000036</v>
      </c>
      <c r="M1802">
        <f t="shared" si="229"/>
        <v>5.9999999999999609</v>
      </c>
      <c r="N1802">
        <f t="shared" si="230"/>
        <v>8.0000000000000071</v>
      </c>
      <c r="O1802">
        <f t="shared" si="231"/>
        <v>8.0000000000000071</v>
      </c>
      <c r="P1802">
        <f t="shared" si="232"/>
        <v>9.0000000000000746</v>
      </c>
      <c r="Q1802">
        <f t="shared" si="233"/>
        <v>8.0000000000000071</v>
      </c>
      <c r="R1802">
        <f t="shared" si="234"/>
        <v>6.9999999999999396</v>
      </c>
    </row>
    <row r="1803" spans="1:18">
      <c r="A1803" s="9">
        <v>39339</v>
      </c>
      <c r="B1803">
        <v>4.99</v>
      </c>
      <c r="C1803">
        <v>4.75</v>
      </c>
      <c r="D1803">
        <v>4.76</v>
      </c>
      <c r="E1803">
        <v>4.8</v>
      </c>
      <c r="F1803">
        <v>4.8600000000000003</v>
      </c>
      <c r="G1803">
        <v>4.9800000000000004</v>
      </c>
      <c r="H1803">
        <v>5.13</v>
      </c>
      <c r="I1803">
        <v>5.37</v>
      </c>
      <c r="K1803">
        <f t="shared" si="227"/>
        <v>-1.9999999999999574</v>
      </c>
      <c r="L1803">
        <f t="shared" si="228"/>
        <v>-0.99999999999997868</v>
      </c>
      <c r="M1803">
        <f t="shared" si="229"/>
        <v>0</v>
      </c>
      <c r="N1803">
        <f t="shared" si="230"/>
        <v>0</v>
      </c>
      <c r="O1803">
        <f t="shared" si="231"/>
        <v>0</v>
      </c>
      <c r="P1803">
        <f t="shared" si="232"/>
        <v>0</v>
      </c>
      <c r="Q1803">
        <f t="shared" si="233"/>
        <v>0</v>
      </c>
      <c r="R1803">
        <f t="shared" si="234"/>
        <v>2.0000000000000462</v>
      </c>
    </row>
    <row r="1804" spans="1:18">
      <c r="A1804" s="9">
        <v>39342</v>
      </c>
      <c r="B1804">
        <v>5</v>
      </c>
      <c r="C1804">
        <v>4.78</v>
      </c>
      <c r="D1804">
        <v>4.78</v>
      </c>
      <c r="E1804">
        <v>4.84</v>
      </c>
      <c r="F1804">
        <v>4.9000000000000004</v>
      </c>
      <c r="G1804">
        <v>5.0199999999999996</v>
      </c>
      <c r="H1804">
        <v>5.17</v>
      </c>
      <c r="I1804">
        <v>5.39</v>
      </c>
      <c r="K1804">
        <f t="shared" si="227"/>
        <v>0.99999999999997868</v>
      </c>
      <c r="L1804">
        <f t="shared" si="228"/>
        <v>3.0000000000000249</v>
      </c>
      <c r="M1804">
        <f t="shared" si="229"/>
        <v>2.0000000000000462</v>
      </c>
      <c r="N1804">
        <f t="shared" si="230"/>
        <v>4.0000000000000036</v>
      </c>
      <c r="O1804">
        <f t="shared" si="231"/>
        <v>4.0000000000000036</v>
      </c>
      <c r="P1804">
        <f t="shared" si="232"/>
        <v>3.9999999999999147</v>
      </c>
      <c r="Q1804">
        <f t="shared" si="233"/>
        <v>4.0000000000000036</v>
      </c>
      <c r="R1804">
        <f t="shared" si="234"/>
        <v>1.9999999999999574</v>
      </c>
    </row>
    <row r="1805" spans="1:18">
      <c r="A1805" s="9">
        <v>39343</v>
      </c>
      <c r="B1805">
        <v>5.0199999999999996</v>
      </c>
      <c r="C1805">
        <v>4.8</v>
      </c>
      <c r="D1805">
        <v>4.8099999999999996</v>
      </c>
      <c r="E1805">
        <v>4.8600000000000003</v>
      </c>
      <c r="F1805">
        <v>4.92</v>
      </c>
      <c r="G1805">
        <v>5.03</v>
      </c>
      <c r="H1805">
        <v>5.17</v>
      </c>
      <c r="I1805">
        <v>5.39</v>
      </c>
      <c r="K1805">
        <f t="shared" si="227"/>
        <v>1.9999999999999574</v>
      </c>
      <c r="L1805">
        <f t="shared" si="228"/>
        <v>1.9999999999999574</v>
      </c>
      <c r="M1805">
        <f t="shared" si="229"/>
        <v>2.9999999999999361</v>
      </c>
      <c r="N1805">
        <f t="shared" si="230"/>
        <v>2.0000000000000462</v>
      </c>
      <c r="O1805">
        <f t="shared" si="231"/>
        <v>1.9999999999999574</v>
      </c>
      <c r="P1805">
        <f t="shared" si="232"/>
        <v>1.0000000000000675</v>
      </c>
      <c r="Q1805">
        <f t="shared" si="233"/>
        <v>0</v>
      </c>
      <c r="R1805">
        <f t="shared" si="234"/>
        <v>0</v>
      </c>
    </row>
    <row r="1806" spans="1:18">
      <c r="A1806" s="9">
        <v>39344</v>
      </c>
      <c r="B1806">
        <v>4.75</v>
      </c>
      <c r="C1806">
        <v>4.6100000000000003</v>
      </c>
      <c r="D1806">
        <v>4.6500000000000004</v>
      </c>
      <c r="E1806">
        <v>4.7300000000000004</v>
      </c>
      <c r="F1806">
        <v>4.82</v>
      </c>
      <c r="G1806">
        <v>4.96</v>
      </c>
      <c r="H1806">
        <v>5.14</v>
      </c>
      <c r="I1806">
        <v>5.41</v>
      </c>
      <c r="K1806">
        <f t="shared" si="227"/>
        <v>-26.999999999999957</v>
      </c>
      <c r="L1806">
        <f t="shared" si="228"/>
        <v>-18.99999999999995</v>
      </c>
      <c r="M1806">
        <f t="shared" si="229"/>
        <v>-15.999999999999925</v>
      </c>
      <c r="N1806">
        <f t="shared" si="230"/>
        <v>-12.999999999999989</v>
      </c>
      <c r="O1806">
        <f t="shared" si="231"/>
        <v>-9.9999999999999645</v>
      </c>
      <c r="P1806">
        <f t="shared" si="232"/>
        <v>-7.0000000000000284</v>
      </c>
      <c r="Q1806">
        <f t="shared" si="233"/>
        <v>-3.0000000000000249</v>
      </c>
      <c r="R1806">
        <f t="shared" si="234"/>
        <v>2.0000000000000462</v>
      </c>
    </row>
    <row r="1807" spans="1:18">
      <c r="A1807" s="9">
        <v>39345</v>
      </c>
      <c r="B1807">
        <v>4.7699999999999996</v>
      </c>
      <c r="C1807">
        <v>4.6500000000000004</v>
      </c>
      <c r="D1807">
        <v>4.6900000000000004</v>
      </c>
      <c r="E1807">
        <v>4.78</v>
      </c>
      <c r="F1807">
        <v>4.87</v>
      </c>
      <c r="G1807">
        <v>5.0199999999999996</v>
      </c>
      <c r="H1807">
        <v>5.21</v>
      </c>
      <c r="I1807">
        <v>5.48</v>
      </c>
      <c r="K1807">
        <f t="shared" si="227"/>
        <v>1.9999999999999574</v>
      </c>
      <c r="L1807">
        <f t="shared" si="228"/>
        <v>4.0000000000000036</v>
      </c>
      <c r="M1807">
        <f t="shared" si="229"/>
        <v>4.0000000000000036</v>
      </c>
      <c r="N1807">
        <f t="shared" si="230"/>
        <v>4.9999999999999822</v>
      </c>
      <c r="O1807">
        <f t="shared" si="231"/>
        <v>4.9999999999999822</v>
      </c>
      <c r="P1807">
        <f t="shared" si="232"/>
        <v>5.9999999999999609</v>
      </c>
      <c r="Q1807">
        <f t="shared" si="233"/>
        <v>7.0000000000000284</v>
      </c>
      <c r="R1807">
        <f t="shared" si="234"/>
        <v>7.0000000000000284</v>
      </c>
    </row>
    <row r="1808" spans="1:18">
      <c r="A1808" s="9">
        <v>39346</v>
      </c>
      <c r="B1808">
        <v>4.82</v>
      </c>
      <c r="C1808">
        <v>4.71</v>
      </c>
      <c r="D1808">
        <v>4.78</v>
      </c>
      <c r="E1808">
        <v>4.88</v>
      </c>
      <c r="F1808">
        <v>4.97</v>
      </c>
      <c r="G1808">
        <v>5.12</v>
      </c>
      <c r="H1808">
        <v>5.3</v>
      </c>
      <c r="I1808">
        <v>5.55</v>
      </c>
      <c r="K1808">
        <f t="shared" si="227"/>
        <v>5.0000000000000711</v>
      </c>
      <c r="L1808">
        <f t="shared" si="228"/>
        <v>5.9999999999999609</v>
      </c>
      <c r="M1808">
        <f t="shared" si="229"/>
        <v>8.9999999999999858</v>
      </c>
      <c r="N1808">
        <f t="shared" si="230"/>
        <v>9.9999999999999645</v>
      </c>
      <c r="O1808">
        <f t="shared" si="231"/>
        <v>9.9999999999999645</v>
      </c>
      <c r="P1808">
        <f t="shared" si="232"/>
        <v>10.000000000000053</v>
      </c>
      <c r="Q1808">
        <f t="shared" si="233"/>
        <v>8.9999999999999858</v>
      </c>
      <c r="R1808">
        <f t="shared" si="234"/>
        <v>6.9999999999999396</v>
      </c>
    </row>
    <row r="1809" spans="1:18">
      <c r="A1809" s="9">
        <v>39349</v>
      </c>
      <c r="B1809">
        <v>4.8600000000000003</v>
      </c>
      <c r="C1809">
        <v>4.74</v>
      </c>
      <c r="D1809">
        <v>4.8</v>
      </c>
      <c r="E1809">
        <v>4.8899999999999997</v>
      </c>
      <c r="F1809">
        <v>4.9800000000000004</v>
      </c>
      <c r="G1809">
        <v>5.12</v>
      </c>
      <c r="H1809">
        <v>5.29</v>
      </c>
      <c r="I1809">
        <v>5.52</v>
      </c>
      <c r="K1809">
        <f t="shared" si="227"/>
        <v>4.0000000000000036</v>
      </c>
      <c r="L1809">
        <f t="shared" si="228"/>
        <v>3.0000000000000249</v>
      </c>
      <c r="M1809">
        <f t="shared" si="229"/>
        <v>1.9999999999999574</v>
      </c>
      <c r="N1809">
        <f t="shared" si="230"/>
        <v>0.99999999999997868</v>
      </c>
      <c r="O1809">
        <f t="shared" si="231"/>
        <v>1.0000000000000675</v>
      </c>
      <c r="P1809">
        <f t="shared" si="232"/>
        <v>0</v>
      </c>
      <c r="Q1809">
        <f t="shared" si="233"/>
        <v>-0.99999999999997868</v>
      </c>
      <c r="R1809">
        <f t="shared" si="234"/>
        <v>-3.0000000000000249</v>
      </c>
    </row>
    <row r="1810" spans="1:18">
      <c r="A1810" s="9">
        <v>39350</v>
      </c>
      <c r="B1810">
        <v>4.8</v>
      </c>
      <c r="C1810">
        <v>4.6399999999999997</v>
      </c>
      <c r="D1810">
        <v>4.7</v>
      </c>
      <c r="E1810">
        <v>4.79</v>
      </c>
      <c r="F1810">
        <v>4.8899999999999997</v>
      </c>
      <c r="G1810">
        <v>5.05</v>
      </c>
      <c r="H1810">
        <v>5.23</v>
      </c>
      <c r="I1810">
        <v>5.47</v>
      </c>
      <c r="K1810">
        <f t="shared" si="227"/>
        <v>-6.0000000000000497</v>
      </c>
      <c r="L1810">
        <f t="shared" si="228"/>
        <v>-10.000000000000053</v>
      </c>
      <c r="M1810">
        <f t="shared" si="229"/>
        <v>-9.9999999999999645</v>
      </c>
      <c r="N1810">
        <f t="shared" si="230"/>
        <v>-9.9999999999999645</v>
      </c>
      <c r="O1810">
        <f t="shared" si="231"/>
        <v>-9.0000000000000746</v>
      </c>
      <c r="P1810">
        <f t="shared" si="232"/>
        <v>-7.0000000000000284</v>
      </c>
      <c r="Q1810">
        <f t="shared" si="233"/>
        <v>-5.9999999999999609</v>
      </c>
      <c r="R1810">
        <f t="shared" si="234"/>
        <v>-4.9999999999999822</v>
      </c>
    </row>
    <row r="1811" spans="1:18">
      <c r="A1811" s="9">
        <v>39351</v>
      </c>
      <c r="B1811">
        <v>4.83</v>
      </c>
      <c r="C1811">
        <v>4.6900000000000004</v>
      </c>
      <c r="D1811">
        <v>4.75</v>
      </c>
      <c r="E1811">
        <v>4.8499999999999996</v>
      </c>
      <c r="F1811">
        <v>4.95</v>
      </c>
      <c r="G1811">
        <v>5.1100000000000003</v>
      </c>
      <c r="H1811">
        <v>5.29</v>
      </c>
      <c r="I1811">
        <v>5.53</v>
      </c>
      <c r="K1811">
        <f t="shared" si="227"/>
        <v>3.0000000000000249</v>
      </c>
      <c r="L1811">
        <f t="shared" si="228"/>
        <v>5.0000000000000711</v>
      </c>
      <c r="M1811">
        <f t="shared" si="229"/>
        <v>4.9999999999999822</v>
      </c>
      <c r="N1811">
        <f t="shared" si="230"/>
        <v>5.9999999999999609</v>
      </c>
      <c r="O1811">
        <f t="shared" si="231"/>
        <v>6.0000000000000497</v>
      </c>
      <c r="P1811">
        <f t="shared" si="232"/>
        <v>6.0000000000000497</v>
      </c>
      <c r="Q1811">
        <f t="shared" si="233"/>
        <v>5.9999999999999609</v>
      </c>
      <c r="R1811">
        <f t="shared" si="234"/>
        <v>6.0000000000000497</v>
      </c>
    </row>
    <row r="1812" spans="1:18">
      <c r="A1812" s="9">
        <v>39352</v>
      </c>
      <c r="B1812">
        <v>4.79</v>
      </c>
      <c r="C1812">
        <v>4.62</v>
      </c>
      <c r="D1812">
        <v>4.6900000000000004</v>
      </c>
      <c r="E1812">
        <v>4.8</v>
      </c>
      <c r="F1812">
        <v>4.9000000000000004</v>
      </c>
      <c r="G1812">
        <v>5.0599999999999996</v>
      </c>
      <c r="H1812">
        <v>5.24</v>
      </c>
      <c r="I1812">
        <v>5.49</v>
      </c>
      <c r="K1812">
        <f t="shared" si="227"/>
        <v>-4.0000000000000036</v>
      </c>
      <c r="L1812">
        <f t="shared" si="228"/>
        <v>-7.0000000000000284</v>
      </c>
      <c r="M1812">
        <f t="shared" si="229"/>
        <v>-5.9999999999999609</v>
      </c>
      <c r="N1812">
        <f t="shared" si="230"/>
        <v>-4.9999999999999822</v>
      </c>
      <c r="O1812">
        <f t="shared" si="231"/>
        <v>-4.9999999999999822</v>
      </c>
      <c r="P1812">
        <f t="shared" si="232"/>
        <v>-5.0000000000000711</v>
      </c>
      <c r="Q1812">
        <f t="shared" si="233"/>
        <v>-4.9999999999999822</v>
      </c>
      <c r="R1812">
        <f t="shared" si="234"/>
        <v>-4.0000000000000036</v>
      </c>
    </row>
    <row r="1813" spans="1:18">
      <c r="A1813" s="9">
        <v>39353</v>
      </c>
      <c r="B1813">
        <v>4.7699999999999996</v>
      </c>
      <c r="C1813">
        <v>4.58</v>
      </c>
      <c r="D1813">
        <v>4.63</v>
      </c>
      <c r="E1813">
        <v>4.7300000000000004</v>
      </c>
      <c r="F1813">
        <v>4.82</v>
      </c>
      <c r="G1813">
        <v>4.9800000000000004</v>
      </c>
      <c r="H1813">
        <v>5.15</v>
      </c>
      <c r="I1813">
        <v>5.4</v>
      </c>
      <c r="K1813">
        <f t="shared" si="227"/>
        <v>-2.0000000000000462</v>
      </c>
      <c r="L1813">
        <f t="shared" si="228"/>
        <v>-4.0000000000000036</v>
      </c>
      <c r="M1813">
        <f t="shared" si="229"/>
        <v>-6.0000000000000497</v>
      </c>
      <c r="N1813">
        <f t="shared" si="230"/>
        <v>-6.9999999999999396</v>
      </c>
      <c r="O1813">
        <f t="shared" si="231"/>
        <v>-8.0000000000000071</v>
      </c>
      <c r="P1813">
        <f t="shared" si="232"/>
        <v>-7.9999999999999183</v>
      </c>
      <c r="Q1813">
        <f t="shared" si="233"/>
        <v>-8.9999999999999858</v>
      </c>
      <c r="R1813">
        <f t="shared" si="234"/>
        <v>-8.9999999999999858</v>
      </c>
    </row>
    <row r="1814" spans="1:18">
      <c r="A1814" s="9">
        <v>39356</v>
      </c>
      <c r="B1814">
        <v>4.83</v>
      </c>
      <c r="C1814">
        <v>4.6399999999999997</v>
      </c>
      <c r="D1814">
        <v>4.6900000000000004</v>
      </c>
      <c r="E1814">
        <v>4.7699999999999996</v>
      </c>
      <c r="F1814">
        <v>4.8600000000000003</v>
      </c>
      <c r="G1814">
        <v>5.01</v>
      </c>
      <c r="H1814">
        <v>5.17</v>
      </c>
      <c r="I1814">
        <v>5.42</v>
      </c>
      <c r="K1814">
        <f t="shared" si="227"/>
        <v>6.0000000000000497</v>
      </c>
      <c r="L1814">
        <f t="shared" si="228"/>
        <v>5.9999999999999609</v>
      </c>
      <c r="M1814">
        <f t="shared" si="229"/>
        <v>6.0000000000000497</v>
      </c>
      <c r="N1814">
        <f t="shared" si="230"/>
        <v>3.9999999999999147</v>
      </c>
      <c r="O1814">
        <f t="shared" si="231"/>
        <v>4.0000000000000036</v>
      </c>
      <c r="P1814">
        <f t="shared" si="232"/>
        <v>2.9999999999999361</v>
      </c>
      <c r="Q1814">
        <f t="shared" si="233"/>
        <v>1.9999999999999574</v>
      </c>
      <c r="R1814">
        <f t="shared" si="234"/>
        <v>1.9999999999999574</v>
      </c>
    </row>
    <row r="1815" spans="1:18">
      <c r="A1815" s="9">
        <v>39357</v>
      </c>
      <c r="B1815">
        <v>4.8600000000000003</v>
      </c>
      <c r="C1815">
        <v>4.67</v>
      </c>
      <c r="D1815">
        <v>4.71</v>
      </c>
      <c r="E1815">
        <v>4.79</v>
      </c>
      <c r="F1815">
        <v>4.8600000000000003</v>
      </c>
      <c r="G1815">
        <v>5</v>
      </c>
      <c r="H1815">
        <v>5.15</v>
      </c>
      <c r="I1815">
        <v>5.39</v>
      </c>
      <c r="K1815">
        <f t="shared" si="227"/>
        <v>3.0000000000000249</v>
      </c>
      <c r="L1815">
        <f t="shared" si="228"/>
        <v>3.0000000000000249</v>
      </c>
      <c r="M1815">
        <f t="shared" si="229"/>
        <v>1.9999999999999574</v>
      </c>
      <c r="N1815">
        <f t="shared" si="230"/>
        <v>2.0000000000000462</v>
      </c>
      <c r="O1815">
        <f t="shared" si="231"/>
        <v>0</v>
      </c>
      <c r="P1815">
        <f t="shared" si="232"/>
        <v>-0.99999999999997868</v>
      </c>
      <c r="Q1815">
        <f t="shared" si="233"/>
        <v>-1.9999999999999574</v>
      </c>
      <c r="R1815">
        <f t="shared" si="234"/>
        <v>-3.0000000000000249</v>
      </c>
    </row>
    <row r="1816" spans="1:18">
      <c r="A1816" s="9">
        <v>39358</v>
      </c>
      <c r="B1816">
        <v>4.8899999999999997</v>
      </c>
      <c r="C1816">
        <v>4.7</v>
      </c>
      <c r="D1816">
        <v>4.74</v>
      </c>
      <c r="E1816">
        <v>4.8099999999999996</v>
      </c>
      <c r="F1816">
        <v>4.9000000000000004</v>
      </c>
      <c r="G1816">
        <v>5.03</v>
      </c>
      <c r="H1816">
        <v>5.18</v>
      </c>
      <c r="I1816">
        <v>5.41</v>
      </c>
      <c r="K1816">
        <f t="shared" si="227"/>
        <v>2.9999999999999361</v>
      </c>
      <c r="L1816">
        <f t="shared" si="228"/>
        <v>3.0000000000000249</v>
      </c>
      <c r="M1816">
        <f t="shared" si="229"/>
        <v>3.0000000000000249</v>
      </c>
      <c r="N1816">
        <f t="shared" si="230"/>
        <v>1.9999999999999574</v>
      </c>
      <c r="O1816">
        <f t="shared" si="231"/>
        <v>4.0000000000000036</v>
      </c>
      <c r="P1816">
        <f t="shared" si="232"/>
        <v>3.0000000000000249</v>
      </c>
      <c r="Q1816">
        <f t="shared" si="233"/>
        <v>2.9999999999999361</v>
      </c>
      <c r="R1816">
        <f t="shared" si="234"/>
        <v>2.0000000000000462</v>
      </c>
    </row>
    <row r="1817" spans="1:18">
      <c r="A1817" s="9">
        <v>39359</v>
      </c>
      <c r="B1817">
        <v>4.9000000000000004</v>
      </c>
      <c r="C1817">
        <v>4.72</v>
      </c>
      <c r="D1817">
        <v>4.76</v>
      </c>
      <c r="E1817">
        <v>4.83</v>
      </c>
      <c r="F1817">
        <v>4.91</v>
      </c>
      <c r="G1817">
        <v>5.04</v>
      </c>
      <c r="H1817">
        <v>5.18</v>
      </c>
      <c r="I1817">
        <v>5.41</v>
      </c>
      <c r="K1817">
        <f t="shared" si="227"/>
        <v>1.0000000000000675</v>
      </c>
      <c r="L1817">
        <f t="shared" si="228"/>
        <v>1.9999999999999574</v>
      </c>
      <c r="M1817">
        <f t="shared" si="229"/>
        <v>1.9999999999999574</v>
      </c>
      <c r="N1817">
        <f t="shared" si="230"/>
        <v>2.0000000000000462</v>
      </c>
      <c r="O1817">
        <f t="shared" si="231"/>
        <v>0.99999999999997868</v>
      </c>
      <c r="P1817">
        <f t="shared" si="232"/>
        <v>0.99999999999997868</v>
      </c>
      <c r="Q1817">
        <f t="shared" si="233"/>
        <v>0</v>
      </c>
      <c r="R1817">
        <f t="shared" si="234"/>
        <v>0</v>
      </c>
    </row>
    <row r="1818" spans="1:18">
      <c r="A1818" s="9">
        <v>39360</v>
      </c>
      <c r="B1818">
        <v>4.97</v>
      </c>
      <c r="C1818">
        <v>4.78</v>
      </c>
      <c r="D1818">
        <v>4.82</v>
      </c>
      <c r="E1818">
        <v>4.9000000000000004</v>
      </c>
      <c r="F1818">
        <v>4.9800000000000004</v>
      </c>
      <c r="G1818">
        <v>5.0999999999999996</v>
      </c>
      <c r="H1818">
        <v>5.25</v>
      </c>
      <c r="I1818">
        <v>5.47</v>
      </c>
      <c r="K1818">
        <f t="shared" si="227"/>
        <v>6.9999999999999396</v>
      </c>
      <c r="L1818">
        <f t="shared" si="228"/>
        <v>6.0000000000000497</v>
      </c>
      <c r="M1818">
        <f t="shared" si="229"/>
        <v>6.0000000000000497</v>
      </c>
      <c r="N1818">
        <f t="shared" si="230"/>
        <v>7.0000000000000284</v>
      </c>
      <c r="O1818">
        <f t="shared" si="231"/>
        <v>7.0000000000000284</v>
      </c>
      <c r="P1818">
        <f t="shared" si="232"/>
        <v>5.9999999999999609</v>
      </c>
      <c r="Q1818">
        <f t="shared" si="233"/>
        <v>7.0000000000000284</v>
      </c>
      <c r="R1818">
        <f t="shared" si="234"/>
        <v>5.9999999999999609</v>
      </c>
    </row>
    <row r="1819" spans="1:18">
      <c r="A1819" s="9">
        <v>39364</v>
      </c>
      <c r="B1819">
        <v>4.97</v>
      </c>
      <c r="C1819">
        <v>4.79</v>
      </c>
      <c r="D1819">
        <v>4.83</v>
      </c>
      <c r="E1819">
        <v>4.9000000000000004</v>
      </c>
      <c r="F1819">
        <v>4.9800000000000004</v>
      </c>
      <c r="G1819">
        <v>5.0999999999999996</v>
      </c>
      <c r="H1819">
        <v>5.24</v>
      </c>
      <c r="I1819">
        <v>5.46</v>
      </c>
      <c r="K1819">
        <f t="shared" si="227"/>
        <v>0</v>
      </c>
      <c r="L1819">
        <f t="shared" si="228"/>
        <v>0.99999999999997868</v>
      </c>
      <c r="M1819">
        <f t="shared" si="229"/>
        <v>0.99999999999997868</v>
      </c>
      <c r="N1819">
        <f t="shared" si="230"/>
        <v>0</v>
      </c>
      <c r="O1819">
        <f t="shared" si="231"/>
        <v>0</v>
      </c>
      <c r="P1819">
        <f t="shared" si="232"/>
        <v>0</v>
      </c>
      <c r="Q1819">
        <f t="shared" si="233"/>
        <v>-0.99999999999997868</v>
      </c>
      <c r="R1819">
        <f t="shared" si="234"/>
        <v>-0.99999999999997868</v>
      </c>
    </row>
    <row r="1820" spans="1:18">
      <c r="A1820" s="9">
        <v>39365</v>
      </c>
      <c r="B1820">
        <v>4.99</v>
      </c>
      <c r="C1820">
        <v>4.83</v>
      </c>
      <c r="D1820">
        <v>4.87</v>
      </c>
      <c r="E1820">
        <v>4.9400000000000004</v>
      </c>
      <c r="F1820">
        <v>5.01</v>
      </c>
      <c r="G1820">
        <v>5.13</v>
      </c>
      <c r="H1820">
        <v>5.27</v>
      </c>
      <c r="I1820">
        <v>5.47</v>
      </c>
      <c r="K1820">
        <f t="shared" si="227"/>
        <v>2.0000000000000462</v>
      </c>
      <c r="L1820">
        <f t="shared" si="228"/>
        <v>4.0000000000000036</v>
      </c>
      <c r="M1820">
        <f t="shared" si="229"/>
        <v>4.0000000000000036</v>
      </c>
      <c r="N1820">
        <f t="shared" si="230"/>
        <v>4.0000000000000036</v>
      </c>
      <c r="O1820">
        <f t="shared" si="231"/>
        <v>2.9999999999999361</v>
      </c>
      <c r="P1820">
        <f t="shared" si="232"/>
        <v>3.0000000000000249</v>
      </c>
      <c r="Q1820">
        <f t="shared" si="233"/>
        <v>2.9999999999999361</v>
      </c>
      <c r="R1820">
        <f t="shared" si="234"/>
        <v>0.99999999999997868</v>
      </c>
    </row>
    <row r="1821" spans="1:18">
      <c r="A1821" s="9">
        <v>39366</v>
      </c>
      <c r="B1821">
        <v>4.97</v>
      </c>
      <c r="C1821">
        <v>4.84</v>
      </c>
      <c r="D1821">
        <v>4.8899999999999997</v>
      </c>
      <c r="E1821">
        <v>4.96</v>
      </c>
      <c r="F1821">
        <v>5.04</v>
      </c>
      <c r="G1821">
        <v>5.17</v>
      </c>
      <c r="H1821">
        <v>5.3</v>
      </c>
      <c r="I1821">
        <v>5.51</v>
      </c>
      <c r="K1821">
        <f t="shared" si="227"/>
        <v>-2.0000000000000462</v>
      </c>
      <c r="L1821">
        <f t="shared" si="228"/>
        <v>0.99999999999997868</v>
      </c>
      <c r="M1821">
        <f t="shared" si="229"/>
        <v>1.9999999999999574</v>
      </c>
      <c r="N1821">
        <f t="shared" si="230"/>
        <v>1.9999999999999574</v>
      </c>
      <c r="O1821">
        <f t="shared" si="231"/>
        <v>3.0000000000000249</v>
      </c>
      <c r="P1821">
        <f t="shared" si="232"/>
        <v>4.0000000000000036</v>
      </c>
      <c r="Q1821">
        <f t="shared" si="233"/>
        <v>3.0000000000000249</v>
      </c>
      <c r="R1821">
        <f t="shared" si="234"/>
        <v>4.0000000000000036</v>
      </c>
    </row>
    <row r="1822" spans="1:18">
      <c r="A1822" s="9">
        <v>39367</v>
      </c>
      <c r="B1822">
        <v>4.9400000000000004</v>
      </c>
      <c r="C1822">
        <v>4.8</v>
      </c>
      <c r="D1822">
        <v>4.8499999999999996</v>
      </c>
      <c r="E1822">
        <v>4.92</v>
      </c>
      <c r="F1822">
        <v>5</v>
      </c>
      <c r="G1822">
        <v>5.12</v>
      </c>
      <c r="H1822">
        <v>5.26</v>
      </c>
      <c r="I1822">
        <v>5.47</v>
      </c>
      <c r="K1822">
        <f t="shared" si="227"/>
        <v>-2.9999999999999361</v>
      </c>
      <c r="L1822">
        <f t="shared" si="228"/>
        <v>-4.0000000000000036</v>
      </c>
      <c r="M1822">
        <f t="shared" si="229"/>
        <v>-4.0000000000000036</v>
      </c>
      <c r="N1822">
        <f t="shared" si="230"/>
        <v>-4.0000000000000036</v>
      </c>
      <c r="O1822">
        <f t="shared" si="231"/>
        <v>-4.0000000000000036</v>
      </c>
      <c r="P1822">
        <f t="shared" si="232"/>
        <v>-4.9999999999999822</v>
      </c>
      <c r="Q1822">
        <f t="shared" si="233"/>
        <v>-4.0000000000000036</v>
      </c>
      <c r="R1822">
        <f t="shared" si="234"/>
        <v>-4.0000000000000036</v>
      </c>
    </row>
    <row r="1823" spans="1:18">
      <c r="A1823" s="9">
        <v>39370</v>
      </c>
      <c r="B1823">
        <v>4.97</v>
      </c>
      <c r="C1823">
        <v>4.8600000000000003</v>
      </c>
      <c r="D1823">
        <v>4.9000000000000004</v>
      </c>
      <c r="E1823">
        <v>4.9800000000000004</v>
      </c>
      <c r="F1823">
        <v>5.0599999999999996</v>
      </c>
      <c r="G1823">
        <v>5.18</v>
      </c>
      <c r="H1823">
        <v>5.32</v>
      </c>
      <c r="I1823">
        <v>5.53</v>
      </c>
      <c r="K1823">
        <f t="shared" si="227"/>
        <v>2.9999999999999361</v>
      </c>
      <c r="L1823">
        <f t="shared" si="228"/>
        <v>6.0000000000000497</v>
      </c>
      <c r="M1823">
        <f t="shared" si="229"/>
        <v>5.0000000000000711</v>
      </c>
      <c r="N1823">
        <f t="shared" si="230"/>
        <v>6.0000000000000497</v>
      </c>
      <c r="O1823">
        <f t="shared" si="231"/>
        <v>5.9999999999999609</v>
      </c>
      <c r="P1823">
        <f t="shared" si="232"/>
        <v>5.9999999999999609</v>
      </c>
      <c r="Q1823">
        <f t="shared" si="233"/>
        <v>6.0000000000000497</v>
      </c>
      <c r="R1823">
        <f t="shared" si="234"/>
        <v>6.0000000000000497</v>
      </c>
    </row>
    <row r="1824" spans="1:18">
      <c r="A1824" s="9">
        <v>39371</v>
      </c>
      <c r="B1824">
        <v>4.9000000000000004</v>
      </c>
      <c r="C1824">
        <v>4.78</v>
      </c>
      <c r="D1824">
        <v>4.83</v>
      </c>
      <c r="E1824">
        <v>4.91</v>
      </c>
      <c r="F1824">
        <v>4.99</v>
      </c>
      <c r="G1824">
        <v>5.13</v>
      </c>
      <c r="H1824">
        <v>5.28</v>
      </c>
      <c r="I1824">
        <v>5.5</v>
      </c>
      <c r="K1824">
        <f t="shared" si="227"/>
        <v>-6.9999999999999396</v>
      </c>
      <c r="L1824">
        <f t="shared" si="228"/>
        <v>-8.0000000000000071</v>
      </c>
      <c r="M1824">
        <f t="shared" si="229"/>
        <v>-7.0000000000000284</v>
      </c>
      <c r="N1824">
        <f t="shared" si="230"/>
        <v>-7.0000000000000284</v>
      </c>
      <c r="O1824">
        <f t="shared" si="231"/>
        <v>-6.9999999999999396</v>
      </c>
      <c r="P1824">
        <f t="shared" si="232"/>
        <v>-4.9999999999999822</v>
      </c>
      <c r="Q1824">
        <f t="shared" si="233"/>
        <v>-4.0000000000000036</v>
      </c>
      <c r="R1824">
        <f t="shared" si="234"/>
        <v>-3.0000000000000249</v>
      </c>
    </row>
    <row r="1825" spans="1:18">
      <c r="A1825" s="9">
        <v>39372</v>
      </c>
      <c r="B1825">
        <v>4.8600000000000003</v>
      </c>
      <c r="C1825">
        <v>4.71</v>
      </c>
      <c r="D1825">
        <v>4.76</v>
      </c>
      <c r="E1825">
        <v>4.8499999999999996</v>
      </c>
      <c r="F1825">
        <v>4.93</v>
      </c>
      <c r="G1825">
        <v>5.07</v>
      </c>
      <c r="H1825">
        <v>5.22</v>
      </c>
      <c r="I1825">
        <v>5.45</v>
      </c>
      <c r="K1825">
        <f t="shared" si="227"/>
        <v>-4.0000000000000036</v>
      </c>
      <c r="L1825">
        <f t="shared" si="228"/>
        <v>-7.0000000000000284</v>
      </c>
      <c r="M1825">
        <f t="shared" si="229"/>
        <v>-7.0000000000000284</v>
      </c>
      <c r="N1825">
        <f t="shared" si="230"/>
        <v>-6.0000000000000497</v>
      </c>
      <c r="O1825">
        <f t="shared" si="231"/>
        <v>-6.0000000000000497</v>
      </c>
      <c r="P1825">
        <f t="shared" si="232"/>
        <v>-5.9999999999999609</v>
      </c>
      <c r="Q1825">
        <f t="shared" si="233"/>
        <v>-6.0000000000000497</v>
      </c>
      <c r="R1825">
        <f t="shared" si="234"/>
        <v>-4.9999999999999822</v>
      </c>
    </row>
    <row r="1826" spans="1:18">
      <c r="A1826" s="9">
        <v>39373</v>
      </c>
      <c r="B1826">
        <v>4.78</v>
      </c>
      <c r="C1826">
        <v>4.62</v>
      </c>
      <c r="D1826">
        <v>4.67</v>
      </c>
      <c r="E1826">
        <v>4.76</v>
      </c>
      <c r="F1826">
        <v>4.84</v>
      </c>
      <c r="G1826">
        <v>4.99</v>
      </c>
      <c r="H1826">
        <v>5.16</v>
      </c>
      <c r="I1826">
        <v>5.4</v>
      </c>
      <c r="K1826">
        <f t="shared" si="227"/>
        <v>-8.0000000000000071</v>
      </c>
      <c r="L1826">
        <f t="shared" si="228"/>
        <v>-8.9999999999999858</v>
      </c>
      <c r="M1826">
        <f t="shared" si="229"/>
        <v>-8.9999999999999858</v>
      </c>
      <c r="N1826">
        <f t="shared" si="230"/>
        <v>-8.9999999999999858</v>
      </c>
      <c r="O1826">
        <f t="shared" si="231"/>
        <v>-8.9999999999999858</v>
      </c>
      <c r="P1826">
        <f t="shared" si="232"/>
        <v>-8.0000000000000071</v>
      </c>
      <c r="Q1826">
        <f t="shared" si="233"/>
        <v>-5.9999999999999609</v>
      </c>
      <c r="R1826">
        <f t="shared" si="234"/>
        <v>-4.9999999999999822</v>
      </c>
    </row>
    <row r="1827" spans="1:18">
      <c r="A1827" s="9">
        <v>39374</v>
      </c>
      <c r="B1827">
        <v>4.67</v>
      </c>
      <c r="C1827">
        <v>4.49</v>
      </c>
      <c r="D1827">
        <v>4.54</v>
      </c>
      <c r="E1827">
        <v>4.62</v>
      </c>
      <c r="F1827">
        <v>4.7</v>
      </c>
      <c r="G1827">
        <v>4.8499999999999996</v>
      </c>
      <c r="H1827">
        <v>5.0199999999999996</v>
      </c>
      <c r="I1827">
        <v>5.28</v>
      </c>
      <c r="K1827">
        <f t="shared" si="227"/>
        <v>-11.000000000000032</v>
      </c>
      <c r="L1827">
        <f t="shared" si="228"/>
        <v>-12.999999999999989</v>
      </c>
      <c r="M1827">
        <f t="shared" si="229"/>
        <v>-12.999999999999989</v>
      </c>
      <c r="N1827">
        <f t="shared" si="230"/>
        <v>-13.999999999999968</v>
      </c>
      <c r="O1827">
        <f t="shared" si="231"/>
        <v>-13.999999999999968</v>
      </c>
      <c r="P1827">
        <f t="shared" si="232"/>
        <v>-14.000000000000057</v>
      </c>
      <c r="Q1827">
        <f t="shared" si="233"/>
        <v>-14.000000000000057</v>
      </c>
      <c r="R1827">
        <f t="shared" si="234"/>
        <v>-12.000000000000011</v>
      </c>
    </row>
    <row r="1828" spans="1:18">
      <c r="A1828" s="9">
        <v>39377</v>
      </c>
      <c r="B1828">
        <v>4.66</v>
      </c>
      <c r="C1828">
        <v>4.49</v>
      </c>
      <c r="D1828">
        <v>4.54</v>
      </c>
      <c r="E1828">
        <v>4.62</v>
      </c>
      <c r="F1828">
        <v>4.71</v>
      </c>
      <c r="G1828">
        <v>4.8600000000000003</v>
      </c>
      <c r="H1828">
        <v>5.03</v>
      </c>
      <c r="I1828">
        <v>5.28</v>
      </c>
      <c r="K1828">
        <f t="shared" si="227"/>
        <v>-0.99999999999997868</v>
      </c>
      <c r="L1828">
        <f t="shared" si="228"/>
        <v>0</v>
      </c>
      <c r="M1828">
        <f t="shared" si="229"/>
        <v>0</v>
      </c>
      <c r="N1828">
        <f t="shared" si="230"/>
        <v>0</v>
      </c>
      <c r="O1828">
        <f t="shared" si="231"/>
        <v>0.99999999999997868</v>
      </c>
      <c r="P1828">
        <f t="shared" si="232"/>
        <v>1.0000000000000675</v>
      </c>
      <c r="Q1828">
        <f t="shared" si="233"/>
        <v>1.0000000000000675</v>
      </c>
      <c r="R1828">
        <f t="shared" si="234"/>
        <v>0</v>
      </c>
    </row>
    <row r="1829" spans="1:18">
      <c r="A1829" s="9">
        <v>39378</v>
      </c>
      <c r="B1829">
        <v>4.67</v>
      </c>
      <c r="C1829">
        <v>4.51</v>
      </c>
      <c r="D1829">
        <v>4.5599999999999996</v>
      </c>
      <c r="E1829">
        <v>4.6399999999999997</v>
      </c>
      <c r="F1829">
        <v>4.7300000000000004</v>
      </c>
      <c r="G1829">
        <v>4.88</v>
      </c>
      <c r="H1829">
        <v>5.05</v>
      </c>
      <c r="I1829">
        <v>5.3</v>
      </c>
      <c r="K1829">
        <f t="shared" si="227"/>
        <v>0.99999999999997868</v>
      </c>
      <c r="L1829">
        <f t="shared" si="228"/>
        <v>1.9999999999999574</v>
      </c>
      <c r="M1829">
        <f t="shared" si="229"/>
        <v>1.9999999999999574</v>
      </c>
      <c r="N1829">
        <f t="shared" si="230"/>
        <v>1.9999999999999574</v>
      </c>
      <c r="O1829">
        <f t="shared" si="231"/>
        <v>2.0000000000000462</v>
      </c>
      <c r="P1829">
        <f t="shared" si="232"/>
        <v>1.9999999999999574</v>
      </c>
      <c r="Q1829">
        <f t="shared" si="233"/>
        <v>1.9999999999999574</v>
      </c>
      <c r="R1829">
        <f t="shared" si="234"/>
        <v>1.9999999999999574</v>
      </c>
    </row>
    <row r="1830" spans="1:18">
      <c r="A1830" s="9">
        <v>39379</v>
      </c>
      <c r="B1830">
        <v>4.59</v>
      </c>
      <c r="C1830">
        <v>4.41</v>
      </c>
      <c r="D1830">
        <v>4.46</v>
      </c>
      <c r="E1830">
        <v>4.55</v>
      </c>
      <c r="F1830">
        <v>4.6399999999999997</v>
      </c>
      <c r="G1830">
        <v>4.8</v>
      </c>
      <c r="H1830">
        <v>4.9800000000000004</v>
      </c>
      <c r="I1830">
        <v>5.24</v>
      </c>
      <c r="K1830">
        <f t="shared" si="227"/>
        <v>-8.0000000000000071</v>
      </c>
      <c r="L1830">
        <f t="shared" si="228"/>
        <v>-9.9999999999999645</v>
      </c>
      <c r="M1830">
        <f t="shared" si="229"/>
        <v>-9.9999999999999645</v>
      </c>
      <c r="N1830">
        <f t="shared" si="230"/>
        <v>-8.9999999999999858</v>
      </c>
      <c r="O1830">
        <f t="shared" si="231"/>
        <v>-9.0000000000000746</v>
      </c>
      <c r="P1830">
        <f t="shared" si="232"/>
        <v>-8.0000000000000071</v>
      </c>
      <c r="Q1830">
        <f t="shared" si="233"/>
        <v>-6.9999999999999396</v>
      </c>
      <c r="R1830">
        <f t="shared" si="234"/>
        <v>-5.9999999999999609</v>
      </c>
    </row>
    <row r="1831" spans="1:18">
      <c r="A1831" s="9">
        <v>39380</v>
      </c>
      <c r="B1831">
        <v>4.57</v>
      </c>
      <c r="C1831">
        <v>4.4000000000000004</v>
      </c>
      <c r="D1831">
        <v>4.46</v>
      </c>
      <c r="E1831">
        <v>4.5599999999999996</v>
      </c>
      <c r="F1831">
        <v>4.6500000000000004</v>
      </c>
      <c r="G1831">
        <v>4.8099999999999996</v>
      </c>
      <c r="H1831">
        <v>4.9800000000000004</v>
      </c>
      <c r="I1831">
        <v>5.24</v>
      </c>
      <c r="K1831">
        <f t="shared" si="227"/>
        <v>-1.9999999999999574</v>
      </c>
      <c r="L1831">
        <f t="shared" si="228"/>
        <v>-0.99999999999997868</v>
      </c>
      <c r="M1831">
        <f t="shared" si="229"/>
        <v>0</v>
      </c>
      <c r="N1831">
        <f t="shared" si="230"/>
        <v>0.99999999999997868</v>
      </c>
      <c r="O1831">
        <f t="shared" si="231"/>
        <v>1.0000000000000675</v>
      </c>
      <c r="P1831">
        <f t="shared" si="232"/>
        <v>0.99999999999997868</v>
      </c>
      <c r="Q1831">
        <f t="shared" si="233"/>
        <v>0</v>
      </c>
      <c r="R1831">
        <f t="shared" si="234"/>
        <v>0</v>
      </c>
    </row>
    <row r="1832" spans="1:18">
      <c r="A1832" s="9">
        <v>39381</v>
      </c>
      <c r="B1832">
        <v>4.57</v>
      </c>
      <c r="C1832">
        <v>4.42</v>
      </c>
      <c r="D1832">
        <v>4.49</v>
      </c>
      <c r="E1832">
        <v>4.59</v>
      </c>
      <c r="F1832">
        <v>4.6900000000000004</v>
      </c>
      <c r="G1832">
        <v>4.8499999999999996</v>
      </c>
      <c r="H1832">
        <v>5.0199999999999996</v>
      </c>
      <c r="I1832">
        <v>5.28</v>
      </c>
      <c r="K1832">
        <f t="shared" si="227"/>
        <v>0</v>
      </c>
      <c r="L1832">
        <f t="shared" si="228"/>
        <v>1.9999999999999574</v>
      </c>
      <c r="M1832">
        <f t="shared" si="229"/>
        <v>3.0000000000000249</v>
      </c>
      <c r="N1832">
        <f t="shared" si="230"/>
        <v>3.0000000000000249</v>
      </c>
      <c r="O1832">
        <f t="shared" si="231"/>
        <v>4.0000000000000036</v>
      </c>
      <c r="P1832">
        <f t="shared" si="232"/>
        <v>4.0000000000000036</v>
      </c>
      <c r="Q1832">
        <f t="shared" si="233"/>
        <v>3.9999999999999147</v>
      </c>
      <c r="R1832">
        <f t="shared" si="234"/>
        <v>4.0000000000000036</v>
      </c>
    </row>
    <row r="1833" spans="1:18">
      <c r="A1833" s="9">
        <v>39384</v>
      </c>
      <c r="B1833">
        <v>4.59</v>
      </c>
      <c r="C1833">
        <v>4.4400000000000004</v>
      </c>
      <c r="D1833">
        <v>4.51</v>
      </c>
      <c r="E1833">
        <v>4.6100000000000003</v>
      </c>
      <c r="F1833">
        <v>4.71</v>
      </c>
      <c r="G1833">
        <v>4.87</v>
      </c>
      <c r="H1833">
        <v>5.03</v>
      </c>
      <c r="I1833">
        <v>5.28</v>
      </c>
      <c r="K1833">
        <f t="shared" si="227"/>
        <v>1.9999999999999574</v>
      </c>
      <c r="L1833">
        <f t="shared" si="228"/>
        <v>2.0000000000000462</v>
      </c>
      <c r="M1833">
        <f t="shared" si="229"/>
        <v>1.9999999999999574</v>
      </c>
      <c r="N1833">
        <f t="shared" si="230"/>
        <v>2.0000000000000462</v>
      </c>
      <c r="O1833">
        <f t="shared" si="231"/>
        <v>1.9999999999999574</v>
      </c>
      <c r="P1833">
        <f t="shared" si="232"/>
        <v>2.0000000000000462</v>
      </c>
      <c r="Q1833">
        <f t="shared" si="233"/>
        <v>1.0000000000000675</v>
      </c>
      <c r="R1833">
        <f t="shared" si="234"/>
        <v>0</v>
      </c>
    </row>
    <row r="1834" spans="1:18">
      <c r="A1834" s="9">
        <v>39385</v>
      </c>
      <c r="B1834">
        <v>4.59</v>
      </c>
      <c r="C1834">
        <v>4.46</v>
      </c>
      <c r="D1834">
        <v>4.53</v>
      </c>
      <c r="E1834">
        <v>4.62</v>
      </c>
      <c r="F1834">
        <v>4.72</v>
      </c>
      <c r="G1834">
        <v>4.87</v>
      </c>
      <c r="H1834">
        <v>5.03</v>
      </c>
      <c r="I1834">
        <v>5.28</v>
      </c>
      <c r="K1834">
        <f t="shared" si="227"/>
        <v>0</v>
      </c>
      <c r="L1834">
        <f t="shared" si="228"/>
        <v>1.9999999999999574</v>
      </c>
      <c r="M1834">
        <f t="shared" si="229"/>
        <v>2.0000000000000462</v>
      </c>
      <c r="N1834">
        <f t="shared" si="230"/>
        <v>0.99999999999997868</v>
      </c>
      <c r="O1834">
        <f t="shared" si="231"/>
        <v>0.99999999999997868</v>
      </c>
      <c r="P1834">
        <f t="shared" si="232"/>
        <v>0</v>
      </c>
      <c r="Q1834">
        <f t="shared" si="233"/>
        <v>0</v>
      </c>
      <c r="R1834">
        <f t="shared" si="234"/>
        <v>0</v>
      </c>
    </row>
    <row r="1835" spans="1:18">
      <c r="A1835" s="9">
        <v>39386</v>
      </c>
      <c r="B1835">
        <v>4.62</v>
      </c>
      <c r="C1835">
        <v>4.49</v>
      </c>
      <c r="D1835">
        <v>4.5599999999999996</v>
      </c>
      <c r="E1835">
        <v>4.6500000000000004</v>
      </c>
      <c r="F1835">
        <v>4.74</v>
      </c>
      <c r="G1835">
        <v>4.8899999999999997</v>
      </c>
      <c r="H1835">
        <v>5.05</v>
      </c>
      <c r="I1835">
        <v>5.29</v>
      </c>
      <c r="K1835">
        <f t="shared" si="227"/>
        <v>3.0000000000000249</v>
      </c>
      <c r="L1835">
        <f t="shared" si="228"/>
        <v>3.0000000000000249</v>
      </c>
      <c r="M1835">
        <f t="shared" si="229"/>
        <v>2.9999999999999361</v>
      </c>
      <c r="N1835">
        <f t="shared" si="230"/>
        <v>3.0000000000000249</v>
      </c>
      <c r="O1835">
        <f t="shared" si="231"/>
        <v>2.0000000000000462</v>
      </c>
      <c r="P1835">
        <f t="shared" si="232"/>
        <v>1.9999999999999574</v>
      </c>
      <c r="Q1835">
        <f t="shared" si="233"/>
        <v>1.9999999999999574</v>
      </c>
      <c r="R1835">
        <f t="shared" si="234"/>
        <v>0.99999999999997868</v>
      </c>
    </row>
    <row r="1836" spans="1:18">
      <c r="A1836" s="9">
        <v>39387</v>
      </c>
      <c r="B1836">
        <v>4.59</v>
      </c>
      <c r="C1836">
        <v>4.47</v>
      </c>
      <c r="D1836">
        <v>4.53</v>
      </c>
      <c r="E1836">
        <v>4.63</v>
      </c>
      <c r="F1836">
        <v>4.72</v>
      </c>
      <c r="G1836">
        <v>4.8600000000000003</v>
      </c>
      <c r="H1836">
        <v>5.0199999999999996</v>
      </c>
      <c r="I1836">
        <v>5.27</v>
      </c>
      <c r="K1836">
        <f t="shared" si="227"/>
        <v>-3.0000000000000249</v>
      </c>
      <c r="L1836">
        <f t="shared" si="228"/>
        <v>-2.0000000000000462</v>
      </c>
      <c r="M1836">
        <f t="shared" si="229"/>
        <v>-2.9999999999999361</v>
      </c>
      <c r="N1836">
        <f t="shared" si="230"/>
        <v>-2.0000000000000462</v>
      </c>
      <c r="O1836">
        <f t="shared" si="231"/>
        <v>-2.0000000000000462</v>
      </c>
      <c r="P1836">
        <f t="shared" si="232"/>
        <v>-2.9999999999999361</v>
      </c>
      <c r="Q1836">
        <f t="shared" si="233"/>
        <v>-3.0000000000000249</v>
      </c>
      <c r="R1836">
        <f t="shared" si="234"/>
        <v>-2.0000000000000462</v>
      </c>
    </row>
    <row r="1837" spans="1:18">
      <c r="A1837" s="9">
        <v>39388</v>
      </c>
      <c r="B1837">
        <v>4.53</v>
      </c>
      <c r="C1837">
        <v>4.38</v>
      </c>
      <c r="D1837">
        <v>4.4400000000000004</v>
      </c>
      <c r="E1837">
        <v>4.54</v>
      </c>
      <c r="F1837">
        <v>4.6399999999999997</v>
      </c>
      <c r="G1837">
        <v>4.8</v>
      </c>
      <c r="H1837">
        <v>4.97</v>
      </c>
      <c r="I1837">
        <v>5.24</v>
      </c>
      <c r="K1837">
        <f t="shared" si="227"/>
        <v>-5.9999999999999609</v>
      </c>
      <c r="L1837">
        <f t="shared" si="228"/>
        <v>-8.9999999999999858</v>
      </c>
      <c r="M1837">
        <f t="shared" si="229"/>
        <v>-8.9999999999999858</v>
      </c>
      <c r="N1837">
        <f t="shared" si="230"/>
        <v>-8.9999999999999858</v>
      </c>
      <c r="O1837">
        <f t="shared" si="231"/>
        <v>-8.0000000000000071</v>
      </c>
      <c r="P1837">
        <f t="shared" si="232"/>
        <v>-6.0000000000000497</v>
      </c>
      <c r="Q1837">
        <f t="shared" si="233"/>
        <v>-4.9999999999999822</v>
      </c>
      <c r="R1837">
        <f t="shared" si="234"/>
        <v>-2.9999999999999361</v>
      </c>
    </row>
    <row r="1838" spans="1:18">
      <c r="A1838" s="9">
        <v>39391</v>
      </c>
      <c r="B1838">
        <v>4.57</v>
      </c>
      <c r="C1838">
        <v>4.41</v>
      </c>
      <c r="D1838">
        <v>4.47</v>
      </c>
      <c r="E1838">
        <v>4.57</v>
      </c>
      <c r="F1838">
        <v>4.68</v>
      </c>
      <c r="G1838">
        <v>4.8499999999999996</v>
      </c>
      <c r="H1838">
        <v>5.0199999999999996</v>
      </c>
      <c r="I1838">
        <v>5.29</v>
      </c>
      <c r="K1838">
        <f t="shared" si="227"/>
        <v>4.0000000000000036</v>
      </c>
      <c r="L1838">
        <f t="shared" si="228"/>
        <v>3.0000000000000249</v>
      </c>
      <c r="M1838">
        <f t="shared" si="229"/>
        <v>2.9999999999999361</v>
      </c>
      <c r="N1838">
        <f t="shared" si="230"/>
        <v>3.0000000000000249</v>
      </c>
      <c r="O1838">
        <f t="shared" si="231"/>
        <v>4.0000000000000036</v>
      </c>
      <c r="P1838">
        <f t="shared" si="232"/>
        <v>4.9999999999999822</v>
      </c>
      <c r="Q1838">
        <f t="shared" si="233"/>
        <v>4.9999999999999822</v>
      </c>
      <c r="R1838">
        <f t="shared" si="234"/>
        <v>4.9999999999999822</v>
      </c>
    </row>
    <row r="1839" spans="1:18">
      <c r="A1839" s="9">
        <v>39392</v>
      </c>
      <c r="B1839">
        <v>4.58</v>
      </c>
      <c r="C1839">
        <v>4.43</v>
      </c>
      <c r="D1839">
        <v>4.49</v>
      </c>
      <c r="E1839">
        <v>4.5999999999999996</v>
      </c>
      <c r="F1839">
        <v>4.7</v>
      </c>
      <c r="G1839">
        <v>4.88</v>
      </c>
      <c r="H1839">
        <v>5.0599999999999996</v>
      </c>
      <c r="I1839">
        <v>5.32</v>
      </c>
      <c r="K1839">
        <f t="shared" si="227"/>
        <v>0.99999999999997868</v>
      </c>
      <c r="L1839">
        <f t="shared" si="228"/>
        <v>1.9999999999999574</v>
      </c>
      <c r="M1839">
        <f t="shared" si="229"/>
        <v>2.0000000000000462</v>
      </c>
      <c r="N1839">
        <f t="shared" si="230"/>
        <v>2.9999999999999361</v>
      </c>
      <c r="O1839">
        <f t="shared" si="231"/>
        <v>2.0000000000000462</v>
      </c>
      <c r="P1839">
        <f t="shared" si="232"/>
        <v>3.0000000000000249</v>
      </c>
      <c r="Q1839">
        <f t="shared" si="233"/>
        <v>4.0000000000000036</v>
      </c>
      <c r="R1839">
        <f t="shared" si="234"/>
        <v>3.0000000000000249</v>
      </c>
    </row>
    <row r="1840" spans="1:18">
      <c r="A1840" s="9">
        <v>39393</v>
      </c>
      <c r="B1840">
        <v>4.57</v>
      </c>
      <c r="C1840">
        <v>4.42</v>
      </c>
      <c r="D1840">
        <v>4.49</v>
      </c>
      <c r="E1840">
        <v>4.5999999999999996</v>
      </c>
      <c r="F1840">
        <v>4.7</v>
      </c>
      <c r="G1840">
        <v>4.88</v>
      </c>
      <c r="H1840">
        <v>5.07</v>
      </c>
      <c r="I1840">
        <v>5.35</v>
      </c>
      <c r="K1840">
        <f t="shared" si="227"/>
        <v>-0.99999999999997868</v>
      </c>
      <c r="L1840">
        <f t="shared" si="228"/>
        <v>-0.99999999999997868</v>
      </c>
      <c r="M1840">
        <f t="shared" si="229"/>
        <v>0</v>
      </c>
      <c r="N1840">
        <f t="shared" si="230"/>
        <v>0</v>
      </c>
      <c r="O1840">
        <f t="shared" si="231"/>
        <v>0</v>
      </c>
      <c r="P1840">
        <f t="shared" si="232"/>
        <v>0</v>
      </c>
      <c r="Q1840">
        <f t="shared" si="233"/>
        <v>1.0000000000000675</v>
      </c>
      <c r="R1840">
        <f t="shared" si="234"/>
        <v>2.9999999999999361</v>
      </c>
    </row>
    <row r="1841" spans="1:18">
      <c r="A1841" s="9">
        <v>39394</v>
      </c>
      <c r="B1841">
        <v>4.4800000000000004</v>
      </c>
      <c r="C1841">
        <v>4.33</v>
      </c>
      <c r="D1841">
        <v>4.3899999999999997</v>
      </c>
      <c r="E1841">
        <v>4.5199999999999996</v>
      </c>
      <c r="F1841">
        <v>4.6399999999999997</v>
      </c>
      <c r="G1841">
        <v>4.83</v>
      </c>
      <c r="H1841">
        <v>5.03</v>
      </c>
      <c r="I1841">
        <v>5.34</v>
      </c>
      <c r="K1841">
        <f t="shared" si="227"/>
        <v>-8.9999999999999858</v>
      </c>
      <c r="L1841">
        <f t="shared" si="228"/>
        <v>-8.9999999999999858</v>
      </c>
      <c r="M1841">
        <f t="shared" si="229"/>
        <v>-10.000000000000053</v>
      </c>
      <c r="N1841">
        <f t="shared" si="230"/>
        <v>-8.0000000000000071</v>
      </c>
      <c r="O1841">
        <f t="shared" si="231"/>
        <v>-6.0000000000000497</v>
      </c>
      <c r="P1841">
        <f t="shared" si="232"/>
        <v>-4.9999999999999822</v>
      </c>
      <c r="Q1841">
        <f t="shared" si="233"/>
        <v>-4.0000000000000036</v>
      </c>
      <c r="R1841">
        <f t="shared" si="234"/>
        <v>-0.99999999999997868</v>
      </c>
    </row>
    <row r="1842" spans="1:18">
      <c r="A1842" s="9">
        <v>39395</v>
      </c>
      <c r="B1842">
        <v>4.42</v>
      </c>
      <c r="C1842">
        <v>4.26</v>
      </c>
      <c r="D1842">
        <v>4.34</v>
      </c>
      <c r="E1842">
        <v>4.46</v>
      </c>
      <c r="F1842">
        <v>4.58</v>
      </c>
      <c r="G1842">
        <v>4.7699999999999996</v>
      </c>
      <c r="H1842">
        <v>4.9800000000000004</v>
      </c>
      <c r="I1842">
        <v>5.28</v>
      </c>
      <c r="K1842">
        <f t="shared" si="227"/>
        <v>-6.0000000000000497</v>
      </c>
      <c r="L1842">
        <f t="shared" si="228"/>
        <v>-7.0000000000000284</v>
      </c>
      <c r="M1842">
        <f t="shared" si="229"/>
        <v>-4.9999999999999822</v>
      </c>
      <c r="N1842">
        <f t="shared" si="230"/>
        <v>-5.9999999999999609</v>
      </c>
      <c r="O1842">
        <f t="shared" si="231"/>
        <v>-5.9999999999999609</v>
      </c>
      <c r="P1842">
        <f t="shared" si="232"/>
        <v>-6.0000000000000497</v>
      </c>
      <c r="Q1842">
        <f t="shared" si="233"/>
        <v>-4.9999999999999822</v>
      </c>
      <c r="R1842">
        <f t="shared" si="234"/>
        <v>-5.9999999999999609</v>
      </c>
    </row>
    <row r="1843" spans="1:18">
      <c r="A1843" s="9">
        <v>39399</v>
      </c>
      <c r="B1843">
        <v>4.43</v>
      </c>
      <c r="C1843">
        <v>4.2699999999999996</v>
      </c>
      <c r="D1843">
        <v>4.3600000000000003</v>
      </c>
      <c r="E1843">
        <v>4.47</v>
      </c>
      <c r="F1843">
        <v>4.59</v>
      </c>
      <c r="G1843">
        <v>4.78</v>
      </c>
      <c r="H1843">
        <v>4.9800000000000004</v>
      </c>
      <c r="I1843">
        <v>5.27</v>
      </c>
      <c r="K1843">
        <f t="shared" si="227"/>
        <v>0.99999999999997868</v>
      </c>
      <c r="L1843">
        <f t="shared" si="228"/>
        <v>0.99999999999997868</v>
      </c>
      <c r="M1843">
        <f t="shared" si="229"/>
        <v>2.0000000000000462</v>
      </c>
      <c r="N1843">
        <f t="shared" si="230"/>
        <v>0.99999999999997868</v>
      </c>
      <c r="O1843">
        <f t="shared" si="231"/>
        <v>0.99999999999997868</v>
      </c>
      <c r="P1843">
        <f t="shared" si="232"/>
        <v>1.0000000000000675</v>
      </c>
      <c r="Q1843">
        <f t="shared" si="233"/>
        <v>0</v>
      </c>
      <c r="R1843">
        <f t="shared" si="234"/>
        <v>-1.0000000000000675</v>
      </c>
    </row>
    <row r="1844" spans="1:18">
      <c r="A1844" s="9">
        <v>39400</v>
      </c>
      <c r="B1844">
        <v>4.47</v>
      </c>
      <c r="C1844">
        <v>4.3099999999999996</v>
      </c>
      <c r="D1844">
        <v>4.4000000000000004</v>
      </c>
      <c r="E1844">
        <v>4.51</v>
      </c>
      <c r="F1844">
        <v>4.63</v>
      </c>
      <c r="G1844">
        <v>4.8099999999999996</v>
      </c>
      <c r="H1844">
        <v>4.99</v>
      </c>
      <c r="I1844">
        <v>5.27</v>
      </c>
      <c r="K1844">
        <f t="shared" si="227"/>
        <v>4.0000000000000036</v>
      </c>
      <c r="L1844">
        <f t="shared" si="228"/>
        <v>4.0000000000000036</v>
      </c>
      <c r="M1844">
        <f t="shared" si="229"/>
        <v>4.0000000000000036</v>
      </c>
      <c r="N1844">
        <f t="shared" si="230"/>
        <v>4.0000000000000036</v>
      </c>
      <c r="O1844">
        <f t="shared" si="231"/>
        <v>4.0000000000000036</v>
      </c>
      <c r="P1844">
        <f t="shared" si="232"/>
        <v>2.9999999999999361</v>
      </c>
      <c r="Q1844">
        <f t="shared" si="233"/>
        <v>0.99999999999997868</v>
      </c>
      <c r="R1844">
        <f t="shared" si="234"/>
        <v>0</v>
      </c>
    </row>
    <row r="1845" spans="1:18">
      <c r="A1845" s="9">
        <v>39401</v>
      </c>
      <c r="B1845">
        <v>4.42</v>
      </c>
      <c r="C1845">
        <v>4.25</v>
      </c>
      <c r="D1845">
        <v>4.33</v>
      </c>
      <c r="E1845">
        <v>4.45</v>
      </c>
      <c r="F1845">
        <v>4.57</v>
      </c>
      <c r="G1845">
        <v>4.76</v>
      </c>
      <c r="H1845">
        <v>4.96</v>
      </c>
      <c r="I1845">
        <v>5.26</v>
      </c>
      <c r="K1845">
        <f t="shared" si="227"/>
        <v>-4.9999999999999822</v>
      </c>
      <c r="L1845">
        <f t="shared" si="228"/>
        <v>-5.9999999999999609</v>
      </c>
      <c r="M1845">
        <f t="shared" si="229"/>
        <v>-7.0000000000000284</v>
      </c>
      <c r="N1845">
        <f t="shared" si="230"/>
        <v>-5.9999999999999609</v>
      </c>
      <c r="O1845">
        <f t="shared" si="231"/>
        <v>-5.9999999999999609</v>
      </c>
      <c r="P1845">
        <f t="shared" si="232"/>
        <v>-4.9999999999999822</v>
      </c>
      <c r="Q1845">
        <f t="shared" si="233"/>
        <v>-3.0000000000000249</v>
      </c>
      <c r="R1845">
        <f t="shared" si="234"/>
        <v>-0.99999999999997868</v>
      </c>
    </row>
    <row r="1846" spans="1:18">
      <c r="A1846" s="9">
        <v>39402</v>
      </c>
      <c r="B1846">
        <v>4.41</v>
      </c>
      <c r="C1846">
        <v>4.16</v>
      </c>
      <c r="D1846">
        <v>4.24</v>
      </c>
      <c r="E1846">
        <v>4.3600000000000003</v>
      </c>
      <c r="F1846">
        <v>4.49</v>
      </c>
      <c r="G1846">
        <v>4.68</v>
      </c>
      <c r="H1846">
        <v>4.88</v>
      </c>
      <c r="I1846">
        <v>5.19</v>
      </c>
      <c r="K1846">
        <f t="shared" si="227"/>
        <v>-0.99999999999997868</v>
      </c>
      <c r="L1846">
        <f t="shared" si="228"/>
        <v>-8.9999999999999858</v>
      </c>
      <c r="M1846">
        <f t="shared" si="229"/>
        <v>-8.9999999999999858</v>
      </c>
      <c r="N1846">
        <f t="shared" si="230"/>
        <v>-8.9999999999999858</v>
      </c>
      <c r="O1846">
        <f t="shared" si="231"/>
        <v>-8.0000000000000071</v>
      </c>
      <c r="P1846">
        <f t="shared" si="232"/>
        <v>-8.0000000000000071</v>
      </c>
      <c r="Q1846">
        <f t="shared" si="233"/>
        <v>-8.0000000000000071</v>
      </c>
      <c r="R1846">
        <f t="shared" si="234"/>
        <v>-6.9999999999999396</v>
      </c>
    </row>
    <row r="1847" spans="1:18">
      <c r="A1847" s="9">
        <v>39405</v>
      </c>
      <c r="B1847">
        <v>4.42</v>
      </c>
      <c r="C1847">
        <v>4.17</v>
      </c>
      <c r="D1847">
        <v>4.2300000000000004</v>
      </c>
      <c r="E1847">
        <v>4.3499999999999996</v>
      </c>
      <c r="F1847">
        <v>4.47</v>
      </c>
      <c r="G1847">
        <v>4.67</v>
      </c>
      <c r="H1847">
        <v>4.88</v>
      </c>
      <c r="I1847">
        <v>5.19</v>
      </c>
      <c r="K1847">
        <f t="shared" si="227"/>
        <v>0.99999999999997868</v>
      </c>
      <c r="L1847">
        <f t="shared" si="228"/>
        <v>0.99999999999997868</v>
      </c>
      <c r="M1847">
        <f t="shared" si="229"/>
        <v>-0.99999999999997868</v>
      </c>
      <c r="N1847">
        <f t="shared" si="230"/>
        <v>-1.0000000000000675</v>
      </c>
      <c r="O1847">
        <f t="shared" si="231"/>
        <v>-2.0000000000000462</v>
      </c>
      <c r="P1847">
        <f t="shared" si="232"/>
        <v>-0.99999999999997868</v>
      </c>
      <c r="Q1847">
        <f t="shared" si="233"/>
        <v>0</v>
      </c>
      <c r="R1847">
        <f t="shared" si="234"/>
        <v>0</v>
      </c>
    </row>
    <row r="1848" spans="1:18">
      <c r="A1848" s="9">
        <v>39406</v>
      </c>
      <c r="B1848">
        <v>4.45</v>
      </c>
      <c r="C1848">
        <v>4.2</v>
      </c>
      <c r="D1848">
        <v>4.26</v>
      </c>
      <c r="E1848">
        <v>4.37</v>
      </c>
      <c r="F1848">
        <v>4.49</v>
      </c>
      <c r="G1848">
        <v>4.6900000000000004</v>
      </c>
      <c r="H1848">
        <v>4.9000000000000004</v>
      </c>
      <c r="I1848">
        <v>5.2</v>
      </c>
      <c r="K1848">
        <f t="shared" si="227"/>
        <v>3.0000000000000249</v>
      </c>
      <c r="L1848">
        <f t="shared" si="228"/>
        <v>3.0000000000000249</v>
      </c>
      <c r="M1848">
        <f t="shared" si="229"/>
        <v>2.9999999999999361</v>
      </c>
      <c r="N1848">
        <f t="shared" si="230"/>
        <v>2.0000000000000462</v>
      </c>
      <c r="O1848">
        <f t="shared" si="231"/>
        <v>2.0000000000000462</v>
      </c>
      <c r="P1848">
        <f t="shared" si="232"/>
        <v>2.0000000000000462</v>
      </c>
      <c r="Q1848">
        <f t="shared" si="233"/>
        <v>2.0000000000000462</v>
      </c>
      <c r="R1848">
        <f t="shared" si="234"/>
        <v>0.99999999999997868</v>
      </c>
    </row>
    <row r="1849" spans="1:18">
      <c r="A1849" s="9">
        <v>39407</v>
      </c>
      <c r="B1849">
        <v>4.3099999999999996</v>
      </c>
      <c r="C1849">
        <v>4.05</v>
      </c>
      <c r="D1849">
        <v>4.0999999999999996</v>
      </c>
      <c r="E1849">
        <v>4.24</v>
      </c>
      <c r="F1849">
        <v>4.3899999999999997</v>
      </c>
      <c r="G1849">
        <v>4.5999999999999996</v>
      </c>
      <c r="H1849">
        <v>4.8499999999999996</v>
      </c>
      <c r="I1849">
        <v>5.19</v>
      </c>
      <c r="K1849">
        <f t="shared" si="227"/>
        <v>-14.000000000000057</v>
      </c>
      <c r="L1849">
        <f t="shared" si="228"/>
        <v>-15.000000000000036</v>
      </c>
      <c r="M1849">
        <f t="shared" si="229"/>
        <v>-16.000000000000014</v>
      </c>
      <c r="N1849">
        <f t="shared" si="230"/>
        <v>-12.999999999999989</v>
      </c>
      <c r="O1849">
        <f t="shared" si="231"/>
        <v>-10.000000000000053</v>
      </c>
      <c r="P1849">
        <f t="shared" si="232"/>
        <v>-9.0000000000000746</v>
      </c>
      <c r="Q1849">
        <f t="shared" si="233"/>
        <v>-5.0000000000000711</v>
      </c>
      <c r="R1849">
        <f t="shared" si="234"/>
        <v>-0.99999999999997868</v>
      </c>
    </row>
    <row r="1850" spans="1:18">
      <c r="A1850" s="9">
        <v>39409</v>
      </c>
      <c r="B1850">
        <v>4.3099999999999996</v>
      </c>
      <c r="C1850">
        <v>4.0199999999999996</v>
      </c>
      <c r="D1850">
        <v>4.0999999999999996</v>
      </c>
      <c r="E1850">
        <v>4.2300000000000004</v>
      </c>
      <c r="F1850">
        <v>4.34</v>
      </c>
      <c r="G1850">
        <v>4.57</v>
      </c>
      <c r="H1850">
        <v>4.79</v>
      </c>
      <c r="I1850">
        <v>5.12</v>
      </c>
      <c r="K1850">
        <f t="shared" si="227"/>
        <v>0</v>
      </c>
      <c r="L1850">
        <f t="shared" si="228"/>
        <v>-3.0000000000000249</v>
      </c>
      <c r="M1850">
        <f t="shared" si="229"/>
        <v>0</v>
      </c>
      <c r="N1850">
        <f t="shared" si="230"/>
        <v>-0.99999999999997868</v>
      </c>
      <c r="O1850">
        <f t="shared" si="231"/>
        <v>-4.9999999999999822</v>
      </c>
      <c r="P1850">
        <f t="shared" si="232"/>
        <v>-2.9999999999999361</v>
      </c>
      <c r="Q1850">
        <f t="shared" si="233"/>
        <v>-5.9999999999999609</v>
      </c>
      <c r="R1850">
        <f t="shared" si="234"/>
        <v>-7.0000000000000284</v>
      </c>
    </row>
    <row r="1851" spans="1:18">
      <c r="A1851" s="9">
        <v>39412</v>
      </c>
      <c r="B1851">
        <v>4.34</v>
      </c>
      <c r="C1851">
        <v>4.03</v>
      </c>
      <c r="D1851">
        <v>4.08</v>
      </c>
      <c r="E1851">
        <v>4.1900000000000004</v>
      </c>
      <c r="F1851">
        <v>4.32</v>
      </c>
      <c r="G1851">
        <v>4.5199999999999996</v>
      </c>
      <c r="H1851">
        <v>4.7300000000000004</v>
      </c>
      <c r="I1851">
        <v>5.04</v>
      </c>
      <c r="K1851">
        <f t="shared" si="227"/>
        <v>3.0000000000000249</v>
      </c>
      <c r="L1851">
        <f t="shared" si="228"/>
        <v>1.0000000000000675</v>
      </c>
      <c r="M1851">
        <f t="shared" si="229"/>
        <v>-1.9999999999999574</v>
      </c>
      <c r="N1851">
        <f t="shared" si="230"/>
        <v>-4.0000000000000036</v>
      </c>
      <c r="O1851">
        <f t="shared" si="231"/>
        <v>-1.9999999999999574</v>
      </c>
      <c r="P1851">
        <f t="shared" si="232"/>
        <v>-5.0000000000000711</v>
      </c>
      <c r="Q1851">
        <f t="shared" si="233"/>
        <v>-5.9999999999999609</v>
      </c>
      <c r="R1851">
        <f t="shared" si="234"/>
        <v>-8.0000000000000071</v>
      </c>
    </row>
    <row r="1852" spans="1:18">
      <c r="A1852" s="9">
        <v>39413</v>
      </c>
      <c r="B1852">
        <v>4.3099999999999996</v>
      </c>
      <c r="C1852">
        <v>3.99</v>
      </c>
      <c r="D1852">
        <v>4.04</v>
      </c>
      <c r="E1852">
        <v>4.16</v>
      </c>
      <c r="F1852">
        <v>4.29</v>
      </c>
      <c r="G1852">
        <v>4.4800000000000004</v>
      </c>
      <c r="H1852">
        <v>4.6900000000000004</v>
      </c>
      <c r="I1852">
        <v>4.99</v>
      </c>
      <c r="K1852">
        <f t="shared" si="227"/>
        <v>-3.0000000000000249</v>
      </c>
      <c r="L1852">
        <f t="shared" si="228"/>
        <v>-4.0000000000000036</v>
      </c>
      <c r="M1852">
        <f t="shared" si="229"/>
        <v>-4.0000000000000036</v>
      </c>
      <c r="N1852">
        <f t="shared" si="230"/>
        <v>-3.0000000000000249</v>
      </c>
      <c r="O1852">
        <f t="shared" si="231"/>
        <v>-3.0000000000000249</v>
      </c>
      <c r="P1852">
        <f t="shared" si="232"/>
        <v>-3.9999999999999147</v>
      </c>
      <c r="Q1852">
        <f t="shared" si="233"/>
        <v>-4.0000000000000036</v>
      </c>
      <c r="R1852">
        <f t="shared" si="234"/>
        <v>-4.9999999999999822</v>
      </c>
    </row>
    <row r="1853" spans="1:18">
      <c r="A1853" s="9">
        <v>39414</v>
      </c>
      <c r="B1853">
        <v>4.33</v>
      </c>
      <c r="C1853">
        <v>3.99</v>
      </c>
      <c r="D1853">
        <v>4.04</v>
      </c>
      <c r="E1853">
        <v>4.1399999999999997</v>
      </c>
      <c r="F1853">
        <v>4.26</v>
      </c>
      <c r="G1853">
        <v>4.46</v>
      </c>
      <c r="H1853">
        <v>4.66</v>
      </c>
      <c r="I1853">
        <v>4.95</v>
      </c>
      <c r="K1853">
        <f t="shared" si="227"/>
        <v>2.0000000000000462</v>
      </c>
      <c r="L1853">
        <f t="shared" si="228"/>
        <v>0</v>
      </c>
      <c r="M1853">
        <f t="shared" si="229"/>
        <v>0</v>
      </c>
      <c r="N1853">
        <f t="shared" si="230"/>
        <v>-2.0000000000000462</v>
      </c>
      <c r="O1853">
        <f t="shared" si="231"/>
        <v>-3.0000000000000249</v>
      </c>
      <c r="P1853">
        <f t="shared" si="232"/>
        <v>-2.0000000000000462</v>
      </c>
      <c r="Q1853">
        <f t="shared" si="233"/>
        <v>-3.0000000000000249</v>
      </c>
      <c r="R1853">
        <f t="shared" si="234"/>
        <v>-4.0000000000000036</v>
      </c>
    </row>
    <row r="1854" spans="1:18">
      <c r="A1854" s="9">
        <v>39415</v>
      </c>
      <c r="B1854">
        <v>4.2699999999999996</v>
      </c>
      <c r="C1854">
        <v>3.94</v>
      </c>
      <c r="D1854">
        <v>3.98</v>
      </c>
      <c r="E1854">
        <v>4.09</v>
      </c>
      <c r="F1854">
        <v>4.21</v>
      </c>
      <c r="G1854">
        <v>4.41</v>
      </c>
      <c r="H1854">
        <v>4.6100000000000003</v>
      </c>
      <c r="I1854">
        <v>4.91</v>
      </c>
      <c r="K1854">
        <f t="shared" si="227"/>
        <v>-6.0000000000000497</v>
      </c>
      <c r="L1854">
        <f t="shared" si="228"/>
        <v>-5.0000000000000266</v>
      </c>
      <c r="M1854">
        <f t="shared" si="229"/>
        <v>-6.0000000000000053</v>
      </c>
      <c r="N1854">
        <f t="shared" si="230"/>
        <v>-4.9999999999999822</v>
      </c>
      <c r="O1854">
        <f t="shared" si="231"/>
        <v>-4.9999999999999822</v>
      </c>
      <c r="P1854">
        <f t="shared" si="232"/>
        <v>-4.9999999999999822</v>
      </c>
      <c r="Q1854">
        <f t="shared" si="233"/>
        <v>-4.9999999999999822</v>
      </c>
      <c r="R1854">
        <f t="shared" si="234"/>
        <v>-4.0000000000000036</v>
      </c>
    </row>
    <row r="1855" spans="1:18">
      <c r="A1855" s="9">
        <v>39416</v>
      </c>
      <c r="B1855">
        <v>4.28</v>
      </c>
      <c r="C1855">
        <v>3.96</v>
      </c>
      <c r="D1855">
        <v>3.99</v>
      </c>
      <c r="E1855">
        <v>4.1100000000000003</v>
      </c>
      <c r="F1855">
        <v>4.22</v>
      </c>
      <c r="G1855">
        <v>4.43</v>
      </c>
      <c r="H1855">
        <v>4.6399999999999997</v>
      </c>
      <c r="I1855">
        <v>4.96</v>
      </c>
      <c r="K1855">
        <f t="shared" si="227"/>
        <v>1.0000000000000675</v>
      </c>
      <c r="L1855">
        <f t="shared" si="228"/>
        <v>2.0000000000000018</v>
      </c>
      <c r="M1855">
        <f t="shared" si="229"/>
        <v>1.0000000000000231</v>
      </c>
      <c r="N1855">
        <f t="shared" si="230"/>
        <v>2.0000000000000462</v>
      </c>
      <c r="O1855">
        <f t="shared" si="231"/>
        <v>0.99999999999997868</v>
      </c>
      <c r="P1855">
        <f t="shared" si="232"/>
        <v>1.9999999999999574</v>
      </c>
      <c r="Q1855">
        <f t="shared" si="233"/>
        <v>2.9999999999999361</v>
      </c>
      <c r="R1855">
        <f t="shared" si="234"/>
        <v>4.9999999999999822</v>
      </c>
    </row>
    <row r="1856" spans="1:18">
      <c r="A1856" s="9">
        <v>39419</v>
      </c>
      <c r="B1856">
        <v>4.28</v>
      </c>
      <c r="C1856">
        <v>3.85</v>
      </c>
      <c r="D1856">
        <v>3.88</v>
      </c>
      <c r="E1856">
        <v>3.98</v>
      </c>
      <c r="F1856">
        <v>4.0999999999999996</v>
      </c>
      <c r="G1856">
        <v>4.32</v>
      </c>
      <c r="H1856">
        <v>4.55</v>
      </c>
      <c r="I1856">
        <v>4.88</v>
      </c>
      <c r="K1856">
        <f t="shared" si="227"/>
        <v>0</v>
      </c>
      <c r="L1856">
        <f t="shared" si="228"/>
        <v>-10.999999999999988</v>
      </c>
      <c r="M1856">
        <f t="shared" si="229"/>
        <v>-11.000000000000032</v>
      </c>
      <c r="N1856">
        <f t="shared" si="230"/>
        <v>-13.000000000000034</v>
      </c>
      <c r="O1856">
        <f t="shared" si="231"/>
        <v>-12.000000000000011</v>
      </c>
      <c r="P1856">
        <f t="shared" si="232"/>
        <v>-10.999999999999943</v>
      </c>
      <c r="Q1856">
        <f t="shared" si="233"/>
        <v>-8.9999999999999858</v>
      </c>
      <c r="R1856">
        <f t="shared" si="234"/>
        <v>-8.0000000000000071</v>
      </c>
    </row>
    <row r="1857" spans="1:18">
      <c r="A1857" s="9">
        <v>39420</v>
      </c>
      <c r="B1857">
        <v>4.2699999999999996</v>
      </c>
      <c r="C1857">
        <v>3.85</v>
      </c>
      <c r="D1857">
        <v>3.87</v>
      </c>
      <c r="E1857">
        <v>3.97</v>
      </c>
      <c r="F1857">
        <v>4.09</v>
      </c>
      <c r="G1857">
        <v>4.3099999999999996</v>
      </c>
      <c r="H1857">
        <v>4.54</v>
      </c>
      <c r="I1857">
        <v>4.8899999999999997</v>
      </c>
      <c r="K1857">
        <f t="shared" si="227"/>
        <v>-1.0000000000000675</v>
      </c>
      <c r="L1857">
        <f t="shared" si="228"/>
        <v>0</v>
      </c>
      <c r="M1857">
        <f t="shared" si="229"/>
        <v>-0.99999999999997868</v>
      </c>
      <c r="N1857">
        <f t="shared" si="230"/>
        <v>-0.99999999999997868</v>
      </c>
      <c r="O1857">
        <f t="shared" si="231"/>
        <v>-0.99999999999997868</v>
      </c>
      <c r="P1857">
        <f t="shared" si="232"/>
        <v>-1.0000000000000675</v>
      </c>
      <c r="Q1857">
        <f t="shared" si="233"/>
        <v>-0.99999999999997868</v>
      </c>
      <c r="R1857">
        <f t="shared" si="234"/>
        <v>0.99999999999997868</v>
      </c>
    </row>
    <row r="1858" spans="1:18">
      <c r="A1858" s="9">
        <v>39421</v>
      </c>
      <c r="B1858">
        <v>4.2699999999999996</v>
      </c>
      <c r="C1858">
        <v>3.9</v>
      </c>
      <c r="D1858">
        <v>3.92</v>
      </c>
      <c r="E1858">
        <v>4.03</v>
      </c>
      <c r="F1858">
        <v>4.1500000000000004</v>
      </c>
      <c r="G1858">
        <v>4.37</v>
      </c>
      <c r="H1858">
        <v>4.5999999999999996</v>
      </c>
      <c r="I1858">
        <v>4.9400000000000004</v>
      </c>
      <c r="K1858">
        <f t="shared" si="227"/>
        <v>0</v>
      </c>
      <c r="L1858">
        <f t="shared" si="228"/>
        <v>4.9999999999999822</v>
      </c>
      <c r="M1858">
        <f t="shared" si="229"/>
        <v>4.9999999999999822</v>
      </c>
      <c r="N1858">
        <f t="shared" si="230"/>
        <v>6.0000000000000053</v>
      </c>
      <c r="O1858">
        <f t="shared" si="231"/>
        <v>6.0000000000000497</v>
      </c>
      <c r="P1858">
        <f t="shared" si="232"/>
        <v>6.0000000000000497</v>
      </c>
      <c r="Q1858">
        <f t="shared" si="233"/>
        <v>5.9999999999999609</v>
      </c>
      <c r="R1858">
        <f t="shared" si="234"/>
        <v>5.0000000000000711</v>
      </c>
    </row>
    <row r="1859" spans="1:18">
      <c r="A1859" s="9">
        <v>39422</v>
      </c>
      <c r="B1859">
        <v>4.25</v>
      </c>
      <c r="C1859">
        <v>3.93</v>
      </c>
      <c r="D1859">
        <v>3.95</v>
      </c>
      <c r="E1859">
        <v>4.0599999999999996</v>
      </c>
      <c r="F1859">
        <v>4.18</v>
      </c>
      <c r="G1859">
        <v>4.41</v>
      </c>
      <c r="H1859">
        <v>4.6500000000000004</v>
      </c>
      <c r="I1859">
        <v>5</v>
      </c>
      <c r="K1859">
        <f t="shared" si="227"/>
        <v>-1.9999999999999574</v>
      </c>
      <c r="L1859">
        <f t="shared" si="228"/>
        <v>3.0000000000000249</v>
      </c>
      <c r="M1859">
        <f t="shared" si="229"/>
        <v>3.0000000000000249</v>
      </c>
      <c r="N1859">
        <f t="shared" si="230"/>
        <v>2.9999999999999361</v>
      </c>
      <c r="O1859">
        <f t="shared" si="231"/>
        <v>2.9999999999999361</v>
      </c>
      <c r="P1859">
        <f t="shared" si="232"/>
        <v>4.0000000000000036</v>
      </c>
      <c r="Q1859">
        <f t="shared" si="233"/>
        <v>5.0000000000000711</v>
      </c>
      <c r="R1859">
        <f t="shared" si="234"/>
        <v>5.9999999999999609</v>
      </c>
    </row>
    <row r="1860" spans="1:18">
      <c r="A1860" s="9">
        <v>39423</v>
      </c>
      <c r="B1860">
        <v>4.37</v>
      </c>
      <c r="C1860">
        <v>4.1100000000000003</v>
      </c>
      <c r="D1860">
        <v>4.1399999999999997</v>
      </c>
      <c r="E1860">
        <v>4.24</v>
      </c>
      <c r="F1860">
        <v>4.38</v>
      </c>
      <c r="G1860">
        <v>4.59</v>
      </c>
      <c r="H1860">
        <v>4.83</v>
      </c>
      <c r="I1860">
        <v>5.18</v>
      </c>
      <c r="K1860">
        <f t="shared" si="227"/>
        <v>12.000000000000011</v>
      </c>
      <c r="L1860">
        <f t="shared" si="228"/>
        <v>18.000000000000014</v>
      </c>
      <c r="M1860">
        <f t="shared" si="229"/>
        <v>18.99999999999995</v>
      </c>
      <c r="N1860">
        <f t="shared" si="230"/>
        <v>18.00000000000006</v>
      </c>
      <c r="O1860">
        <f t="shared" si="231"/>
        <v>20.000000000000018</v>
      </c>
      <c r="P1860">
        <f t="shared" si="232"/>
        <v>17.999999999999972</v>
      </c>
      <c r="Q1860">
        <f t="shared" si="233"/>
        <v>17.999999999999972</v>
      </c>
      <c r="R1860">
        <f t="shared" si="234"/>
        <v>17.999999999999972</v>
      </c>
    </row>
    <row r="1861" spans="1:18">
      <c r="A1861" s="9">
        <v>39426</v>
      </c>
      <c r="B1861">
        <v>4.43</v>
      </c>
      <c r="C1861">
        <v>4.13</v>
      </c>
      <c r="D1861">
        <v>4.18</v>
      </c>
      <c r="E1861">
        <v>4.3</v>
      </c>
      <c r="F1861">
        <v>4.43</v>
      </c>
      <c r="G1861">
        <v>4.6500000000000004</v>
      </c>
      <c r="H1861">
        <v>4.8899999999999997</v>
      </c>
      <c r="I1861">
        <v>5.24</v>
      </c>
      <c r="K1861">
        <f t="shared" ref="K1861:K1924" si="235">(B1861-B1860)*100</f>
        <v>5.9999999999999609</v>
      </c>
      <c r="L1861">
        <f t="shared" ref="L1861:L1924" si="236">(C1861-C1860)*100</f>
        <v>1.9999999999999574</v>
      </c>
      <c r="M1861">
        <f t="shared" ref="M1861:M1924" si="237">(D1861-D1860)*100</f>
        <v>4.0000000000000036</v>
      </c>
      <c r="N1861">
        <f t="shared" ref="N1861:N1924" si="238">(E1861-E1860)*100</f>
        <v>5.9999999999999609</v>
      </c>
      <c r="O1861">
        <f t="shared" ref="O1861:O1924" si="239">(F1861-F1860)*100</f>
        <v>4.9999999999999822</v>
      </c>
      <c r="P1861">
        <f t="shared" ref="P1861:P1924" si="240">(G1861-G1860)*100</f>
        <v>6.0000000000000497</v>
      </c>
      <c r="Q1861">
        <f t="shared" ref="Q1861:Q1924" si="241">(H1861-H1860)*100</f>
        <v>5.9999999999999609</v>
      </c>
      <c r="R1861">
        <f t="shared" ref="R1861:R1924" si="242">(I1861-I1860)*100</f>
        <v>6.0000000000000497</v>
      </c>
    </row>
    <row r="1862" spans="1:18">
      <c r="A1862" s="9">
        <v>39427</v>
      </c>
      <c r="B1862">
        <v>4.3499999999999996</v>
      </c>
      <c r="C1862">
        <v>4.04</v>
      </c>
      <c r="D1862">
        <v>4.09</v>
      </c>
      <c r="E1862">
        <v>4.21</v>
      </c>
      <c r="F1862">
        <v>4.34</v>
      </c>
      <c r="G1862">
        <v>4.5599999999999996</v>
      </c>
      <c r="H1862">
        <v>4.79</v>
      </c>
      <c r="I1862">
        <v>5.15</v>
      </c>
      <c r="K1862">
        <f t="shared" si="235"/>
        <v>-8.0000000000000071</v>
      </c>
      <c r="L1862">
        <f t="shared" si="236"/>
        <v>-8.9999999999999858</v>
      </c>
      <c r="M1862">
        <f t="shared" si="237"/>
        <v>-8.9999999999999858</v>
      </c>
      <c r="N1862">
        <f t="shared" si="238"/>
        <v>-8.9999999999999858</v>
      </c>
      <c r="O1862">
        <f t="shared" si="239"/>
        <v>-8.9999999999999858</v>
      </c>
      <c r="P1862">
        <f t="shared" si="240"/>
        <v>-9.0000000000000746</v>
      </c>
      <c r="Q1862">
        <f t="shared" si="241"/>
        <v>-9.9999999999999645</v>
      </c>
      <c r="R1862">
        <f t="shared" si="242"/>
        <v>-8.9999999999999858</v>
      </c>
    </row>
    <row r="1863" spans="1:18">
      <c r="A1863" s="9">
        <v>39428</v>
      </c>
      <c r="B1863">
        <v>4.38</v>
      </c>
      <c r="C1863">
        <v>4.08</v>
      </c>
      <c r="D1863">
        <v>4.1399999999999997</v>
      </c>
      <c r="E1863">
        <v>4.26</v>
      </c>
      <c r="F1863">
        <v>4.37</v>
      </c>
      <c r="G1863">
        <v>4.59</v>
      </c>
      <c r="H1863">
        <v>4.82</v>
      </c>
      <c r="I1863">
        <v>5.16</v>
      </c>
      <c r="K1863">
        <f t="shared" si="235"/>
        <v>3.0000000000000249</v>
      </c>
      <c r="L1863">
        <f t="shared" si="236"/>
        <v>4.0000000000000036</v>
      </c>
      <c r="M1863">
        <f t="shared" si="237"/>
        <v>4.9999999999999822</v>
      </c>
      <c r="N1863">
        <f t="shared" si="238"/>
        <v>4.9999999999999822</v>
      </c>
      <c r="O1863">
        <f t="shared" si="239"/>
        <v>3.0000000000000249</v>
      </c>
      <c r="P1863">
        <f t="shared" si="240"/>
        <v>3.0000000000000249</v>
      </c>
      <c r="Q1863">
        <f t="shared" si="241"/>
        <v>3.0000000000000249</v>
      </c>
      <c r="R1863">
        <f t="shared" si="242"/>
        <v>0.99999999999997868</v>
      </c>
    </row>
    <row r="1864" spans="1:18">
      <c r="A1864" s="9">
        <v>39429</v>
      </c>
      <c r="B1864">
        <v>4.3499999999999996</v>
      </c>
      <c r="C1864">
        <v>4.05</v>
      </c>
      <c r="D1864">
        <v>4.0999999999999996</v>
      </c>
      <c r="E1864">
        <v>4.22</v>
      </c>
      <c r="F1864">
        <v>4.34</v>
      </c>
      <c r="G1864">
        <v>4.5599999999999996</v>
      </c>
      <c r="H1864">
        <v>4.8</v>
      </c>
      <c r="I1864">
        <v>5.14</v>
      </c>
      <c r="K1864">
        <f t="shared" si="235"/>
        <v>-3.0000000000000249</v>
      </c>
      <c r="L1864">
        <f t="shared" si="236"/>
        <v>-3.0000000000000249</v>
      </c>
      <c r="M1864">
        <f t="shared" si="237"/>
        <v>-4.0000000000000036</v>
      </c>
      <c r="N1864">
        <f t="shared" si="238"/>
        <v>-4.0000000000000036</v>
      </c>
      <c r="O1864">
        <f t="shared" si="239"/>
        <v>-3.0000000000000249</v>
      </c>
      <c r="P1864">
        <f t="shared" si="240"/>
        <v>-3.0000000000000249</v>
      </c>
      <c r="Q1864">
        <f t="shared" si="241"/>
        <v>-2.0000000000000462</v>
      </c>
      <c r="R1864">
        <f t="shared" si="242"/>
        <v>-2.0000000000000462</v>
      </c>
    </row>
    <row r="1865" spans="1:18">
      <c r="A1865" s="9">
        <v>39430</v>
      </c>
      <c r="B1865">
        <v>4.43</v>
      </c>
      <c r="C1865">
        <v>4.17</v>
      </c>
      <c r="D1865">
        <v>4.22</v>
      </c>
      <c r="E1865">
        <v>4.34</v>
      </c>
      <c r="F1865">
        <v>4.47</v>
      </c>
      <c r="G1865">
        <v>4.68</v>
      </c>
      <c r="H1865">
        <v>4.91</v>
      </c>
      <c r="I1865">
        <v>5.22</v>
      </c>
      <c r="K1865">
        <f t="shared" si="235"/>
        <v>8.0000000000000071</v>
      </c>
      <c r="L1865">
        <f t="shared" si="236"/>
        <v>12.000000000000011</v>
      </c>
      <c r="M1865">
        <f t="shared" si="237"/>
        <v>12.000000000000011</v>
      </c>
      <c r="N1865">
        <f t="shared" si="238"/>
        <v>12.000000000000011</v>
      </c>
      <c r="O1865">
        <f t="shared" si="239"/>
        <v>12.999999999999989</v>
      </c>
      <c r="P1865">
        <f t="shared" si="240"/>
        <v>12.000000000000011</v>
      </c>
      <c r="Q1865">
        <f t="shared" si="241"/>
        <v>11.000000000000032</v>
      </c>
      <c r="R1865">
        <f t="shared" si="242"/>
        <v>8.0000000000000071</v>
      </c>
    </row>
    <row r="1866" spans="1:18">
      <c r="A1866" s="9">
        <v>39433</v>
      </c>
      <c r="B1866">
        <v>4.42</v>
      </c>
      <c r="C1866">
        <v>4.1399999999999997</v>
      </c>
      <c r="D1866">
        <v>4.21</v>
      </c>
      <c r="E1866">
        <v>4.32</v>
      </c>
      <c r="F1866">
        <v>4.4400000000000004</v>
      </c>
      <c r="G1866">
        <v>4.66</v>
      </c>
      <c r="H1866">
        <v>4.88</v>
      </c>
      <c r="I1866">
        <v>5.22</v>
      </c>
      <c r="K1866">
        <f t="shared" si="235"/>
        <v>-0.99999999999997868</v>
      </c>
      <c r="L1866">
        <f t="shared" si="236"/>
        <v>-3.0000000000000249</v>
      </c>
      <c r="M1866">
        <f t="shared" si="237"/>
        <v>-0.99999999999997868</v>
      </c>
      <c r="N1866">
        <f t="shared" si="238"/>
        <v>-1.9999999999999574</v>
      </c>
      <c r="O1866">
        <f t="shared" si="239"/>
        <v>-2.9999999999999361</v>
      </c>
      <c r="P1866">
        <f t="shared" si="240"/>
        <v>-1.9999999999999574</v>
      </c>
      <c r="Q1866">
        <f t="shared" si="241"/>
        <v>-3.0000000000000249</v>
      </c>
      <c r="R1866">
        <f t="shared" si="242"/>
        <v>0</v>
      </c>
    </row>
    <row r="1867" spans="1:18">
      <c r="A1867" s="9">
        <v>39434</v>
      </c>
      <c r="B1867">
        <v>4.32</v>
      </c>
      <c r="C1867">
        <v>4.04</v>
      </c>
      <c r="D1867">
        <v>4.0999999999999996</v>
      </c>
      <c r="E1867">
        <v>4.21</v>
      </c>
      <c r="F1867">
        <v>4.34</v>
      </c>
      <c r="G1867">
        <v>4.55</v>
      </c>
      <c r="H1867">
        <v>4.7699999999999996</v>
      </c>
      <c r="I1867">
        <v>5.1100000000000003</v>
      </c>
      <c r="K1867">
        <f t="shared" si="235"/>
        <v>-9.9999999999999645</v>
      </c>
      <c r="L1867">
        <f t="shared" si="236"/>
        <v>-9.9999999999999645</v>
      </c>
      <c r="M1867">
        <f t="shared" si="237"/>
        <v>-11.000000000000032</v>
      </c>
      <c r="N1867">
        <f t="shared" si="238"/>
        <v>-11.000000000000032</v>
      </c>
      <c r="O1867">
        <f t="shared" si="239"/>
        <v>-10.000000000000053</v>
      </c>
      <c r="P1867">
        <f t="shared" si="240"/>
        <v>-11.000000000000032</v>
      </c>
      <c r="Q1867">
        <f t="shared" si="241"/>
        <v>-11.000000000000032</v>
      </c>
      <c r="R1867">
        <f t="shared" si="242"/>
        <v>-10.999999999999943</v>
      </c>
    </row>
    <row r="1868" spans="1:18">
      <c r="A1868" s="9">
        <v>39435</v>
      </c>
      <c r="B1868">
        <v>4.33</v>
      </c>
      <c r="C1868">
        <v>4.05</v>
      </c>
      <c r="D1868">
        <v>4.1100000000000003</v>
      </c>
      <c r="E1868">
        <v>4.2300000000000004</v>
      </c>
      <c r="F1868">
        <v>4.3499999999999996</v>
      </c>
      <c r="G1868">
        <v>4.5599999999999996</v>
      </c>
      <c r="H1868">
        <v>4.7699999999999996</v>
      </c>
      <c r="I1868">
        <v>5.09</v>
      </c>
      <c r="K1868">
        <f t="shared" si="235"/>
        <v>0.99999999999997868</v>
      </c>
      <c r="L1868">
        <f t="shared" si="236"/>
        <v>0.99999999999997868</v>
      </c>
      <c r="M1868">
        <f t="shared" si="237"/>
        <v>1.0000000000000675</v>
      </c>
      <c r="N1868">
        <f t="shared" si="238"/>
        <v>2.0000000000000462</v>
      </c>
      <c r="O1868">
        <f t="shared" si="239"/>
        <v>0.99999999999997868</v>
      </c>
      <c r="P1868">
        <f t="shared" si="240"/>
        <v>0.99999999999997868</v>
      </c>
      <c r="Q1868">
        <f t="shared" si="241"/>
        <v>0</v>
      </c>
      <c r="R1868">
        <f t="shared" si="242"/>
        <v>-2.0000000000000462</v>
      </c>
    </row>
    <row r="1869" spans="1:18">
      <c r="A1869" s="9">
        <v>39436</v>
      </c>
      <c r="B1869">
        <v>4.21</v>
      </c>
      <c r="C1869">
        <v>3.89</v>
      </c>
      <c r="D1869">
        <v>3.94</v>
      </c>
      <c r="E1869">
        <v>4.0599999999999996</v>
      </c>
      <c r="F1869">
        <v>4.17</v>
      </c>
      <c r="G1869">
        <v>4.4000000000000004</v>
      </c>
      <c r="H1869">
        <v>4.62</v>
      </c>
      <c r="I1869">
        <v>4.96</v>
      </c>
      <c r="K1869">
        <f t="shared" si="235"/>
        <v>-12.000000000000011</v>
      </c>
      <c r="L1869">
        <f t="shared" si="236"/>
        <v>-15.99999999999997</v>
      </c>
      <c r="M1869">
        <f t="shared" si="237"/>
        <v>-17.000000000000036</v>
      </c>
      <c r="N1869">
        <f t="shared" si="238"/>
        <v>-17.000000000000082</v>
      </c>
      <c r="O1869">
        <f t="shared" si="239"/>
        <v>-17.999999999999972</v>
      </c>
      <c r="P1869">
        <f t="shared" si="240"/>
        <v>-15.999999999999925</v>
      </c>
      <c r="Q1869">
        <f t="shared" si="241"/>
        <v>-14.999999999999947</v>
      </c>
      <c r="R1869">
        <f t="shared" si="242"/>
        <v>-12.999999999999989</v>
      </c>
    </row>
    <row r="1870" spans="1:18">
      <c r="A1870" s="9">
        <v>39437</v>
      </c>
      <c r="B1870">
        <v>4.22</v>
      </c>
      <c r="C1870">
        <v>3.96</v>
      </c>
      <c r="D1870">
        <v>4.01</v>
      </c>
      <c r="E1870">
        <v>4.1399999999999997</v>
      </c>
      <c r="F1870">
        <v>4.28</v>
      </c>
      <c r="G1870">
        <v>4.5</v>
      </c>
      <c r="H1870">
        <v>4.74</v>
      </c>
      <c r="I1870">
        <v>5.07</v>
      </c>
      <c r="K1870">
        <f t="shared" si="235"/>
        <v>0.99999999999997868</v>
      </c>
      <c r="L1870">
        <f t="shared" si="236"/>
        <v>6.999999999999984</v>
      </c>
      <c r="M1870">
        <f t="shared" si="237"/>
        <v>6.999999999999984</v>
      </c>
      <c r="N1870">
        <f t="shared" si="238"/>
        <v>8.0000000000000071</v>
      </c>
      <c r="O1870">
        <f t="shared" si="239"/>
        <v>11.000000000000032</v>
      </c>
      <c r="P1870">
        <f t="shared" si="240"/>
        <v>9.9999999999999645</v>
      </c>
      <c r="Q1870">
        <f t="shared" si="241"/>
        <v>12.000000000000011</v>
      </c>
      <c r="R1870">
        <f t="shared" si="242"/>
        <v>11.000000000000032</v>
      </c>
    </row>
    <row r="1871" spans="1:18">
      <c r="A1871" s="9">
        <v>39440</v>
      </c>
      <c r="B1871">
        <v>4.2699999999999996</v>
      </c>
      <c r="C1871">
        <v>4.05</v>
      </c>
      <c r="D1871">
        <v>4.1399999999999997</v>
      </c>
      <c r="E1871">
        <v>4.28</v>
      </c>
      <c r="F1871">
        <v>4.42</v>
      </c>
      <c r="G1871">
        <v>4.6399999999999997</v>
      </c>
      <c r="H1871">
        <v>4.8600000000000003</v>
      </c>
      <c r="I1871">
        <v>5.2</v>
      </c>
      <c r="K1871">
        <f t="shared" si="235"/>
        <v>4.9999999999999822</v>
      </c>
      <c r="L1871">
        <f t="shared" si="236"/>
        <v>8.9999999999999858</v>
      </c>
      <c r="M1871">
        <f t="shared" si="237"/>
        <v>12.999999999999989</v>
      </c>
      <c r="N1871">
        <f t="shared" si="238"/>
        <v>14.000000000000057</v>
      </c>
      <c r="O1871">
        <f t="shared" si="239"/>
        <v>13.999999999999968</v>
      </c>
      <c r="P1871">
        <f t="shared" si="240"/>
        <v>13.999999999999968</v>
      </c>
      <c r="Q1871">
        <f t="shared" si="241"/>
        <v>12.000000000000011</v>
      </c>
      <c r="R1871">
        <f t="shared" si="242"/>
        <v>12.999999999999989</v>
      </c>
    </row>
    <row r="1872" spans="1:18">
      <c r="A1872" s="9">
        <v>39442</v>
      </c>
      <c r="B1872">
        <v>4.24</v>
      </c>
      <c r="C1872">
        <v>4.01</v>
      </c>
      <c r="D1872">
        <v>4.1100000000000003</v>
      </c>
      <c r="E1872">
        <v>4.26</v>
      </c>
      <c r="F1872">
        <v>4.3899999999999997</v>
      </c>
      <c r="G1872">
        <v>4.62</v>
      </c>
      <c r="H1872">
        <v>4.84</v>
      </c>
      <c r="I1872">
        <v>5.17</v>
      </c>
      <c r="K1872">
        <f t="shared" si="235"/>
        <v>-2.9999999999999361</v>
      </c>
      <c r="L1872">
        <f t="shared" si="236"/>
        <v>-4.0000000000000036</v>
      </c>
      <c r="M1872">
        <f t="shared" si="237"/>
        <v>-2.9999999999999361</v>
      </c>
      <c r="N1872">
        <f t="shared" si="238"/>
        <v>-2.0000000000000462</v>
      </c>
      <c r="O1872">
        <f t="shared" si="239"/>
        <v>-3.0000000000000249</v>
      </c>
      <c r="P1872">
        <f t="shared" si="240"/>
        <v>-1.9999999999999574</v>
      </c>
      <c r="Q1872">
        <f t="shared" si="241"/>
        <v>-2.0000000000000462</v>
      </c>
      <c r="R1872">
        <f t="shared" si="242"/>
        <v>-3.0000000000000249</v>
      </c>
    </row>
    <row r="1873" spans="1:18">
      <c r="A1873" s="9">
        <v>39443</v>
      </c>
      <c r="B1873">
        <v>4.24</v>
      </c>
      <c r="C1873">
        <v>4.0199999999999996</v>
      </c>
      <c r="D1873">
        <v>4.13</v>
      </c>
      <c r="E1873">
        <v>4.2699999999999996</v>
      </c>
      <c r="F1873">
        <v>4.42</v>
      </c>
      <c r="G1873">
        <v>4.6399999999999997</v>
      </c>
      <c r="H1873">
        <v>4.8899999999999997</v>
      </c>
      <c r="I1873">
        <v>5.24</v>
      </c>
      <c r="K1873">
        <f t="shared" si="235"/>
        <v>0</v>
      </c>
      <c r="L1873">
        <f t="shared" si="236"/>
        <v>0.99999999999997868</v>
      </c>
      <c r="M1873">
        <f t="shared" si="237"/>
        <v>1.9999999999999574</v>
      </c>
      <c r="N1873">
        <f t="shared" si="238"/>
        <v>0.99999999999997868</v>
      </c>
      <c r="O1873">
        <f t="shared" si="239"/>
        <v>3.0000000000000249</v>
      </c>
      <c r="P1873">
        <f t="shared" si="240"/>
        <v>1.9999999999999574</v>
      </c>
      <c r="Q1873">
        <f t="shared" si="241"/>
        <v>4.9999999999999822</v>
      </c>
      <c r="R1873">
        <f t="shared" si="242"/>
        <v>7.0000000000000284</v>
      </c>
    </row>
    <row r="1874" spans="1:18">
      <c r="A1874" s="9">
        <v>39444</v>
      </c>
      <c r="B1874">
        <v>4.13</v>
      </c>
      <c r="C1874">
        <v>3.86</v>
      </c>
      <c r="D1874">
        <v>3.98</v>
      </c>
      <c r="E1874">
        <v>4.1100000000000003</v>
      </c>
      <c r="F1874">
        <v>4.25</v>
      </c>
      <c r="G1874">
        <v>4.4800000000000004</v>
      </c>
      <c r="H1874">
        <v>4.7300000000000004</v>
      </c>
      <c r="I1874">
        <v>5.09</v>
      </c>
      <c r="K1874">
        <f t="shared" si="235"/>
        <v>-11.000000000000032</v>
      </c>
      <c r="L1874">
        <f t="shared" si="236"/>
        <v>-15.99999999999997</v>
      </c>
      <c r="M1874">
        <f t="shared" si="237"/>
        <v>-14.999999999999991</v>
      </c>
      <c r="N1874">
        <f t="shared" si="238"/>
        <v>-15.999999999999925</v>
      </c>
      <c r="O1874">
        <f t="shared" si="239"/>
        <v>-16.999999999999993</v>
      </c>
      <c r="P1874">
        <f t="shared" si="240"/>
        <v>-15.999999999999925</v>
      </c>
      <c r="Q1874">
        <f t="shared" si="241"/>
        <v>-15.999999999999925</v>
      </c>
      <c r="R1874">
        <f t="shared" si="242"/>
        <v>-15.000000000000036</v>
      </c>
    </row>
    <row r="1875" spans="1:18">
      <c r="A1875" s="9">
        <v>39447</v>
      </c>
      <c r="B1875">
        <v>4.08</v>
      </c>
      <c r="C1875">
        <v>3.82</v>
      </c>
      <c r="D1875">
        <v>3.93</v>
      </c>
      <c r="E1875">
        <v>4.0599999999999996</v>
      </c>
      <c r="F1875">
        <v>4.2</v>
      </c>
      <c r="G1875">
        <v>4.43</v>
      </c>
      <c r="H1875">
        <v>4.68</v>
      </c>
      <c r="I1875">
        <v>5.03</v>
      </c>
      <c r="K1875">
        <f t="shared" si="235"/>
        <v>-4.9999999999999822</v>
      </c>
      <c r="L1875">
        <f t="shared" si="236"/>
        <v>-4.0000000000000036</v>
      </c>
      <c r="M1875">
        <f t="shared" si="237"/>
        <v>-4.9999999999999822</v>
      </c>
      <c r="N1875">
        <f t="shared" si="238"/>
        <v>-5.0000000000000711</v>
      </c>
      <c r="O1875">
        <f t="shared" si="239"/>
        <v>-4.9999999999999822</v>
      </c>
      <c r="P1875">
        <f t="shared" si="240"/>
        <v>-5.0000000000000711</v>
      </c>
      <c r="Q1875">
        <f t="shared" si="241"/>
        <v>-5.0000000000000711</v>
      </c>
      <c r="R1875">
        <f t="shared" si="242"/>
        <v>-5.9999999999999609</v>
      </c>
    </row>
    <row r="1876" spans="1:18">
      <c r="A1876" s="9">
        <v>39449</v>
      </c>
      <c r="B1876">
        <v>4</v>
      </c>
      <c r="C1876">
        <v>3.7</v>
      </c>
      <c r="D1876">
        <v>3.79</v>
      </c>
      <c r="E1876">
        <v>3.93</v>
      </c>
      <c r="F1876">
        <v>4.07</v>
      </c>
      <c r="G1876">
        <v>4.3099999999999996</v>
      </c>
      <c r="H1876">
        <v>4.5599999999999996</v>
      </c>
      <c r="I1876">
        <v>4.93</v>
      </c>
      <c r="K1876">
        <f t="shared" si="235"/>
        <v>-8.0000000000000071</v>
      </c>
      <c r="L1876">
        <f t="shared" si="236"/>
        <v>-11.999999999999966</v>
      </c>
      <c r="M1876">
        <f t="shared" si="237"/>
        <v>-14.000000000000012</v>
      </c>
      <c r="N1876">
        <f t="shared" si="238"/>
        <v>-12.999999999999945</v>
      </c>
      <c r="O1876">
        <f t="shared" si="239"/>
        <v>-12.999999999999989</v>
      </c>
      <c r="P1876">
        <f t="shared" si="240"/>
        <v>-12.000000000000011</v>
      </c>
      <c r="Q1876">
        <f t="shared" si="241"/>
        <v>-12.000000000000011</v>
      </c>
      <c r="R1876">
        <f t="shared" si="242"/>
        <v>-10.000000000000053</v>
      </c>
    </row>
    <row r="1877" spans="1:18">
      <c r="A1877" s="9">
        <v>39450</v>
      </c>
      <c r="B1877">
        <v>3.96</v>
      </c>
      <c r="C1877">
        <v>3.68</v>
      </c>
      <c r="D1877">
        <v>3.77</v>
      </c>
      <c r="E1877">
        <v>3.92</v>
      </c>
      <c r="F1877">
        <v>4.0599999999999996</v>
      </c>
      <c r="G1877">
        <v>4.32</v>
      </c>
      <c r="H1877">
        <v>4.59</v>
      </c>
      <c r="I1877">
        <v>4.97</v>
      </c>
      <c r="K1877">
        <f t="shared" si="235"/>
        <v>-4.0000000000000036</v>
      </c>
      <c r="L1877">
        <f t="shared" si="236"/>
        <v>-2.0000000000000018</v>
      </c>
      <c r="M1877">
        <f t="shared" si="237"/>
        <v>-2.0000000000000018</v>
      </c>
      <c r="N1877">
        <f t="shared" si="238"/>
        <v>-1.0000000000000231</v>
      </c>
      <c r="O1877">
        <f t="shared" si="239"/>
        <v>-1.0000000000000675</v>
      </c>
      <c r="P1877">
        <f t="shared" si="240"/>
        <v>1.0000000000000675</v>
      </c>
      <c r="Q1877">
        <f t="shared" si="241"/>
        <v>3.0000000000000249</v>
      </c>
      <c r="R1877">
        <f t="shared" si="242"/>
        <v>4.0000000000000036</v>
      </c>
    </row>
    <row r="1878" spans="1:18">
      <c r="A1878" s="9">
        <v>39451</v>
      </c>
      <c r="B1878">
        <v>3.86</v>
      </c>
      <c r="C1878">
        <v>3.52</v>
      </c>
      <c r="D1878">
        <v>3.58</v>
      </c>
      <c r="E1878">
        <v>3.73</v>
      </c>
      <c r="F1878">
        <v>3.88</v>
      </c>
      <c r="G1878">
        <v>4.16</v>
      </c>
      <c r="H1878">
        <v>4.4400000000000004</v>
      </c>
      <c r="I1878">
        <v>4.8600000000000003</v>
      </c>
      <c r="K1878">
        <f t="shared" si="235"/>
        <v>-10.000000000000009</v>
      </c>
      <c r="L1878">
        <f t="shared" si="236"/>
        <v>-16.000000000000014</v>
      </c>
      <c r="M1878">
        <f t="shared" si="237"/>
        <v>-18.999999999999993</v>
      </c>
      <c r="N1878">
        <f t="shared" si="238"/>
        <v>-18.999999999999993</v>
      </c>
      <c r="O1878">
        <f t="shared" si="239"/>
        <v>-17.999999999999972</v>
      </c>
      <c r="P1878">
        <f t="shared" si="240"/>
        <v>-16.000000000000014</v>
      </c>
      <c r="Q1878">
        <f t="shared" si="241"/>
        <v>-14.999999999999947</v>
      </c>
      <c r="R1878">
        <f t="shared" si="242"/>
        <v>-10.999999999999943</v>
      </c>
    </row>
    <row r="1879" spans="1:18">
      <c r="A1879" s="9">
        <v>39454</v>
      </c>
      <c r="B1879">
        <v>3.83</v>
      </c>
      <c r="C1879">
        <v>3.52</v>
      </c>
      <c r="D1879">
        <v>3.58</v>
      </c>
      <c r="E1879">
        <v>3.74</v>
      </c>
      <c r="F1879">
        <v>3.89</v>
      </c>
      <c r="G1879">
        <v>4.17</v>
      </c>
      <c r="H1879">
        <v>4.46</v>
      </c>
      <c r="I1879">
        <v>4.8899999999999997</v>
      </c>
      <c r="K1879">
        <f t="shared" si="235"/>
        <v>-2.9999999999999805</v>
      </c>
      <c r="L1879">
        <f t="shared" si="236"/>
        <v>0</v>
      </c>
      <c r="M1879">
        <f t="shared" si="237"/>
        <v>0</v>
      </c>
      <c r="N1879">
        <f t="shared" si="238"/>
        <v>1.0000000000000231</v>
      </c>
      <c r="O1879">
        <f t="shared" si="239"/>
        <v>1.0000000000000231</v>
      </c>
      <c r="P1879">
        <f t="shared" si="240"/>
        <v>0.99999999999997868</v>
      </c>
      <c r="Q1879">
        <f t="shared" si="241"/>
        <v>1.9999999999999574</v>
      </c>
      <c r="R1879">
        <f t="shared" si="242"/>
        <v>2.9999999999999361</v>
      </c>
    </row>
    <row r="1880" spans="1:18">
      <c r="A1880" s="9">
        <v>39455</v>
      </c>
      <c r="B1880">
        <v>3.84</v>
      </c>
      <c r="C1880">
        <v>3.56</v>
      </c>
      <c r="D1880">
        <v>3.62</v>
      </c>
      <c r="E1880">
        <v>3.77</v>
      </c>
      <c r="F1880">
        <v>3.92</v>
      </c>
      <c r="G1880">
        <v>4.1900000000000004</v>
      </c>
      <c r="H1880">
        <v>4.49</v>
      </c>
      <c r="I1880">
        <v>4.8899999999999997</v>
      </c>
      <c r="K1880">
        <f t="shared" si="235"/>
        <v>0.99999999999997868</v>
      </c>
      <c r="L1880">
        <f t="shared" si="236"/>
        <v>4.0000000000000036</v>
      </c>
      <c r="M1880">
        <f t="shared" si="237"/>
        <v>4.0000000000000036</v>
      </c>
      <c r="N1880">
        <f t="shared" si="238"/>
        <v>2.9999999999999805</v>
      </c>
      <c r="O1880">
        <f t="shared" si="239"/>
        <v>2.9999999999999805</v>
      </c>
      <c r="P1880">
        <f t="shared" si="240"/>
        <v>2.0000000000000462</v>
      </c>
      <c r="Q1880">
        <f t="shared" si="241"/>
        <v>3.0000000000000249</v>
      </c>
      <c r="R1880">
        <f t="shared" si="242"/>
        <v>0</v>
      </c>
    </row>
    <row r="1881" spans="1:18">
      <c r="A1881" s="9">
        <v>39456</v>
      </c>
      <c r="B1881">
        <v>3.74</v>
      </c>
      <c r="C1881">
        <v>3.48</v>
      </c>
      <c r="D1881">
        <v>3.54</v>
      </c>
      <c r="E1881">
        <v>3.68</v>
      </c>
      <c r="F1881">
        <v>3.84</v>
      </c>
      <c r="G1881">
        <v>4.12</v>
      </c>
      <c r="H1881">
        <v>4.42</v>
      </c>
      <c r="I1881">
        <v>4.84</v>
      </c>
      <c r="K1881">
        <f t="shared" si="235"/>
        <v>-9.9999999999999645</v>
      </c>
      <c r="L1881">
        <f t="shared" si="236"/>
        <v>-8.0000000000000071</v>
      </c>
      <c r="M1881">
        <f t="shared" si="237"/>
        <v>-8.0000000000000071</v>
      </c>
      <c r="N1881">
        <f t="shared" si="238"/>
        <v>-8.9999999999999858</v>
      </c>
      <c r="O1881">
        <f t="shared" si="239"/>
        <v>-8.0000000000000071</v>
      </c>
      <c r="P1881">
        <f t="shared" si="240"/>
        <v>-7.0000000000000284</v>
      </c>
      <c r="Q1881">
        <f t="shared" si="241"/>
        <v>-7.0000000000000284</v>
      </c>
      <c r="R1881">
        <f t="shared" si="242"/>
        <v>-4.9999999999999822</v>
      </c>
    </row>
    <row r="1882" spans="1:18">
      <c r="A1882" s="9">
        <v>39457</v>
      </c>
      <c r="B1882">
        <v>3.74</v>
      </c>
      <c r="C1882">
        <v>3.51</v>
      </c>
      <c r="D1882">
        <v>3.57</v>
      </c>
      <c r="E1882">
        <v>3.73</v>
      </c>
      <c r="F1882">
        <v>3.88</v>
      </c>
      <c r="G1882">
        <v>4.17</v>
      </c>
      <c r="H1882">
        <v>4.46</v>
      </c>
      <c r="I1882">
        <v>4.88</v>
      </c>
      <c r="K1882">
        <f t="shared" si="235"/>
        <v>0</v>
      </c>
      <c r="L1882">
        <f t="shared" si="236"/>
        <v>2.9999999999999805</v>
      </c>
      <c r="M1882">
        <f t="shared" si="237"/>
        <v>2.9999999999999805</v>
      </c>
      <c r="N1882">
        <f t="shared" si="238"/>
        <v>4.9999999999999822</v>
      </c>
      <c r="O1882">
        <f t="shared" si="239"/>
        <v>4.0000000000000036</v>
      </c>
      <c r="P1882">
        <f t="shared" si="240"/>
        <v>4.9999999999999822</v>
      </c>
      <c r="Q1882">
        <f t="shared" si="241"/>
        <v>4.0000000000000036</v>
      </c>
      <c r="R1882">
        <f t="shared" si="242"/>
        <v>4.0000000000000036</v>
      </c>
    </row>
    <row r="1883" spans="1:18">
      <c r="A1883" s="9">
        <v>39458</v>
      </c>
      <c r="B1883">
        <v>3.55</v>
      </c>
      <c r="C1883">
        <v>3.35</v>
      </c>
      <c r="D1883">
        <v>3.46</v>
      </c>
      <c r="E1883">
        <v>3.63</v>
      </c>
      <c r="F1883">
        <v>3.8</v>
      </c>
      <c r="G1883">
        <v>4.12</v>
      </c>
      <c r="H1883">
        <v>4.4400000000000004</v>
      </c>
      <c r="I1883">
        <v>4.93</v>
      </c>
      <c r="K1883">
        <f t="shared" si="235"/>
        <v>-19.000000000000039</v>
      </c>
      <c r="L1883">
        <f t="shared" si="236"/>
        <v>-15.99999999999997</v>
      </c>
      <c r="M1883">
        <f t="shared" si="237"/>
        <v>-10.999999999999988</v>
      </c>
      <c r="N1883">
        <f t="shared" si="238"/>
        <v>-10.000000000000009</v>
      </c>
      <c r="O1883">
        <f t="shared" si="239"/>
        <v>-8.0000000000000071</v>
      </c>
      <c r="P1883">
        <f t="shared" si="240"/>
        <v>-4.9999999999999822</v>
      </c>
      <c r="Q1883">
        <f t="shared" si="241"/>
        <v>-1.9999999999999574</v>
      </c>
      <c r="R1883">
        <f t="shared" si="242"/>
        <v>4.9999999999999822</v>
      </c>
    </row>
    <row r="1884" spans="1:18">
      <c r="A1884" s="9">
        <v>39461</v>
      </c>
      <c r="B1884">
        <v>3.41</v>
      </c>
      <c r="C1884">
        <v>3.23</v>
      </c>
      <c r="D1884">
        <v>3.35</v>
      </c>
      <c r="E1884">
        <v>3.53</v>
      </c>
      <c r="F1884">
        <v>3.71</v>
      </c>
      <c r="G1884">
        <v>4.04</v>
      </c>
      <c r="H1884">
        <v>4.38</v>
      </c>
      <c r="I1884">
        <v>4.88</v>
      </c>
      <c r="K1884">
        <f t="shared" si="235"/>
        <v>-13.999999999999968</v>
      </c>
      <c r="L1884">
        <f t="shared" si="236"/>
        <v>-12.000000000000011</v>
      </c>
      <c r="M1884">
        <f t="shared" si="237"/>
        <v>-10.999999999999988</v>
      </c>
      <c r="N1884">
        <f t="shared" si="238"/>
        <v>-10.000000000000009</v>
      </c>
      <c r="O1884">
        <f t="shared" si="239"/>
        <v>-8.9999999999999858</v>
      </c>
      <c r="P1884">
        <f t="shared" si="240"/>
        <v>-8.0000000000000071</v>
      </c>
      <c r="Q1884">
        <f t="shared" si="241"/>
        <v>-6.0000000000000497</v>
      </c>
      <c r="R1884">
        <f t="shared" si="242"/>
        <v>-4.9999999999999822</v>
      </c>
    </row>
    <row r="1885" spans="1:18">
      <c r="A1885" s="9">
        <v>39462</v>
      </c>
      <c r="B1885">
        <v>3.38</v>
      </c>
      <c r="C1885">
        <v>3.18</v>
      </c>
      <c r="D1885">
        <v>3.29</v>
      </c>
      <c r="E1885">
        <v>3.46</v>
      </c>
      <c r="F1885">
        <v>3.64</v>
      </c>
      <c r="G1885">
        <v>3.96</v>
      </c>
      <c r="H1885">
        <v>4.29</v>
      </c>
      <c r="I1885">
        <v>4.8</v>
      </c>
      <c r="K1885">
        <f t="shared" si="235"/>
        <v>-3.0000000000000249</v>
      </c>
      <c r="L1885">
        <f t="shared" si="236"/>
        <v>-4.9999999999999822</v>
      </c>
      <c r="M1885">
        <f t="shared" si="237"/>
        <v>-6.0000000000000053</v>
      </c>
      <c r="N1885">
        <f t="shared" si="238"/>
        <v>-6.999999999999984</v>
      </c>
      <c r="O1885">
        <f t="shared" si="239"/>
        <v>-6.999999999999984</v>
      </c>
      <c r="P1885">
        <f t="shared" si="240"/>
        <v>-8.0000000000000071</v>
      </c>
      <c r="Q1885">
        <f t="shared" si="241"/>
        <v>-8.9999999999999858</v>
      </c>
      <c r="R1885">
        <f t="shared" si="242"/>
        <v>-8.0000000000000071</v>
      </c>
    </row>
    <row r="1886" spans="1:18">
      <c r="A1886" s="9">
        <v>39463</v>
      </c>
      <c r="B1886">
        <v>3.35</v>
      </c>
      <c r="C1886">
        <v>3.13</v>
      </c>
      <c r="D1886">
        <v>3.23</v>
      </c>
      <c r="E1886">
        <v>3.42</v>
      </c>
      <c r="F1886">
        <v>3.59</v>
      </c>
      <c r="G1886">
        <v>3.92</v>
      </c>
      <c r="H1886">
        <v>4.26</v>
      </c>
      <c r="I1886">
        <v>4.76</v>
      </c>
      <c r="K1886">
        <f t="shared" si="235"/>
        <v>-2.9999999999999805</v>
      </c>
      <c r="L1886">
        <f t="shared" si="236"/>
        <v>-5.0000000000000266</v>
      </c>
      <c r="M1886">
        <f t="shared" si="237"/>
        <v>-6.0000000000000053</v>
      </c>
      <c r="N1886">
        <f t="shared" si="238"/>
        <v>-4.0000000000000036</v>
      </c>
      <c r="O1886">
        <f t="shared" si="239"/>
        <v>-5.0000000000000266</v>
      </c>
      <c r="P1886">
        <f t="shared" si="240"/>
        <v>-4.0000000000000036</v>
      </c>
      <c r="Q1886">
        <f t="shared" si="241"/>
        <v>-3.0000000000000249</v>
      </c>
      <c r="R1886">
        <f t="shared" si="242"/>
        <v>-4.0000000000000036</v>
      </c>
    </row>
    <row r="1887" spans="1:18">
      <c r="A1887" s="9">
        <v>39464</v>
      </c>
      <c r="B1887">
        <v>3.33</v>
      </c>
      <c r="C1887">
        <v>3.12</v>
      </c>
      <c r="D1887">
        <v>3.23</v>
      </c>
      <c r="E1887">
        <v>3.42</v>
      </c>
      <c r="F1887">
        <v>3.6</v>
      </c>
      <c r="G1887">
        <v>3.94</v>
      </c>
      <c r="H1887">
        <v>4.28</v>
      </c>
      <c r="I1887">
        <v>4.79</v>
      </c>
      <c r="K1887">
        <f t="shared" si="235"/>
        <v>-2.0000000000000018</v>
      </c>
      <c r="L1887">
        <f t="shared" si="236"/>
        <v>-0.99999999999997868</v>
      </c>
      <c r="M1887">
        <f t="shared" si="237"/>
        <v>0</v>
      </c>
      <c r="N1887">
        <f t="shared" si="238"/>
        <v>0</v>
      </c>
      <c r="O1887">
        <f t="shared" si="239"/>
        <v>1.0000000000000231</v>
      </c>
      <c r="P1887">
        <f t="shared" si="240"/>
        <v>2.0000000000000018</v>
      </c>
      <c r="Q1887">
        <f t="shared" si="241"/>
        <v>2.0000000000000462</v>
      </c>
      <c r="R1887">
        <f t="shared" si="242"/>
        <v>3.0000000000000249</v>
      </c>
    </row>
    <row r="1888" spans="1:18">
      <c r="A1888" s="9">
        <v>39465</v>
      </c>
      <c r="B1888">
        <v>3.25</v>
      </c>
      <c r="C1888">
        <v>3.05</v>
      </c>
      <c r="D1888">
        <v>3.17</v>
      </c>
      <c r="E1888">
        <v>3.36</v>
      </c>
      <c r="F1888">
        <v>3.55</v>
      </c>
      <c r="G1888">
        <v>3.9</v>
      </c>
      <c r="H1888">
        <v>4.26</v>
      </c>
      <c r="I1888">
        <v>4.79</v>
      </c>
      <c r="K1888">
        <f t="shared" si="235"/>
        <v>-8.0000000000000071</v>
      </c>
      <c r="L1888">
        <f t="shared" si="236"/>
        <v>-7.0000000000000284</v>
      </c>
      <c r="M1888">
        <f t="shared" si="237"/>
        <v>-6.0000000000000053</v>
      </c>
      <c r="N1888">
        <f t="shared" si="238"/>
        <v>-6.0000000000000053</v>
      </c>
      <c r="O1888">
        <f t="shared" si="239"/>
        <v>-5.0000000000000266</v>
      </c>
      <c r="P1888">
        <f t="shared" si="240"/>
        <v>-4.0000000000000036</v>
      </c>
      <c r="Q1888">
        <f t="shared" si="241"/>
        <v>-2.0000000000000462</v>
      </c>
      <c r="R1888">
        <f t="shared" si="242"/>
        <v>0</v>
      </c>
    </row>
    <row r="1889" spans="1:18">
      <c r="A1889" s="9">
        <v>39469</v>
      </c>
      <c r="B1889">
        <v>2.92</v>
      </c>
      <c r="C1889">
        <v>2.81</v>
      </c>
      <c r="D1889">
        <v>2.96</v>
      </c>
      <c r="E1889">
        <v>3.18</v>
      </c>
      <c r="F1889">
        <v>3.4</v>
      </c>
      <c r="G1889">
        <v>3.79</v>
      </c>
      <c r="H1889">
        <v>4.17</v>
      </c>
      <c r="I1889">
        <v>4.76</v>
      </c>
      <c r="K1889">
        <f t="shared" si="235"/>
        <v>-33.000000000000007</v>
      </c>
      <c r="L1889">
        <f t="shared" si="236"/>
        <v>-23.999999999999979</v>
      </c>
      <c r="M1889">
        <f t="shared" si="237"/>
        <v>-20.999999999999996</v>
      </c>
      <c r="N1889">
        <f t="shared" si="238"/>
        <v>-17.999999999999972</v>
      </c>
      <c r="O1889">
        <f t="shared" si="239"/>
        <v>-14.999999999999991</v>
      </c>
      <c r="P1889">
        <f t="shared" si="240"/>
        <v>-10.999999999999988</v>
      </c>
      <c r="Q1889">
        <f t="shared" si="241"/>
        <v>-8.9999999999999858</v>
      </c>
      <c r="R1889">
        <f t="shared" si="242"/>
        <v>-3.0000000000000249</v>
      </c>
    </row>
    <row r="1890" spans="1:18">
      <c r="A1890" s="9">
        <v>39470</v>
      </c>
      <c r="B1890">
        <v>2.64</v>
      </c>
      <c r="C1890">
        <v>2.5099999999999998</v>
      </c>
      <c r="D1890">
        <v>2.67</v>
      </c>
      <c r="E1890">
        <v>2.89</v>
      </c>
      <c r="F1890">
        <v>3.11</v>
      </c>
      <c r="G1890">
        <v>3.51</v>
      </c>
      <c r="H1890">
        <v>3.93</v>
      </c>
      <c r="I1890">
        <v>4.5599999999999996</v>
      </c>
      <c r="K1890">
        <f t="shared" si="235"/>
        <v>-27.999999999999979</v>
      </c>
      <c r="L1890">
        <f t="shared" si="236"/>
        <v>-30.000000000000028</v>
      </c>
      <c r="M1890">
        <f t="shared" si="237"/>
        <v>-29.000000000000004</v>
      </c>
      <c r="N1890">
        <f t="shared" si="238"/>
        <v>-29.000000000000004</v>
      </c>
      <c r="O1890">
        <f t="shared" si="239"/>
        <v>-29.000000000000004</v>
      </c>
      <c r="P1890">
        <f t="shared" si="240"/>
        <v>-28.000000000000025</v>
      </c>
      <c r="Q1890">
        <f t="shared" si="241"/>
        <v>-23.999999999999979</v>
      </c>
      <c r="R1890">
        <f t="shared" si="242"/>
        <v>-20.000000000000018</v>
      </c>
    </row>
    <row r="1891" spans="1:18">
      <c r="A1891" s="9">
        <v>39471</v>
      </c>
      <c r="B1891">
        <v>2.84</v>
      </c>
      <c r="C1891">
        <v>2.82</v>
      </c>
      <c r="D1891">
        <v>3.01</v>
      </c>
      <c r="E1891">
        <v>3.25</v>
      </c>
      <c r="F1891">
        <v>3.48</v>
      </c>
      <c r="G1891">
        <v>3.86</v>
      </c>
      <c r="H1891">
        <v>4.25</v>
      </c>
      <c r="I1891">
        <v>4.8</v>
      </c>
      <c r="K1891">
        <f t="shared" si="235"/>
        <v>19.999999999999972</v>
      </c>
      <c r="L1891">
        <f t="shared" si="236"/>
        <v>31.000000000000007</v>
      </c>
      <c r="M1891">
        <f t="shared" si="237"/>
        <v>33.999999999999986</v>
      </c>
      <c r="N1891">
        <f t="shared" si="238"/>
        <v>35.999999999999986</v>
      </c>
      <c r="O1891">
        <f t="shared" si="239"/>
        <v>37.000000000000014</v>
      </c>
      <c r="P1891">
        <f t="shared" si="240"/>
        <v>35.000000000000007</v>
      </c>
      <c r="Q1891">
        <f t="shared" si="241"/>
        <v>31.999999999999986</v>
      </c>
      <c r="R1891">
        <f t="shared" si="242"/>
        <v>24.000000000000021</v>
      </c>
    </row>
    <row r="1892" spans="1:18">
      <c r="A1892" s="9">
        <v>39472</v>
      </c>
      <c r="B1892">
        <v>2.92</v>
      </c>
      <c r="C1892">
        <v>2.91</v>
      </c>
      <c r="D1892">
        <v>3.11</v>
      </c>
      <c r="E1892">
        <v>3.33</v>
      </c>
      <c r="F1892">
        <v>3.55</v>
      </c>
      <c r="G1892">
        <v>3.9</v>
      </c>
      <c r="H1892">
        <v>4.2699999999999996</v>
      </c>
      <c r="I1892">
        <v>4.8</v>
      </c>
      <c r="K1892">
        <f t="shared" si="235"/>
        <v>8.0000000000000071</v>
      </c>
      <c r="L1892">
        <f t="shared" si="236"/>
        <v>9.0000000000000302</v>
      </c>
      <c r="M1892">
        <f t="shared" si="237"/>
        <v>10.000000000000009</v>
      </c>
      <c r="N1892">
        <f t="shared" si="238"/>
        <v>8.0000000000000071</v>
      </c>
      <c r="O1892">
        <f t="shared" si="239"/>
        <v>6.999999999999984</v>
      </c>
      <c r="P1892">
        <f t="shared" si="240"/>
        <v>4.0000000000000036</v>
      </c>
      <c r="Q1892">
        <f t="shared" si="241"/>
        <v>1.9999999999999574</v>
      </c>
      <c r="R1892">
        <f t="shared" si="242"/>
        <v>0</v>
      </c>
    </row>
    <row r="1893" spans="1:18">
      <c r="A1893" s="9">
        <v>39475</v>
      </c>
      <c r="B1893">
        <v>2.86</v>
      </c>
      <c r="C1893">
        <v>2.89</v>
      </c>
      <c r="D1893">
        <v>3.09</v>
      </c>
      <c r="E1893">
        <v>3.3</v>
      </c>
      <c r="F1893">
        <v>3.51</v>
      </c>
      <c r="G1893">
        <v>3.85</v>
      </c>
      <c r="H1893">
        <v>4.1900000000000004</v>
      </c>
      <c r="I1893">
        <v>4.71</v>
      </c>
      <c r="K1893">
        <f t="shared" si="235"/>
        <v>-6.0000000000000053</v>
      </c>
      <c r="L1893">
        <f t="shared" si="236"/>
        <v>-2.0000000000000018</v>
      </c>
      <c r="M1893">
        <f t="shared" si="237"/>
        <v>-2.0000000000000018</v>
      </c>
      <c r="N1893">
        <f t="shared" si="238"/>
        <v>-3.0000000000000249</v>
      </c>
      <c r="O1893">
        <f t="shared" si="239"/>
        <v>-4.0000000000000036</v>
      </c>
      <c r="P1893">
        <f t="shared" si="240"/>
        <v>-4.9999999999999822</v>
      </c>
      <c r="Q1893">
        <f t="shared" si="241"/>
        <v>-7.9999999999999183</v>
      </c>
      <c r="R1893">
        <f t="shared" si="242"/>
        <v>-8.9999999999999858</v>
      </c>
    </row>
    <row r="1894" spans="1:18">
      <c r="A1894" s="9">
        <v>39476</v>
      </c>
      <c r="B1894">
        <v>2.89</v>
      </c>
      <c r="C1894">
        <v>2.95</v>
      </c>
      <c r="D1894">
        <v>3.16</v>
      </c>
      <c r="E1894">
        <v>3.37</v>
      </c>
      <c r="F1894">
        <v>3.58</v>
      </c>
      <c r="G1894">
        <v>3.92</v>
      </c>
      <c r="H1894">
        <v>4.26</v>
      </c>
      <c r="I1894">
        <v>4.7699999999999996</v>
      </c>
      <c r="K1894">
        <f t="shared" si="235"/>
        <v>3.0000000000000249</v>
      </c>
      <c r="L1894">
        <f t="shared" si="236"/>
        <v>6.0000000000000053</v>
      </c>
      <c r="M1894">
        <f t="shared" si="237"/>
        <v>7.0000000000000284</v>
      </c>
      <c r="N1894">
        <f t="shared" si="238"/>
        <v>7.0000000000000284</v>
      </c>
      <c r="O1894">
        <f t="shared" si="239"/>
        <v>7.0000000000000284</v>
      </c>
      <c r="P1894">
        <f t="shared" si="240"/>
        <v>6.999999999999984</v>
      </c>
      <c r="Q1894">
        <f t="shared" si="241"/>
        <v>6.9999999999999396</v>
      </c>
      <c r="R1894">
        <f t="shared" si="242"/>
        <v>5.9999999999999609</v>
      </c>
    </row>
    <row r="1895" spans="1:18">
      <c r="A1895" s="9">
        <v>39477</v>
      </c>
      <c r="B1895">
        <v>2.92</v>
      </c>
      <c r="C1895">
        <v>2.99</v>
      </c>
      <c r="D1895">
        <v>3.19</v>
      </c>
      <c r="E1895">
        <v>3.41</v>
      </c>
      <c r="F1895">
        <v>3.62</v>
      </c>
      <c r="G1895">
        <v>3.97</v>
      </c>
      <c r="H1895">
        <v>4.3099999999999996</v>
      </c>
      <c r="I1895">
        <v>4.82</v>
      </c>
      <c r="K1895">
        <f t="shared" si="235"/>
        <v>2.9999999999999805</v>
      </c>
      <c r="L1895">
        <f t="shared" si="236"/>
        <v>4.0000000000000036</v>
      </c>
      <c r="M1895">
        <f t="shared" si="237"/>
        <v>2.9999999999999805</v>
      </c>
      <c r="N1895">
        <f t="shared" si="238"/>
        <v>4.0000000000000036</v>
      </c>
      <c r="O1895">
        <f t="shared" si="239"/>
        <v>4.0000000000000036</v>
      </c>
      <c r="P1895">
        <f t="shared" si="240"/>
        <v>5.0000000000000266</v>
      </c>
      <c r="Q1895">
        <f t="shared" si="241"/>
        <v>4.9999999999999822</v>
      </c>
      <c r="R1895">
        <f t="shared" si="242"/>
        <v>5.0000000000000711</v>
      </c>
    </row>
    <row r="1896" spans="1:18">
      <c r="A1896" s="9">
        <v>39478</v>
      </c>
      <c r="B1896">
        <v>2.72</v>
      </c>
      <c r="C1896">
        <v>2.82</v>
      </c>
      <c r="D1896">
        <v>3.06</v>
      </c>
      <c r="E1896">
        <v>3.3</v>
      </c>
      <c r="F1896">
        <v>3.51</v>
      </c>
      <c r="G1896">
        <v>3.87</v>
      </c>
      <c r="H1896">
        <v>4.2300000000000004</v>
      </c>
      <c r="I1896">
        <v>4.79</v>
      </c>
      <c r="K1896">
        <f t="shared" si="235"/>
        <v>-19.999999999999972</v>
      </c>
      <c r="L1896">
        <f t="shared" si="236"/>
        <v>-17.000000000000036</v>
      </c>
      <c r="M1896">
        <f t="shared" si="237"/>
        <v>-12.999999999999989</v>
      </c>
      <c r="N1896">
        <f t="shared" si="238"/>
        <v>-11.000000000000032</v>
      </c>
      <c r="O1896">
        <f t="shared" si="239"/>
        <v>-11.000000000000032</v>
      </c>
      <c r="P1896">
        <f t="shared" si="240"/>
        <v>-10.000000000000009</v>
      </c>
      <c r="Q1896">
        <f t="shared" si="241"/>
        <v>-7.9999999999999183</v>
      </c>
      <c r="R1896">
        <f t="shared" si="242"/>
        <v>-3.0000000000000249</v>
      </c>
    </row>
    <row r="1897" spans="1:18">
      <c r="A1897" s="9">
        <v>39479</v>
      </c>
      <c r="B1897">
        <v>2.69</v>
      </c>
      <c r="C1897">
        <v>2.74</v>
      </c>
      <c r="D1897">
        <v>2.98</v>
      </c>
      <c r="E1897">
        <v>3.21</v>
      </c>
      <c r="F1897">
        <v>3.43</v>
      </c>
      <c r="G1897">
        <v>3.8</v>
      </c>
      <c r="H1897">
        <v>4.18</v>
      </c>
      <c r="I1897">
        <v>4.75</v>
      </c>
      <c r="K1897">
        <f t="shared" si="235"/>
        <v>-3.0000000000000249</v>
      </c>
      <c r="L1897">
        <f t="shared" si="236"/>
        <v>-7.9999999999999627</v>
      </c>
      <c r="M1897">
        <f t="shared" si="237"/>
        <v>-8.0000000000000071</v>
      </c>
      <c r="N1897">
        <f t="shared" si="238"/>
        <v>-8.9999999999999858</v>
      </c>
      <c r="O1897">
        <f t="shared" si="239"/>
        <v>-7.9999999999999627</v>
      </c>
      <c r="P1897">
        <f t="shared" si="240"/>
        <v>-7.0000000000000284</v>
      </c>
      <c r="Q1897">
        <f t="shared" si="241"/>
        <v>-5.0000000000000711</v>
      </c>
      <c r="R1897">
        <f t="shared" si="242"/>
        <v>-4.0000000000000036</v>
      </c>
    </row>
    <row r="1898" spans="1:18">
      <c r="A1898" s="9">
        <v>39482</v>
      </c>
      <c r="B1898">
        <v>2.77</v>
      </c>
      <c r="C1898">
        <v>2.82</v>
      </c>
      <c r="D1898">
        <v>3.05</v>
      </c>
      <c r="E1898">
        <v>3.29</v>
      </c>
      <c r="F1898">
        <v>3.52</v>
      </c>
      <c r="G1898">
        <v>3.9</v>
      </c>
      <c r="H1898">
        <v>4.2699999999999996</v>
      </c>
      <c r="I1898">
        <v>4.83</v>
      </c>
      <c r="K1898">
        <f t="shared" si="235"/>
        <v>8.0000000000000071</v>
      </c>
      <c r="L1898">
        <f t="shared" si="236"/>
        <v>7.9999999999999627</v>
      </c>
      <c r="M1898">
        <f t="shared" si="237"/>
        <v>6.999999999999984</v>
      </c>
      <c r="N1898">
        <f t="shared" si="238"/>
        <v>8.0000000000000071</v>
      </c>
      <c r="O1898">
        <f t="shared" si="239"/>
        <v>8.9999999999999858</v>
      </c>
      <c r="P1898">
        <f t="shared" si="240"/>
        <v>10.000000000000009</v>
      </c>
      <c r="Q1898">
        <f t="shared" si="241"/>
        <v>8.9999999999999858</v>
      </c>
      <c r="R1898">
        <f t="shared" si="242"/>
        <v>8.0000000000000071</v>
      </c>
    </row>
    <row r="1899" spans="1:18">
      <c r="A1899" s="9">
        <v>39483</v>
      </c>
      <c r="B1899">
        <v>2.69</v>
      </c>
      <c r="C1899">
        <v>2.7</v>
      </c>
      <c r="D1899">
        <v>2.92</v>
      </c>
      <c r="E1899">
        <v>3.17</v>
      </c>
      <c r="F1899">
        <v>3.41</v>
      </c>
      <c r="G1899">
        <v>3.79</v>
      </c>
      <c r="H1899">
        <v>4.17</v>
      </c>
      <c r="I1899">
        <v>4.7300000000000004</v>
      </c>
      <c r="K1899">
        <f t="shared" si="235"/>
        <v>-8.0000000000000071</v>
      </c>
      <c r="L1899">
        <f t="shared" si="236"/>
        <v>-11.999999999999966</v>
      </c>
      <c r="M1899">
        <f t="shared" si="237"/>
        <v>-12.999999999999989</v>
      </c>
      <c r="N1899">
        <f t="shared" si="238"/>
        <v>-12.000000000000011</v>
      </c>
      <c r="O1899">
        <f t="shared" si="239"/>
        <v>-10.999999999999988</v>
      </c>
      <c r="P1899">
        <f t="shared" si="240"/>
        <v>-10.999999999999988</v>
      </c>
      <c r="Q1899">
        <f t="shared" si="241"/>
        <v>-9.9999999999999645</v>
      </c>
      <c r="R1899">
        <f t="shared" si="242"/>
        <v>-9.9999999999999645</v>
      </c>
    </row>
    <row r="1900" spans="1:18">
      <c r="A1900" s="9">
        <v>39484</v>
      </c>
      <c r="B1900">
        <v>2.66</v>
      </c>
      <c r="C1900">
        <v>2.71</v>
      </c>
      <c r="D1900">
        <v>2.96</v>
      </c>
      <c r="E1900">
        <v>3.22</v>
      </c>
      <c r="F1900">
        <v>3.45</v>
      </c>
      <c r="G1900">
        <v>3.85</v>
      </c>
      <c r="H1900">
        <v>4.25</v>
      </c>
      <c r="I1900">
        <v>4.82</v>
      </c>
      <c r="K1900">
        <f t="shared" si="235"/>
        <v>-2.9999999999999805</v>
      </c>
      <c r="L1900">
        <f t="shared" si="236"/>
        <v>0.99999999999997868</v>
      </c>
      <c r="M1900">
        <f t="shared" si="237"/>
        <v>4.0000000000000036</v>
      </c>
      <c r="N1900">
        <f t="shared" si="238"/>
        <v>5.0000000000000266</v>
      </c>
      <c r="O1900">
        <f t="shared" si="239"/>
        <v>4.0000000000000036</v>
      </c>
      <c r="P1900">
        <f t="shared" si="240"/>
        <v>6.0000000000000053</v>
      </c>
      <c r="Q1900">
        <f t="shared" si="241"/>
        <v>8.0000000000000071</v>
      </c>
      <c r="R1900">
        <f t="shared" si="242"/>
        <v>8.9999999999999858</v>
      </c>
    </row>
    <row r="1901" spans="1:18">
      <c r="A1901" s="9">
        <v>39485</v>
      </c>
      <c r="B1901">
        <v>2.63</v>
      </c>
      <c r="C1901">
        <v>2.69</v>
      </c>
      <c r="D1901">
        <v>2.94</v>
      </c>
      <c r="E1901">
        <v>3.21</v>
      </c>
      <c r="F1901">
        <v>3.45</v>
      </c>
      <c r="G1901">
        <v>3.86</v>
      </c>
      <c r="H1901">
        <v>4.2699999999999996</v>
      </c>
      <c r="I1901">
        <v>4.8600000000000003</v>
      </c>
      <c r="K1901">
        <f t="shared" si="235"/>
        <v>-3.0000000000000249</v>
      </c>
      <c r="L1901">
        <f t="shared" si="236"/>
        <v>-2.0000000000000018</v>
      </c>
      <c r="M1901">
        <f t="shared" si="237"/>
        <v>-2.0000000000000018</v>
      </c>
      <c r="N1901">
        <f t="shared" si="238"/>
        <v>-1.0000000000000231</v>
      </c>
      <c r="O1901">
        <f t="shared" si="239"/>
        <v>0</v>
      </c>
      <c r="P1901">
        <f t="shared" si="240"/>
        <v>0.99999999999997868</v>
      </c>
      <c r="Q1901">
        <f t="shared" si="241"/>
        <v>1.9999999999999574</v>
      </c>
      <c r="R1901">
        <f t="shared" si="242"/>
        <v>4.0000000000000036</v>
      </c>
    </row>
    <row r="1902" spans="1:18">
      <c r="A1902" s="9">
        <v>39486</v>
      </c>
      <c r="B1902">
        <v>2.66</v>
      </c>
      <c r="C1902">
        <v>2.74</v>
      </c>
      <c r="D1902">
        <v>3.02</v>
      </c>
      <c r="E1902">
        <v>3.29</v>
      </c>
      <c r="F1902">
        <v>3.55</v>
      </c>
      <c r="G1902">
        <v>3.95</v>
      </c>
      <c r="H1902">
        <v>4.3499999999999996</v>
      </c>
      <c r="I1902">
        <v>4.9400000000000004</v>
      </c>
      <c r="K1902">
        <f t="shared" si="235"/>
        <v>3.0000000000000249</v>
      </c>
      <c r="L1902">
        <f t="shared" si="236"/>
        <v>5.0000000000000266</v>
      </c>
      <c r="M1902">
        <f t="shared" si="237"/>
        <v>8.0000000000000071</v>
      </c>
      <c r="N1902">
        <f t="shared" si="238"/>
        <v>8.0000000000000071</v>
      </c>
      <c r="O1902">
        <f t="shared" si="239"/>
        <v>9.9999999999999645</v>
      </c>
      <c r="P1902">
        <f t="shared" si="240"/>
        <v>9.0000000000000302</v>
      </c>
      <c r="Q1902">
        <f t="shared" si="241"/>
        <v>8.0000000000000071</v>
      </c>
      <c r="R1902">
        <f t="shared" si="242"/>
        <v>8.0000000000000071</v>
      </c>
    </row>
    <row r="1903" spans="1:18">
      <c r="A1903" s="9">
        <v>39489</v>
      </c>
      <c r="B1903">
        <v>2.61</v>
      </c>
      <c r="C1903">
        <v>2.67</v>
      </c>
      <c r="D1903">
        <v>2.94</v>
      </c>
      <c r="E1903">
        <v>3.21</v>
      </c>
      <c r="F1903">
        <v>3.47</v>
      </c>
      <c r="G1903">
        <v>3.87</v>
      </c>
      <c r="H1903">
        <v>4.2699999999999996</v>
      </c>
      <c r="I1903">
        <v>4.8499999999999996</v>
      </c>
      <c r="K1903">
        <f t="shared" si="235"/>
        <v>-5.0000000000000266</v>
      </c>
      <c r="L1903">
        <f t="shared" si="236"/>
        <v>-7.0000000000000284</v>
      </c>
      <c r="M1903">
        <f t="shared" si="237"/>
        <v>-8.0000000000000071</v>
      </c>
      <c r="N1903">
        <f t="shared" si="238"/>
        <v>-8.0000000000000071</v>
      </c>
      <c r="O1903">
        <f t="shared" si="239"/>
        <v>-7.9999999999999627</v>
      </c>
      <c r="P1903">
        <f t="shared" si="240"/>
        <v>-8.0000000000000071</v>
      </c>
      <c r="Q1903">
        <f t="shared" si="241"/>
        <v>-8.0000000000000071</v>
      </c>
      <c r="R1903">
        <f t="shared" si="242"/>
        <v>-9.0000000000000746</v>
      </c>
    </row>
    <row r="1904" spans="1:18">
      <c r="A1904" s="9">
        <v>39490</v>
      </c>
      <c r="B1904">
        <v>2.67</v>
      </c>
      <c r="C1904">
        <v>2.77</v>
      </c>
      <c r="D1904">
        <v>3.05</v>
      </c>
      <c r="E1904">
        <v>3.34</v>
      </c>
      <c r="F1904">
        <v>3.59</v>
      </c>
      <c r="G1904">
        <v>4</v>
      </c>
      <c r="H1904">
        <v>4.4000000000000004</v>
      </c>
      <c r="I1904">
        <v>4.97</v>
      </c>
      <c r="K1904">
        <f t="shared" si="235"/>
        <v>6.0000000000000053</v>
      </c>
      <c r="L1904">
        <f t="shared" si="236"/>
        <v>10.000000000000009</v>
      </c>
      <c r="M1904">
        <f t="shared" si="237"/>
        <v>10.999999999999988</v>
      </c>
      <c r="N1904">
        <f t="shared" si="238"/>
        <v>12.999999999999989</v>
      </c>
      <c r="O1904">
        <f t="shared" si="239"/>
        <v>11.999999999999966</v>
      </c>
      <c r="P1904">
        <f t="shared" si="240"/>
        <v>12.999999999999989</v>
      </c>
      <c r="Q1904">
        <f t="shared" si="241"/>
        <v>13.000000000000078</v>
      </c>
      <c r="R1904">
        <f t="shared" si="242"/>
        <v>12.000000000000011</v>
      </c>
    </row>
    <row r="1905" spans="1:18">
      <c r="A1905" s="9">
        <v>39491</v>
      </c>
      <c r="B1905">
        <v>2.6</v>
      </c>
      <c r="C1905">
        <v>2.68</v>
      </c>
      <c r="D1905">
        <v>2.96</v>
      </c>
      <c r="E1905">
        <v>3.25</v>
      </c>
      <c r="F1905">
        <v>3.52</v>
      </c>
      <c r="G1905">
        <v>3.94</v>
      </c>
      <c r="H1905">
        <v>4.3600000000000003</v>
      </c>
      <c r="I1905">
        <v>4.9800000000000004</v>
      </c>
      <c r="K1905">
        <f t="shared" si="235"/>
        <v>-6.999999999999984</v>
      </c>
      <c r="L1905">
        <f t="shared" si="236"/>
        <v>-8.9999999999999858</v>
      </c>
      <c r="M1905">
        <f t="shared" si="237"/>
        <v>-8.9999999999999858</v>
      </c>
      <c r="N1905">
        <f t="shared" si="238"/>
        <v>-8.9999999999999858</v>
      </c>
      <c r="O1905">
        <f t="shared" si="239"/>
        <v>-6.999999999999984</v>
      </c>
      <c r="P1905">
        <f t="shared" si="240"/>
        <v>-6.0000000000000053</v>
      </c>
      <c r="Q1905">
        <f t="shared" si="241"/>
        <v>-4.0000000000000036</v>
      </c>
      <c r="R1905">
        <f t="shared" si="242"/>
        <v>1.0000000000000675</v>
      </c>
    </row>
    <row r="1906" spans="1:18">
      <c r="A1906" s="9">
        <v>39492</v>
      </c>
      <c r="B1906">
        <v>2.65</v>
      </c>
      <c r="C1906">
        <v>2.73</v>
      </c>
      <c r="D1906">
        <v>3.04</v>
      </c>
      <c r="E1906">
        <v>3.35</v>
      </c>
      <c r="F1906">
        <v>3.63</v>
      </c>
      <c r="G1906">
        <v>4.07</v>
      </c>
      <c r="H1906">
        <v>4.49</v>
      </c>
      <c r="I1906">
        <v>5.09</v>
      </c>
      <c r="K1906">
        <f t="shared" si="235"/>
        <v>4.9999999999999822</v>
      </c>
      <c r="L1906">
        <f t="shared" si="236"/>
        <v>4.9999999999999822</v>
      </c>
      <c r="M1906">
        <f t="shared" si="237"/>
        <v>8.0000000000000071</v>
      </c>
      <c r="N1906">
        <f t="shared" si="238"/>
        <v>10.000000000000009</v>
      </c>
      <c r="O1906">
        <f t="shared" si="239"/>
        <v>10.999999999999988</v>
      </c>
      <c r="P1906">
        <f t="shared" si="240"/>
        <v>13.000000000000034</v>
      </c>
      <c r="Q1906">
        <f t="shared" si="241"/>
        <v>12.999999999999989</v>
      </c>
      <c r="R1906">
        <f t="shared" si="242"/>
        <v>10.999999999999943</v>
      </c>
    </row>
    <row r="1907" spans="1:18">
      <c r="A1907" s="9">
        <v>39493</v>
      </c>
      <c r="B1907">
        <v>2.63</v>
      </c>
      <c r="C1907">
        <v>2.74</v>
      </c>
      <c r="D1907">
        <v>3.06</v>
      </c>
      <c r="E1907">
        <v>3.37</v>
      </c>
      <c r="F1907">
        <v>3.66</v>
      </c>
      <c r="G1907">
        <v>4.0999999999999996</v>
      </c>
      <c r="H1907">
        <v>4.5199999999999996</v>
      </c>
      <c r="I1907">
        <v>5.1100000000000003</v>
      </c>
      <c r="K1907">
        <f t="shared" si="235"/>
        <v>-2.0000000000000018</v>
      </c>
      <c r="L1907">
        <f t="shared" si="236"/>
        <v>1.0000000000000231</v>
      </c>
      <c r="M1907">
        <f t="shared" si="237"/>
        <v>2.0000000000000018</v>
      </c>
      <c r="N1907">
        <f t="shared" si="238"/>
        <v>2.0000000000000018</v>
      </c>
      <c r="O1907">
        <f t="shared" si="239"/>
        <v>3.0000000000000249</v>
      </c>
      <c r="P1907">
        <f t="shared" si="240"/>
        <v>2.9999999999999361</v>
      </c>
      <c r="Q1907">
        <f t="shared" si="241"/>
        <v>2.9999999999999361</v>
      </c>
      <c r="R1907">
        <f t="shared" si="242"/>
        <v>2.0000000000000462</v>
      </c>
    </row>
    <row r="1908" spans="1:18">
      <c r="A1908" s="9">
        <v>39497</v>
      </c>
      <c r="B1908">
        <v>2.69</v>
      </c>
      <c r="C1908">
        <v>2.82</v>
      </c>
      <c r="D1908">
        <v>3.14</v>
      </c>
      <c r="E1908">
        <v>3.46</v>
      </c>
      <c r="F1908">
        <v>3.74</v>
      </c>
      <c r="G1908">
        <v>4.16</v>
      </c>
      <c r="H1908">
        <v>4.5599999999999996</v>
      </c>
      <c r="I1908">
        <v>5.14</v>
      </c>
      <c r="K1908">
        <f t="shared" si="235"/>
        <v>6.0000000000000053</v>
      </c>
      <c r="L1908">
        <f t="shared" si="236"/>
        <v>7.9999999999999627</v>
      </c>
      <c r="M1908">
        <f t="shared" si="237"/>
        <v>8.0000000000000071</v>
      </c>
      <c r="N1908">
        <f t="shared" si="238"/>
        <v>8.9999999999999858</v>
      </c>
      <c r="O1908">
        <f t="shared" si="239"/>
        <v>8.0000000000000071</v>
      </c>
      <c r="P1908">
        <f t="shared" si="240"/>
        <v>6.0000000000000497</v>
      </c>
      <c r="Q1908">
        <f t="shared" si="241"/>
        <v>4.0000000000000036</v>
      </c>
      <c r="R1908">
        <f t="shared" si="242"/>
        <v>2.9999999999999361</v>
      </c>
    </row>
    <row r="1909" spans="1:18">
      <c r="A1909" s="9">
        <v>39498</v>
      </c>
      <c r="B1909">
        <v>2.76</v>
      </c>
      <c r="C1909">
        <v>2.93</v>
      </c>
      <c r="D1909">
        <v>3.27</v>
      </c>
      <c r="E1909">
        <v>3.58</v>
      </c>
      <c r="F1909">
        <v>3.86</v>
      </c>
      <c r="G1909">
        <v>4.2699999999999996</v>
      </c>
      <c r="H1909">
        <v>4.6500000000000004</v>
      </c>
      <c r="I1909">
        <v>5.21</v>
      </c>
      <c r="K1909">
        <f t="shared" si="235"/>
        <v>6.999999999999984</v>
      </c>
      <c r="L1909">
        <f t="shared" si="236"/>
        <v>11.000000000000032</v>
      </c>
      <c r="M1909">
        <f t="shared" si="237"/>
        <v>12.999999999999989</v>
      </c>
      <c r="N1909">
        <f t="shared" si="238"/>
        <v>12.000000000000011</v>
      </c>
      <c r="O1909">
        <f t="shared" si="239"/>
        <v>11.999999999999966</v>
      </c>
      <c r="P1909">
        <f t="shared" si="240"/>
        <v>10.999999999999943</v>
      </c>
      <c r="Q1909">
        <f t="shared" si="241"/>
        <v>9.0000000000000746</v>
      </c>
      <c r="R1909">
        <f t="shared" si="242"/>
        <v>7.0000000000000284</v>
      </c>
    </row>
    <row r="1910" spans="1:18">
      <c r="A1910" s="9">
        <v>39499</v>
      </c>
      <c r="B1910">
        <v>2.75</v>
      </c>
      <c r="C1910">
        <v>2.88</v>
      </c>
      <c r="D1910">
        <v>3.17</v>
      </c>
      <c r="E1910">
        <v>3.46</v>
      </c>
      <c r="F1910">
        <v>3.71</v>
      </c>
      <c r="G1910">
        <v>4.09</v>
      </c>
      <c r="H1910">
        <v>4.45</v>
      </c>
      <c r="I1910">
        <v>5.01</v>
      </c>
      <c r="K1910">
        <f t="shared" si="235"/>
        <v>-0.99999999999997868</v>
      </c>
      <c r="L1910">
        <f t="shared" si="236"/>
        <v>-5.0000000000000266</v>
      </c>
      <c r="M1910">
        <f t="shared" si="237"/>
        <v>-10.000000000000009</v>
      </c>
      <c r="N1910">
        <f t="shared" si="238"/>
        <v>-12.000000000000011</v>
      </c>
      <c r="O1910">
        <f t="shared" si="239"/>
        <v>-14.999999999999991</v>
      </c>
      <c r="P1910">
        <f t="shared" si="240"/>
        <v>-17.999999999999972</v>
      </c>
      <c r="Q1910">
        <f t="shared" si="241"/>
        <v>-20.000000000000018</v>
      </c>
      <c r="R1910">
        <f t="shared" si="242"/>
        <v>-20.000000000000018</v>
      </c>
    </row>
    <row r="1911" spans="1:18">
      <c r="A1911" s="9">
        <v>39500</v>
      </c>
      <c r="B1911">
        <v>2.72</v>
      </c>
      <c r="C1911">
        <v>2.82</v>
      </c>
      <c r="D1911">
        <v>3.12</v>
      </c>
      <c r="E1911">
        <v>3.41</v>
      </c>
      <c r="F1911">
        <v>3.67</v>
      </c>
      <c r="G1911">
        <v>4.08</v>
      </c>
      <c r="H1911">
        <v>4.47</v>
      </c>
      <c r="I1911">
        <v>5.05</v>
      </c>
      <c r="K1911">
        <f t="shared" si="235"/>
        <v>-2.9999999999999805</v>
      </c>
      <c r="L1911">
        <f t="shared" si="236"/>
        <v>-6.0000000000000053</v>
      </c>
      <c r="M1911">
        <f t="shared" si="237"/>
        <v>-4.9999999999999822</v>
      </c>
      <c r="N1911">
        <f t="shared" si="238"/>
        <v>-4.9999999999999822</v>
      </c>
      <c r="O1911">
        <f t="shared" si="239"/>
        <v>-4.0000000000000036</v>
      </c>
      <c r="P1911">
        <f t="shared" si="240"/>
        <v>-0.99999999999997868</v>
      </c>
      <c r="Q1911">
        <f t="shared" si="241"/>
        <v>1.9999999999999574</v>
      </c>
      <c r="R1911">
        <f t="shared" si="242"/>
        <v>4.0000000000000036</v>
      </c>
    </row>
    <row r="1912" spans="1:18">
      <c r="A1912" s="9">
        <v>39503</v>
      </c>
      <c r="B1912">
        <v>2.83</v>
      </c>
      <c r="C1912">
        <v>3</v>
      </c>
      <c r="D1912">
        <v>3.31</v>
      </c>
      <c r="E1912">
        <v>3.62</v>
      </c>
      <c r="F1912">
        <v>3.89</v>
      </c>
      <c r="G1912">
        <v>4.28</v>
      </c>
      <c r="H1912">
        <v>4.67</v>
      </c>
      <c r="I1912">
        <v>5.21</v>
      </c>
      <c r="K1912">
        <f t="shared" si="235"/>
        <v>10.999999999999988</v>
      </c>
      <c r="L1912">
        <f t="shared" si="236"/>
        <v>18.000000000000014</v>
      </c>
      <c r="M1912">
        <f t="shared" si="237"/>
        <v>18.999999999999993</v>
      </c>
      <c r="N1912">
        <f t="shared" si="238"/>
        <v>20.999999999999996</v>
      </c>
      <c r="O1912">
        <f t="shared" si="239"/>
        <v>22.000000000000021</v>
      </c>
      <c r="P1912">
        <f t="shared" si="240"/>
        <v>20.000000000000018</v>
      </c>
      <c r="Q1912">
        <f t="shared" si="241"/>
        <v>20.000000000000018</v>
      </c>
      <c r="R1912">
        <f t="shared" si="242"/>
        <v>16.000000000000014</v>
      </c>
    </row>
    <row r="1913" spans="1:18">
      <c r="A1913" s="9">
        <v>39504</v>
      </c>
      <c r="B1913">
        <v>2.82</v>
      </c>
      <c r="C1913">
        <v>2.95</v>
      </c>
      <c r="D1913">
        <v>3.25</v>
      </c>
      <c r="E1913">
        <v>3.55</v>
      </c>
      <c r="F1913">
        <v>3.82</v>
      </c>
      <c r="G1913">
        <v>4.22</v>
      </c>
      <c r="H1913">
        <v>4.5999999999999996</v>
      </c>
      <c r="I1913">
        <v>5.17</v>
      </c>
      <c r="K1913">
        <f t="shared" si="235"/>
        <v>-1.0000000000000231</v>
      </c>
      <c r="L1913">
        <f t="shared" si="236"/>
        <v>-4.9999999999999822</v>
      </c>
      <c r="M1913">
        <f t="shared" si="237"/>
        <v>-6.0000000000000053</v>
      </c>
      <c r="N1913">
        <f t="shared" si="238"/>
        <v>-7.0000000000000284</v>
      </c>
      <c r="O1913">
        <f t="shared" si="239"/>
        <v>-7.0000000000000284</v>
      </c>
      <c r="P1913">
        <f t="shared" si="240"/>
        <v>-6.0000000000000497</v>
      </c>
      <c r="Q1913">
        <f t="shared" si="241"/>
        <v>-7.0000000000000284</v>
      </c>
      <c r="R1913">
        <f t="shared" si="242"/>
        <v>-4.0000000000000036</v>
      </c>
    </row>
    <row r="1914" spans="1:18">
      <c r="A1914" s="9">
        <v>39505</v>
      </c>
      <c r="B1914">
        <v>2.72</v>
      </c>
      <c r="C1914">
        <v>2.83</v>
      </c>
      <c r="D1914">
        <v>3.14</v>
      </c>
      <c r="E1914">
        <v>3.45</v>
      </c>
      <c r="F1914">
        <v>3.72</v>
      </c>
      <c r="G1914">
        <v>4.1500000000000004</v>
      </c>
      <c r="H1914">
        <v>4.54</v>
      </c>
      <c r="I1914">
        <v>5.13</v>
      </c>
      <c r="K1914">
        <f t="shared" si="235"/>
        <v>-9.9999999999999645</v>
      </c>
      <c r="L1914">
        <f t="shared" si="236"/>
        <v>-12.000000000000011</v>
      </c>
      <c r="M1914">
        <f t="shared" si="237"/>
        <v>-10.999999999999988</v>
      </c>
      <c r="N1914">
        <f t="shared" si="238"/>
        <v>-9.9999999999999645</v>
      </c>
      <c r="O1914">
        <f t="shared" si="239"/>
        <v>-9.9999999999999645</v>
      </c>
      <c r="P1914">
        <f t="shared" si="240"/>
        <v>-6.9999999999999396</v>
      </c>
      <c r="Q1914">
        <f t="shared" si="241"/>
        <v>-5.9999999999999609</v>
      </c>
      <c r="R1914">
        <f t="shared" si="242"/>
        <v>-4.0000000000000036</v>
      </c>
    </row>
    <row r="1915" spans="1:18">
      <c r="A1915" s="9">
        <v>39506</v>
      </c>
      <c r="B1915">
        <v>2.63</v>
      </c>
      <c r="C1915">
        <v>2.73</v>
      </c>
      <c r="D1915">
        <v>3.03</v>
      </c>
      <c r="E1915">
        <v>3.34</v>
      </c>
      <c r="F1915">
        <v>3.6</v>
      </c>
      <c r="G1915">
        <v>4.01</v>
      </c>
      <c r="H1915">
        <v>4.4000000000000004</v>
      </c>
      <c r="I1915">
        <v>5</v>
      </c>
      <c r="K1915">
        <f t="shared" si="235"/>
        <v>-9.0000000000000302</v>
      </c>
      <c r="L1915">
        <f t="shared" si="236"/>
        <v>-10.000000000000009</v>
      </c>
      <c r="M1915">
        <f t="shared" si="237"/>
        <v>-11.000000000000032</v>
      </c>
      <c r="N1915">
        <f t="shared" si="238"/>
        <v>-11.000000000000032</v>
      </c>
      <c r="O1915">
        <f t="shared" si="239"/>
        <v>-12.000000000000011</v>
      </c>
      <c r="P1915">
        <f t="shared" si="240"/>
        <v>-14.000000000000057</v>
      </c>
      <c r="Q1915">
        <f t="shared" si="241"/>
        <v>-13.999999999999968</v>
      </c>
      <c r="R1915">
        <f t="shared" si="242"/>
        <v>-12.999999999999989</v>
      </c>
    </row>
    <row r="1916" spans="1:18">
      <c r="A1916" s="9">
        <v>39507</v>
      </c>
      <c r="B1916">
        <v>2.56</v>
      </c>
      <c r="C1916">
        <v>2.58</v>
      </c>
      <c r="D1916">
        <v>2.87</v>
      </c>
      <c r="E1916">
        <v>3.17</v>
      </c>
      <c r="F1916">
        <v>3.42</v>
      </c>
      <c r="G1916">
        <v>3.86</v>
      </c>
      <c r="H1916">
        <v>4.2699999999999996</v>
      </c>
      <c r="I1916">
        <v>4.8899999999999997</v>
      </c>
      <c r="K1916">
        <f t="shared" si="235"/>
        <v>-6.999999999999984</v>
      </c>
      <c r="L1916">
        <f t="shared" si="236"/>
        <v>-14.999999999999991</v>
      </c>
      <c r="M1916">
        <f t="shared" si="237"/>
        <v>-15.99999999999997</v>
      </c>
      <c r="N1916">
        <f t="shared" si="238"/>
        <v>-16.999999999999993</v>
      </c>
      <c r="O1916">
        <f t="shared" si="239"/>
        <v>-18.000000000000014</v>
      </c>
      <c r="P1916">
        <f t="shared" si="240"/>
        <v>-14.999999999999991</v>
      </c>
      <c r="Q1916">
        <f t="shared" si="241"/>
        <v>-13.000000000000078</v>
      </c>
      <c r="R1916">
        <f t="shared" si="242"/>
        <v>-11.000000000000032</v>
      </c>
    </row>
    <row r="1917" spans="1:18">
      <c r="A1917" s="9">
        <v>39510</v>
      </c>
      <c r="B1917">
        <v>2.5499999999999998</v>
      </c>
      <c r="C1917">
        <v>2.56</v>
      </c>
      <c r="D1917">
        <v>2.84</v>
      </c>
      <c r="E1917">
        <v>3.15</v>
      </c>
      <c r="F1917">
        <v>3.41</v>
      </c>
      <c r="G1917">
        <v>3.84</v>
      </c>
      <c r="H1917">
        <v>4.2699999999999996</v>
      </c>
      <c r="I1917">
        <v>4.88</v>
      </c>
      <c r="K1917">
        <f t="shared" si="235"/>
        <v>-1.0000000000000231</v>
      </c>
      <c r="L1917">
        <f t="shared" si="236"/>
        <v>-2.0000000000000018</v>
      </c>
      <c r="M1917">
        <f t="shared" si="237"/>
        <v>-3.0000000000000249</v>
      </c>
      <c r="N1917">
        <f t="shared" si="238"/>
        <v>-2.0000000000000018</v>
      </c>
      <c r="O1917">
        <f t="shared" si="239"/>
        <v>-0.99999999999997868</v>
      </c>
      <c r="P1917">
        <f t="shared" si="240"/>
        <v>-2.0000000000000018</v>
      </c>
      <c r="Q1917">
        <f t="shared" si="241"/>
        <v>0</v>
      </c>
      <c r="R1917">
        <f t="shared" si="242"/>
        <v>-0.99999999999997868</v>
      </c>
    </row>
    <row r="1918" spans="1:18">
      <c r="A1918" s="9">
        <v>39511</v>
      </c>
      <c r="B1918">
        <v>2.52</v>
      </c>
      <c r="C1918">
        <v>2.5299999999999998</v>
      </c>
      <c r="D1918">
        <v>2.81</v>
      </c>
      <c r="E1918">
        <v>3.12</v>
      </c>
      <c r="F1918">
        <v>3.4</v>
      </c>
      <c r="G1918">
        <v>3.83</v>
      </c>
      <c r="H1918">
        <v>4.26</v>
      </c>
      <c r="I1918">
        <v>4.88</v>
      </c>
      <c r="K1918">
        <f t="shared" si="235"/>
        <v>-2.9999999999999805</v>
      </c>
      <c r="L1918">
        <f t="shared" si="236"/>
        <v>-3.0000000000000249</v>
      </c>
      <c r="M1918">
        <f t="shared" si="237"/>
        <v>-2.9999999999999805</v>
      </c>
      <c r="N1918">
        <f t="shared" si="238"/>
        <v>-2.9999999999999805</v>
      </c>
      <c r="O1918">
        <f t="shared" si="239"/>
        <v>-1.0000000000000231</v>
      </c>
      <c r="P1918">
        <f t="shared" si="240"/>
        <v>-0.99999999999997868</v>
      </c>
      <c r="Q1918">
        <f t="shared" si="241"/>
        <v>-0.99999999999997868</v>
      </c>
      <c r="R1918">
        <f t="shared" si="242"/>
        <v>0</v>
      </c>
    </row>
    <row r="1919" spans="1:18">
      <c r="A1919" s="9">
        <v>39512</v>
      </c>
      <c r="B1919">
        <v>2.6</v>
      </c>
      <c r="C1919">
        <v>2.66</v>
      </c>
      <c r="D1919">
        <v>2.95</v>
      </c>
      <c r="E1919">
        <v>3.26</v>
      </c>
      <c r="F1919">
        <v>3.55</v>
      </c>
      <c r="G1919">
        <v>4</v>
      </c>
      <c r="H1919">
        <v>4.43</v>
      </c>
      <c r="I1919">
        <v>5.04</v>
      </c>
      <c r="K1919">
        <f t="shared" si="235"/>
        <v>8.0000000000000071</v>
      </c>
      <c r="L1919">
        <f t="shared" si="236"/>
        <v>13.000000000000034</v>
      </c>
      <c r="M1919">
        <f t="shared" si="237"/>
        <v>14.000000000000012</v>
      </c>
      <c r="N1919">
        <f t="shared" si="238"/>
        <v>13.999999999999968</v>
      </c>
      <c r="O1919">
        <f t="shared" si="239"/>
        <v>14.999999999999991</v>
      </c>
      <c r="P1919">
        <f t="shared" si="240"/>
        <v>16.999999999999993</v>
      </c>
      <c r="Q1919">
        <f t="shared" si="241"/>
        <v>16.999999999999993</v>
      </c>
      <c r="R1919">
        <f t="shared" si="242"/>
        <v>16.000000000000014</v>
      </c>
    </row>
    <row r="1920" spans="1:18">
      <c r="A1920" s="9">
        <v>39513</v>
      </c>
      <c r="B1920">
        <v>2.56</v>
      </c>
      <c r="C1920">
        <v>2.64</v>
      </c>
      <c r="D1920">
        <v>2.97</v>
      </c>
      <c r="E1920">
        <v>3.3</v>
      </c>
      <c r="F1920">
        <v>3.59</v>
      </c>
      <c r="G1920">
        <v>4.04</v>
      </c>
      <c r="H1920">
        <v>4.47</v>
      </c>
      <c r="I1920">
        <v>5.08</v>
      </c>
      <c r="K1920">
        <f t="shared" si="235"/>
        <v>-4.0000000000000036</v>
      </c>
      <c r="L1920">
        <f t="shared" si="236"/>
        <v>-2.0000000000000018</v>
      </c>
      <c r="M1920">
        <f t="shared" si="237"/>
        <v>2.0000000000000018</v>
      </c>
      <c r="N1920">
        <f t="shared" si="238"/>
        <v>4.0000000000000036</v>
      </c>
      <c r="O1920">
        <f t="shared" si="239"/>
        <v>4.0000000000000036</v>
      </c>
      <c r="P1920">
        <f t="shared" si="240"/>
        <v>4.0000000000000036</v>
      </c>
      <c r="Q1920">
        <f t="shared" si="241"/>
        <v>4.0000000000000036</v>
      </c>
      <c r="R1920">
        <f t="shared" si="242"/>
        <v>4.0000000000000036</v>
      </c>
    </row>
    <row r="1921" spans="1:18">
      <c r="A1921" s="9">
        <v>39514</v>
      </c>
      <c r="B1921">
        <v>2.5</v>
      </c>
      <c r="C1921">
        <v>2.6</v>
      </c>
      <c r="D1921">
        <v>2.92</v>
      </c>
      <c r="E1921">
        <v>3.27</v>
      </c>
      <c r="F1921">
        <v>3.56</v>
      </c>
      <c r="G1921">
        <v>4</v>
      </c>
      <c r="H1921">
        <v>4.45</v>
      </c>
      <c r="I1921">
        <v>5.05</v>
      </c>
      <c r="K1921">
        <f t="shared" si="235"/>
        <v>-6.0000000000000053</v>
      </c>
      <c r="L1921">
        <f t="shared" si="236"/>
        <v>-4.0000000000000036</v>
      </c>
      <c r="M1921">
        <f t="shared" si="237"/>
        <v>-5.0000000000000266</v>
      </c>
      <c r="N1921">
        <f t="shared" si="238"/>
        <v>-2.9999999999999805</v>
      </c>
      <c r="O1921">
        <f t="shared" si="239"/>
        <v>-2.9999999999999805</v>
      </c>
      <c r="P1921">
        <f t="shared" si="240"/>
        <v>-4.0000000000000036</v>
      </c>
      <c r="Q1921">
        <f t="shared" si="241"/>
        <v>-1.9999999999999574</v>
      </c>
      <c r="R1921">
        <f t="shared" si="242"/>
        <v>-3.0000000000000249</v>
      </c>
    </row>
    <row r="1922" spans="1:18">
      <c r="A1922" s="9">
        <v>39517</v>
      </c>
      <c r="B1922">
        <v>2.4700000000000002</v>
      </c>
      <c r="C1922">
        <v>2.5499999999999998</v>
      </c>
      <c r="D1922">
        <v>2.86</v>
      </c>
      <c r="E1922">
        <v>3.2</v>
      </c>
      <c r="F1922">
        <v>3.48</v>
      </c>
      <c r="G1922">
        <v>3.93</v>
      </c>
      <c r="H1922">
        <v>4.34</v>
      </c>
      <c r="I1922">
        <v>4.96</v>
      </c>
      <c r="K1922">
        <f t="shared" si="235"/>
        <v>-2.9999999999999805</v>
      </c>
      <c r="L1922">
        <f t="shared" si="236"/>
        <v>-5.0000000000000266</v>
      </c>
      <c r="M1922">
        <f t="shared" si="237"/>
        <v>-6.0000000000000053</v>
      </c>
      <c r="N1922">
        <f t="shared" si="238"/>
        <v>-6.999999999999984</v>
      </c>
      <c r="O1922">
        <f t="shared" si="239"/>
        <v>-8.0000000000000071</v>
      </c>
      <c r="P1922">
        <f t="shared" si="240"/>
        <v>-6.999999999999984</v>
      </c>
      <c r="Q1922">
        <f t="shared" si="241"/>
        <v>-11.000000000000032</v>
      </c>
      <c r="R1922">
        <f t="shared" si="242"/>
        <v>-8.9999999999999858</v>
      </c>
    </row>
    <row r="1923" spans="1:18">
      <c r="A1923" s="9">
        <v>39518</v>
      </c>
      <c r="B1923">
        <v>2.54</v>
      </c>
      <c r="C1923">
        <v>2.67</v>
      </c>
      <c r="D1923">
        <v>2.99</v>
      </c>
      <c r="E1923">
        <v>3.32</v>
      </c>
      <c r="F1923">
        <v>3.6</v>
      </c>
      <c r="G1923">
        <v>4.0199999999999996</v>
      </c>
      <c r="H1923">
        <v>4.42</v>
      </c>
      <c r="I1923">
        <v>5</v>
      </c>
      <c r="K1923">
        <f t="shared" si="235"/>
        <v>6.999999999999984</v>
      </c>
      <c r="L1923">
        <f t="shared" si="236"/>
        <v>12.000000000000011</v>
      </c>
      <c r="M1923">
        <f t="shared" si="237"/>
        <v>13.000000000000034</v>
      </c>
      <c r="N1923">
        <f t="shared" si="238"/>
        <v>11.999999999999966</v>
      </c>
      <c r="O1923">
        <f t="shared" si="239"/>
        <v>12.000000000000011</v>
      </c>
      <c r="P1923">
        <f t="shared" si="240"/>
        <v>8.9999999999999414</v>
      </c>
      <c r="Q1923">
        <f t="shared" si="241"/>
        <v>8.0000000000000071</v>
      </c>
      <c r="R1923">
        <f t="shared" si="242"/>
        <v>4.0000000000000036</v>
      </c>
    </row>
    <row r="1924" spans="1:18">
      <c r="A1924" s="9">
        <v>39519</v>
      </c>
      <c r="B1924">
        <v>2.5099999999999998</v>
      </c>
      <c r="C1924">
        <v>2.62</v>
      </c>
      <c r="D1924">
        <v>2.93</v>
      </c>
      <c r="E1924">
        <v>3.24</v>
      </c>
      <c r="F1924">
        <v>3.5</v>
      </c>
      <c r="G1924">
        <v>3.91</v>
      </c>
      <c r="H1924">
        <v>4.29</v>
      </c>
      <c r="I1924">
        <v>4.9000000000000004</v>
      </c>
      <c r="K1924">
        <f t="shared" si="235"/>
        <v>-3.0000000000000249</v>
      </c>
      <c r="L1924">
        <f t="shared" si="236"/>
        <v>-4.9999999999999822</v>
      </c>
      <c r="M1924">
        <f t="shared" si="237"/>
        <v>-6.0000000000000053</v>
      </c>
      <c r="N1924">
        <f t="shared" si="238"/>
        <v>-7.9999999999999627</v>
      </c>
      <c r="O1924">
        <f t="shared" si="239"/>
        <v>-10.000000000000009</v>
      </c>
      <c r="P1924">
        <f t="shared" si="240"/>
        <v>-10.999999999999943</v>
      </c>
      <c r="Q1924">
        <f t="shared" si="241"/>
        <v>-12.999999999999989</v>
      </c>
      <c r="R1924">
        <f t="shared" si="242"/>
        <v>-9.9999999999999645</v>
      </c>
    </row>
    <row r="1925" spans="1:18">
      <c r="A1925" s="9">
        <v>39520</v>
      </c>
      <c r="B1925">
        <v>2.39</v>
      </c>
      <c r="C1925">
        <v>2.44</v>
      </c>
      <c r="D1925">
        <v>2.75</v>
      </c>
      <c r="E1925">
        <v>3.08</v>
      </c>
      <c r="F1925">
        <v>3.35</v>
      </c>
      <c r="G1925">
        <v>3.78</v>
      </c>
      <c r="H1925">
        <v>4.1900000000000004</v>
      </c>
      <c r="I1925">
        <v>4.78</v>
      </c>
      <c r="K1925">
        <f t="shared" ref="K1925:K1988" si="243">(B1925-B1924)*100</f>
        <v>-11.999999999999966</v>
      </c>
      <c r="L1925">
        <f t="shared" ref="L1925:L1988" si="244">(C1925-C1924)*100</f>
        <v>-18.000000000000014</v>
      </c>
      <c r="M1925">
        <f t="shared" ref="M1925:M1988" si="245">(D1925-D1924)*100</f>
        <v>-18.000000000000014</v>
      </c>
      <c r="N1925">
        <f t="shared" ref="N1925:N1988" si="246">(E1925-E1924)*100</f>
        <v>-16.000000000000014</v>
      </c>
      <c r="O1925">
        <f t="shared" ref="O1925:O1988" si="247">(F1925-F1924)*100</f>
        <v>-14.999999999999991</v>
      </c>
      <c r="P1925">
        <f t="shared" ref="P1925:P1988" si="248">(G1925-G1924)*100</f>
        <v>-13.000000000000034</v>
      </c>
      <c r="Q1925">
        <f t="shared" ref="Q1925:Q1988" si="249">(H1925-H1924)*100</f>
        <v>-9.9999999999999645</v>
      </c>
      <c r="R1925">
        <f t="shared" ref="R1925:R1988" si="250">(I1925-I1924)*100</f>
        <v>-12.000000000000011</v>
      </c>
    </row>
    <row r="1926" spans="1:18">
      <c r="A1926" s="9">
        <v>39521</v>
      </c>
      <c r="B1926">
        <v>2.31</v>
      </c>
      <c r="C1926">
        <v>2.39</v>
      </c>
      <c r="D1926">
        <v>2.71</v>
      </c>
      <c r="E1926">
        <v>3.04</v>
      </c>
      <c r="F1926">
        <v>3.3</v>
      </c>
      <c r="G1926">
        <v>3.71</v>
      </c>
      <c r="H1926">
        <v>4.12</v>
      </c>
      <c r="I1926">
        <v>4.74</v>
      </c>
      <c r="K1926">
        <f t="shared" si="243"/>
        <v>-8.0000000000000071</v>
      </c>
      <c r="L1926">
        <f t="shared" si="244"/>
        <v>-4.9999999999999822</v>
      </c>
      <c r="M1926">
        <f t="shared" si="245"/>
        <v>-4.0000000000000036</v>
      </c>
      <c r="N1926">
        <f t="shared" si="246"/>
        <v>-4.0000000000000036</v>
      </c>
      <c r="O1926">
        <f t="shared" si="247"/>
        <v>-5.0000000000000266</v>
      </c>
      <c r="P1926">
        <f t="shared" si="248"/>
        <v>-6.999999999999984</v>
      </c>
      <c r="Q1926">
        <f t="shared" si="249"/>
        <v>-7.0000000000000284</v>
      </c>
      <c r="R1926">
        <f t="shared" si="250"/>
        <v>-4.0000000000000036</v>
      </c>
    </row>
    <row r="1927" spans="1:18">
      <c r="A1927" s="9">
        <v>39524</v>
      </c>
      <c r="B1927">
        <v>2.11</v>
      </c>
      <c r="C1927">
        <v>2.21</v>
      </c>
      <c r="D1927">
        <v>2.56</v>
      </c>
      <c r="E1927">
        <v>2.89</v>
      </c>
      <c r="F1927">
        <v>3.17</v>
      </c>
      <c r="G1927">
        <v>3.61</v>
      </c>
      <c r="H1927">
        <v>4.0199999999999996</v>
      </c>
      <c r="I1927">
        <v>4.63</v>
      </c>
      <c r="K1927">
        <f t="shared" si="243"/>
        <v>-20.000000000000018</v>
      </c>
      <c r="L1927">
        <f t="shared" si="244"/>
        <v>-18.000000000000014</v>
      </c>
      <c r="M1927">
        <f t="shared" si="245"/>
        <v>-14.999999999999991</v>
      </c>
      <c r="N1927">
        <f t="shared" si="246"/>
        <v>-14.999999999999991</v>
      </c>
      <c r="O1927">
        <f t="shared" si="247"/>
        <v>-12.999999999999989</v>
      </c>
      <c r="P1927">
        <f t="shared" si="248"/>
        <v>-10.000000000000009</v>
      </c>
      <c r="Q1927">
        <f t="shared" si="249"/>
        <v>-10.000000000000053</v>
      </c>
      <c r="R1927">
        <f t="shared" si="250"/>
        <v>-11.000000000000032</v>
      </c>
    </row>
    <row r="1928" spans="1:18">
      <c r="A1928" s="9">
        <v>39525</v>
      </c>
      <c r="B1928">
        <v>2.16</v>
      </c>
      <c r="C1928">
        <v>2.25</v>
      </c>
      <c r="D1928">
        <v>2.5499999999999998</v>
      </c>
      <c r="E1928">
        <v>2.87</v>
      </c>
      <c r="F1928">
        <v>3.15</v>
      </c>
      <c r="G1928">
        <v>3.59</v>
      </c>
      <c r="H1928">
        <v>4.03</v>
      </c>
      <c r="I1928">
        <v>4.6500000000000004</v>
      </c>
      <c r="K1928">
        <f t="shared" si="243"/>
        <v>5.0000000000000266</v>
      </c>
      <c r="L1928">
        <f t="shared" si="244"/>
        <v>4.0000000000000036</v>
      </c>
      <c r="M1928">
        <f t="shared" si="245"/>
        <v>-1.0000000000000231</v>
      </c>
      <c r="N1928">
        <f t="shared" si="246"/>
        <v>-2.0000000000000018</v>
      </c>
      <c r="O1928">
        <f t="shared" si="247"/>
        <v>-2.0000000000000018</v>
      </c>
      <c r="P1928">
        <f t="shared" si="248"/>
        <v>-2.0000000000000018</v>
      </c>
      <c r="Q1928">
        <f t="shared" si="249"/>
        <v>1.0000000000000675</v>
      </c>
      <c r="R1928">
        <f t="shared" si="250"/>
        <v>2.0000000000000462</v>
      </c>
    </row>
    <row r="1929" spans="1:18">
      <c r="A1929" s="9">
        <v>39526</v>
      </c>
      <c r="B1929">
        <v>2.27</v>
      </c>
      <c r="C1929">
        <v>2.33</v>
      </c>
      <c r="D1929">
        <v>2.63</v>
      </c>
      <c r="E1929">
        <v>2.95</v>
      </c>
      <c r="F1929">
        <v>3.22</v>
      </c>
      <c r="G1929">
        <v>3.61</v>
      </c>
      <c r="H1929">
        <v>3.99</v>
      </c>
      <c r="I1929">
        <v>4.5599999999999996</v>
      </c>
      <c r="K1929">
        <f t="shared" si="243"/>
        <v>10.999999999999988</v>
      </c>
      <c r="L1929">
        <f t="shared" si="244"/>
        <v>8.0000000000000071</v>
      </c>
      <c r="M1929">
        <f t="shared" si="245"/>
        <v>8.0000000000000071</v>
      </c>
      <c r="N1929">
        <f t="shared" si="246"/>
        <v>8.0000000000000071</v>
      </c>
      <c r="O1929">
        <f t="shared" si="247"/>
        <v>7.0000000000000284</v>
      </c>
      <c r="P1929">
        <f t="shared" si="248"/>
        <v>2.0000000000000018</v>
      </c>
      <c r="Q1929">
        <f t="shared" si="249"/>
        <v>-4.0000000000000036</v>
      </c>
      <c r="R1929">
        <f t="shared" si="250"/>
        <v>-9.0000000000000746</v>
      </c>
    </row>
    <row r="1930" spans="1:18">
      <c r="A1930" s="9">
        <v>39527</v>
      </c>
      <c r="B1930">
        <v>2.33</v>
      </c>
      <c r="C1930">
        <v>2.4300000000000002</v>
      </c>
      <c r="D1930">
        <v>2.72</v>
      </c>
      <c r="E1930">
        <v>3.01</v>
      </c>
      <c r="F1930">
        <v>3.26</v>
      </c>
      <c r="G1930">
        <v>3.63</v>
      </c>
      <c r="H1930">
        <v>3.98</v>
      </c>
      <c r="I1930">
        <v>4.49</v>
      </c>
      <c r="K1930">
        <f t="shared" si="243"/>
        <v>6.0000000000000053</v>
      </c>
      <c r="L1930">
        <f t="shared" si="244"/>
        <v>10.000000000000009</v>
      </c>
      <c r="M1930">
        <f t="shared" si="245"/>
        <v>9.0000000000000302</v>
      </c>
      <c r="N1930">
        <f t="shared" si="246"/>
        <v>5.9999999999999609</v>
      </c>
      <c r="O1930">
        <f t="shared" si="247"/>
        <v>3.9999999999999591</v>
      </c>
      <c r="P1930">
        <f t="shared" si="248"/>
        <v>2.0000000000000018</v>
      </c>
      <c r="Q1930">
        <f t="shared" si="249"/>
        <v>-1.0000000000000231</v>
      </c>
      <c r="R1930">
        <f t="shared" si="250"/>
        <v>-6.9999999999999396</v>
      </c>
    </row>
    <row r="1931" spans="1:18">
      <c r="A1931" s="9">
        <v>39531</v>
      </c>
      <c r="B1931">
        <v>2.46</v>
      </c>
      <c r="C1931">
        <v>2.62</v>
      </c>
      <c r="D1931">
        <v>2.9</v>
      </c>
      <c r="E1931">
        <v>3.18</v>
      </c>
      <c r="F1931">
        <v>3.42</v>
      </c>
      <c r="G1931">
        <v>3.76</v>
      </c>
      <c r="H1931">
        <v>4.0999999999999996</v>
      </c>
      <c r="I1931">
        <v>4.5999999999999996</v>
      </c>
      <c r="K1931">
        <f t="shared" si="243"/>
        <v>12.999999999999989</v>
      </c>
      <c r="L1931">
        <f t="shared" si="244"/>
        <v>18.999999999999993</v>
      </c>
      <c r="M1931">
        <f t="shared" si="245"/>
        <v>17.999999999999972</v>
      </c>
      <c r="N1931">
        <f t="shared" si="246"/>
        <v>17.000000000000036</v>
      </c>
      <c r="O1931">
        <f t="shared" si="247"/>
        <v>16.000000000000014</v>
      </c>
      <c r="P1931">
        <f t="shared" si="248"/>
        <v>12.999999999999989</v>
      </c>
      <c r="Q1931">
        <f t="shared" si="249"/>
        <v>11.999999999999966</v>
      </c>
      <c r="R1931">
        <f t="shared" si="250"/>
        <v>10.999999999999943</v>
      </c>
    </row>
    <row r="1932" spans="1:18">
      <c r="A1932" s="9">
        <v>39532</v>
      </c>
      <c r="B1932">
        <v>2.39</v>
      </c>
      <c r="C1932">
        <v>2.5499999999999998</v>
      </c>
      <c r="D1932">
        <v>2.87</v>
      </c>
      <c r="E1932">
        <v>3.17</v>
      </c>
      <c r="F1932">
        <v>3.41</v>
      </c>
      <c r="G1932">
        <v>3.76</v>
      </c>
      <c r="H1932">
        <v>4.0999999999999996</v>
      </c>
      <c r="I1932">
        <v>4.62</v>
      </c>
      <c r="K1932">
        <f t="shared" si="243"/>
        <v>-6.999999999999984</v>
      </c>
      <c r="L1932">
        <f t="shared" si="244"/>
        <v>-7.0000000000000284</v>
      </c>
      <c r="M1932">
        <f t="shared" si="245"/>
        <v>-2.9999999999999805</v>
      </c>
      <c r="N1932">
        <f t="shared" si="246"/>
        <v>-1.0000000000000231</v>
      </c>
      <c r="O1932">
        <f t="shared" si="247"/>
        <v>-0.99999999999997868</v>
      </c>
      <c r="P1932">
        <f t="shared" si="248"/>
        <v>0</v>
      </c>
      <c r="Q1932">
        <f t="shared" si="249"/>
        <v>0</v>
      </c>
      <c r="R1932">
        <f t="shared" si="250"/>
        <v>2.0000000000000462</v>
      </c>
    </row>
    <row r="1933" spans="1:18">
      <c r="A1933" s="9">
        <v>39533</v>
      </c>
      <c r="B1933">
        <v>2.38</v>
      </c>
      <c r="C1933">
        <v>2.5299999999999998</v>
      </c>
      <c r="D1933">
        <v>2.85</v>
      </c>
      <c r="E1933">
        <v>3.15</v>
      </c>
      <c r="F1933">
        <v>3.38</v>
      </c>
      <c r="G1933">
        <v>3.74</v>
      </c>
      <c r="H1933">
        <v>4.09</v>
      </c>
      <c r="I1933">
        <v>4.62</v>
      </c>
      <c r="K1933">
        <f t="shared" si="243"/>
        <v>-1.0000000000000231</v>
      </c>
      <c r="L1933">
        <f t="shared" si="244"/>
        <v>-2.0000000000000018</v>
      </c>
      <c r="M1933">
        <f t="shared" si="245"/>
        <v>-2.0000000000000018</v>
      </c>
      <c r="N1933">
        <f t="shared" si="246"/>
        <v>-2.0000000000000018</v>
      </c>
      <c r="O1933">
        <f t="shared" si="247"/>
        <v>-3.0000000000000249</v>
      </c>
      <c r="P1933">
        <f t="shared" si="248"/>
        <v>-1.9999999999999574</v>
      </c>
      <c r="Q1933">
        <f t="shared" si="249"/>
        <v>-0.99999999999997868</v>
      </c>
      <c r="R1933">
        <f t="shared" si="250"/>
        <v>0</v>
      </c>
    </row>
    <row r="1934" spans="1:18">
      <c r="A1934" s="9">
        <v>39534</v>
      </c>
      <c r="B1934">
        <v>2.37</v>
      </c>
      <c r="C1934">
        <v>2.52</v>
      </c>
      <c r="D1934">
        <v>2.85</v>
      </c>
      <c r="E1934">
        <v>3.16</v>
      </c>
      <c r="F1934">
        <v>3.4</v>
      </c>
      <c r="G1934">
        <v>3.79</v>
      </c>
      <c r="H1934">
        <v>4.1500000000000004</v>
      </c>
      <c r="I1934">
        <v>4.72</v>
      </c>
      <c r="K1934">
        <f t="shared" si="243"/>
        <v>-0.99999999999997868</v>
      </c>
      <c r="L1934">
        <f t="shared" si="244"/>
        <v>-0.99999999999997868</v>
      </c>
      <c r="M1934">
        <f t="shared" si="245"/>
        <v>0</v>
      </c>
      <c r="N1934">
        <f t="shared" si="246"/>
        <v>1.0000000000000231</v>
      </c>
      <c r="O1934">
        <f t="shared" si="247"/>
        <v>2.0000000000000018</v>
      </c>
      <c r="P1934">
        <f t="shared" si="248"/>
        <v>4.9999999999999822</v>
      </c>
      <c r="Q1934">
        <f t="shared" si="249"/>
        <v>6.0000000000000497</v>
      </c>
      <c r="R1934">
        <f t="shared" si="250"/>
        <v>9.9999999999999645</v>
      </c>
    </row>
    <row r="1935" spans="1:18">
      <c r="A1935" s="9">
        <v>39535</v>
      </c>
      <c r="B1935">
        <v>2.39</v>
      </c>
      <c r="C1935">
        <v>2.56</v>
      </c>
      <c r="D1935">
        <v>2.88</v>
      </c>
      <c r="E1935">
        <v>3.19</v>
      </c>
      <c r="F1935">
        <v>3.44</v>
      </c>
      <c r="G1935">
        <v>3.82</v>
      </c>
      <c r="H1935">
        <v>4.18</v>
      </c>
      <c r="I1935">
        <v>4.74</v>
      </c>
      <c r="K1935">
        <f t="shared" si="243"/>
        <v>2.0000000000000018</v>
      </c>
      <c r="L1935">
        <f t="shared" si="244"/>
        <v>4.0000000000000036</v>
      </c>
      <c r="M1935">
        <f t="shared" si="245"/>
        <v>2.9999999999999805</v>
      </c>
      <c r="N1935">
        <f t="shared" si="246"/>
        <v>2.9999999999999805</v>
      </c>
      <c r="O1935">
        <f t="shared" si="247"/>
        <v>4.0000000000000036</v>
      </c>
      <c r="P1935">
        <f t="shared" si="248"/>
        <v>2.9999999999999805</v>
      </c>
      <c r="Q1935">
        <f t="shared" si="249"/>
        <v>2.9999999999999361</v>
      </c>
      <c r="R1935">
        <f t="shared" si="250"/>
        <v>2.0000000000000462</v>
      </c>
    </row>
    <row r="1936" spans="1:18">
      <c r="A1936" s="9">
        <v>39538</v>
      </c>
      <c r="B1936">
        <v>2.34</v>
      </c>
      <c r="C1936">
        <v>2.46</v>
      </c>
      <c r="D1936">
        <v>2.77</v>
      </c>
      <c r="E1936">
        <v>3.06</v>
      </c>
      <c r="F1936">
        <v>3.3</v>
      </c>
      <c r="G1936">
        <v>3.69</v>
      </c>
      <c r="H1936">
        <v>4.07</v>
      </c>
      <c r="I1936">
        <v>4.63</v>
      </c>
      <c r="K1936">
        <f t="shared" si="243"/>
        <v>-5.0000000000000266</v>
      </c>
      <c r="L1936">
        <f t="shared" si="244"/>
        <v>-10.000000000000009</v>
      </c>
      <c r="M1936">
        <f t="shared" si="245"/>
        <v>-10.999999999999988</v>
      </c>
      <c r="N1936">
        <f t="shared" si="246"/>
        <v>-12.999999999999989</v>
      </c>
      <c r="O1936">
        <f t="shared" si="247"/>
        <v>-14.000000000000012</v>
      </c>
      <c r="P1936">
        <f t="shared" si="248"/>
        <v>-12.999999999999989</v>
      </c>
      <c r="Q1936">
        <f t="shared" si="249"/>
        <v>-10.999999999999943</v>
      </c>
      <c r="R1936">
        <f t="shared" si="250"/>
        <v>-11.000000000000032</v>
      </c>
    </row>
    <row r="1937" spans="1:18">
      <c r="A1937" s="9">
        <v>39539</v>
      </c>
      <c r="B1937">
        <v>2.42</v>
      </c>
      <c r="C1937">
        <v>2.59</v>
      </c>
      <c r="D1937">
        <v>2.91</v>
      </c>
      <c r="E1937">
        <v>3.23</v>
      </c>
      <c r="F1937">
        <v>3.49</v>
      </c>
      <c r="G1937">
        <v>3.86</v>
      </c>
      <c r="H1937">
        <v>4.21</v>
      </c>
      <c r="I1937">
        <v>4.75</v>
      </c>
      <c r="K1937">
        <f t="shared" si="243"/>
        <v>8.0000000000000071</v>
      </c>
      <c r="L1937">
        <f t="shared" si="244"/>
        <v>12.999999999999989</v>
      </c>
      <c r="M1937">
        <f t="shared" si="245"/>
        <v>14.000000000000012</v>
      </c>
      <c r="N1937">
        <f t="shared" si="246"/>
        <v>16.999999999999993</v>
      </c>
      <c r="O1937">
        <f t="shared" si="247"/>
        <v>19.000000000000039</v>
      </c>
      <c r="P1937">
        <f t="shared" si="248"/>
        <v>16.999999999999993</v>
      </c>
      <c r="Q1937">
        <f t="shared" si="249"/>
        <v>13.999999999999968</v>
      </c>
      <c r="R1937">
        <f t="shared" si="250"/>
        <v>12.000000000000011</v>
      </c>
    </row>
    <row r="1938" spans="1:18">
      <c r="A1938" s="9">
        <v>39540</v>
      </c>
      <c r="B1938">
        <v>2.5499999999999998</v>
      </c>
      <c r="C1938">
        <v>2.75</v>
      </c>
      <c r="D1938">
        <v>3.08</v>
      </c>
      <c r="E1938">
        <v>3.37</v>
      </c>
      <c r="F1938">
        <v>3.6</v>
      </c>
      <c r="G1938">
        <v>3.95</v>
      </c>
      <c r="H1938">
        <v>4.2699999999999996</v>
      </c>
      <c r="I1938">
        <v>4.7699999999999996</v>
      </c>
      <c r="K1938">
        <f t="shared" si="243"/>
        <v>12.999999999999989</v>
      </c>
      <c r="L1938">
        <f t="shared" si="244"/>
        <v>16.000000000000014</v>
      </c>
      <c r="M1938">
        <f t="shared" si="245"/>
        <v>16.999999999999993</v>
      </c>
      <c r="N1938">
        <f t="shared" si="246"/>
        <v>14.000000000000012</v>
      </c>
      <c r="O1938">
        <f t="shared" si="247"/>
        <v>10.999999999999988</v>
      </c>
      <c r="P1938">
        <f t="shared" si="248"/>
        <v>9.0000000000000302</v>
      </c>
      <c r="Q1938">
        <f t="shared" si="249"/>
        <v>5.9999999999999609</v>
      </c>
      <c r="R1938">
        <f t="shared" si="250"/>
        <v>1.9999999999999574</v>
      </c>
    </row>
    <row r="1939" spans="1:18">
      <c r="A1939" s="9">
        <v>39541</v>
      </c>
      <c r="B1939">
        <v>2.52</v>
      </c>
      <c r="C1939">
        <v>2.71</v>
      </c>
      <c r="D1939">
        <v>3.04</v>
      </c>
      <c r="E1939">
        <v>3.34</v>
      </c>
      <c r="F1939">
        <v>3.56</v>
      </c>
      <c r="G1939">
        <v>3.9</v>
      </c>
      <c r="H1939">
        <v>4.22</v>
      </c>
      <c r="I1939">
        <v>4.74</v>
      </c>
      <c r="K1939">
        <f t="shared" si="243"/>
        <v>-2.9999999999999805</v>
      </c>
      <c r="L1939">
        <f t="shared" si="244"/>
        <v>-4.0000000000000036</v>
      </c>
      <c r="M1939">
        <f t="shared" si="245"/>
        <v>-4.0000000000000036</v>
      </c>
      <c r="N1939">
        <f t="shared" si="246"/>
        <v>-3.0000000000000249</v>
      </c>
      <c r="O1939">
        <f t="shared" si="247"/>
        <v>-4.0000000000000036</v>
      </c>
      <c r="P1939">
        <f t="shared" si="248"/>
        <v>-5.0000000000000266</v>
      </c>
      <c r="Q1939">
        <f t="shared" si="249"/>
        <v>-4.9999999999999822</v>
      </c>
      <c r="R1939">
        <f t="shared" si="250"/>
        <v>-2.9999999999999361</v>
      </c>
    </row>
    <row r="1940" spans="1:18">
      <c r="A1940" s="9">
        <v>39542</v>
      </c>
      <c r="B1940">
        <v>2.48</v>
      </c>
      <c r="C1940">
        <v>2.65</v>
      </c>
      <c r="D1940">
        <v>2.96</v>
      </c>
      <c r="E1940">
        <v>3.25</v>
      </c>
      <c r="F1940">
        <v>3.47</v>
      </c>
      <c r="G1940">
        <v>3.81</v>
      </c>
      <c r="H1940">
        <v>4.1399999999999997</v>
      </c>
      <c r="I1940">
        <v>4.67</v>
      </c>
      <c r="K1940">
        <f t="shared" si="243"/>
        <v>-4.0000000000000036</v>
      </c>
      <c r="L1940">
        <f t="shared" si="244"/>
        <v>-6.0000000000000053</v>
      </c>
      <c r="M1940">
        <f t="shared" si="245"/>
        <v>-8.0000000000000071</v>
      </c>
      <c r="N1940">
        <f t="shared" si="246"/>
        <v>-8.9999999999999858</v>
      </c>
      <c r="O1940">
        <f t="shared" si="247"/>
        <v>-8.9999999999999858</v>
      </c>
      <c r="P1940">
        <f t="shared" si="248"/>
        <v>-8.9999999999999858</v>
      </c>
      <c r="Q1940">
        <f t="shared" si="249"/>
        <v>-8.0000000000000071</v>
      </c>
      <c r="R1940">
        <f t="shared" si="250"/>
        <v>-7.0000000000000284</v>
      </c>
    </row>
    <row r="1941" spans="1:18">
      <c r="A1941" s="9">
        <v>39545</v>
      </c>
      <c r="B1941">
        <v>2.5</v>
      </c>
      <c r="C1941">
        <v>2.69</v>
      </c>
      <c r="D1941">
        <v>3.02</v>
      </c>
      <c r="E1941">
        <v>3.29</v>
      </c>
      <c r="F1941">
        <v>3.5</v>
      </c>
      <c r="G1941">
        <v>3.83</v>
      </c>
      <c r="H1941">
        <v>4.16</v>
      </c>
      <c r="I1941">
        <v>4.6900000000000004</v>
      </c>
      <c r="K1941">
        <f t="shared" si="243"/>
        <v>2.0000000000000018</v>
      </c>
      <c r="L1941">
        <f t="shared" si="244"/>
        <v>4.0000000000000036</v>
      </c>
      <c r="M1941">
        <f t="shared" si="245"/>
        <v>6.0000000000000053</v>
      </c>
      <c r="N1941">
        <f t="shared" si="246"/>
        <v>4.0000000000000036</v>
      </c>
      <c r="O1941">
        <f t="shared" si="247"/>
        <v>2.9999999999999805</v>
      </c>
      <c r="P1941">
        <f t="shared" si="248"/>
        <v>2.0000000000000018</v>
      </c>
      <c r="Q1941">
        <f t="shared" si="249"/>
        <v>2.0000000000000462</v>
      </c>
      <c r="R1941">
        <f t="shared" si="250"/>
        <v>2.0000000000000462</v>
      </c>
    </row>
    <row r="1942" spans="1:18">
      <c r="A1942" s="9">
        <v>39546</v>
      </c>
      <c r="B1942">
        <v>2.5</v>
      </c>
      <c r="C1942">
        <v>2.68</v>
      </c>
      <c r="D1942">
        <v>2.98</v>
      </c>
      <c r="E1942">
        <v>3.27</v>
      </c>
      <c r="F1942">
        <v>3.5</v>
      </c>
      <c r="G1942">
        <v>3.84</v>
      </c>
      <c r="H1942">
        <v>4.18</v>
      </c>
      <c r="I1942">
        <v>4.7</v>
      </c>
      <c r="K1942">
        <f t="shared" si="243"/>
        <v>0</v>
      </c>
      <c r="L1942">
        <f t="shared" si="244"/>
        <v>-0.99999999999997868</v>
      </c>
      <c r="M1942">
        <f t="shared" si="245"/>
        <v>-4.0000000000000036</v>
      </c>
      <c r="N1942">
        <f t="shared" si="246"/>
        <v>-2.0000000000000018</v>
      </c>
      <c r="O1942">
        <f t="shared" si="247"/>
        <v>0</v>
      </c>
      <c r="P1942">
        <f t="shared" si="248"/>
        <v>0.99999999999997868</v>
      </c>
      <c r="Q1942">
        <f t="shared" si="249"/>
        <v>1.9999999999999574</v>
      </c>
      <c r="R1942">
        <f t="shared" si="250"/>
        <v>0.99999999999997868</v>
      </c>
    </row>
    <row r="1943" spans="1:18">
      <c r="A1943" s="9">
        <v>39547</v>
      </c>
      <c r="B1943">
        <v>2.4900000000000002</v>
      </c>
      <c r="C1943">
        <v>2.59</v>
      </c>
      <c r="D1943">
        <v>2.9</v>
      </c>
      <c r="E1943">
        <v>3.2</v>
      </c>
      <c r="F1943">
        <v>3.44</v>
      </c>
      <c r="G1943">
        <v>3.81</v>
      </c>
      <c r="H1943">
        <v>4.16</v>
      </c>
      <c r="I1943">
        <v>4.71</v>
      </c>
      <c r="K1943">
        <f t="shared" si="243"/>
        <v>-0.99999999999997868</v>
      </c>
      <c r="L1943">
        <f t="shared" si="244"/>
        <v>-9.0000000000000302</v>
      </c>
      <c r="M1943">
        <f t="shared" si="245"/>
        <v>-8.0000000000000071</v>
      </c>
      <c r="N1943">
        <f t="shared" si="246"/>
        <v>-6.999999999999984</v>
      </c>
      <c r="O1943">
        <f t="shared" si="247"/>
        <v>-6.0000000000000053</v>
      </c>
      <c r="P1943">
        <f t="shared" si="248"/>
        <v>-2.9999999999999805</v>
      </c>
      <c r="Q1943">
        <f t="shared" si="249"/>
        <v>-1.9999999999999574</v>
      </c>
      <c r="R1943">
        <f t="shared" si="250"/>
        <v>0.99999999999997868</v>
      </c>
    </row>
    <row r="1944" spans="1:18">
      <c r="A1944" s="9">
        <v>39548</v>
      </c>
      <c r="B1944">
        <v>2.48</v>
      </c>
      <c r="C1944">
        <v>2.58</v>
      </c>
      <c r="D1944">
        <v>2.88</v>
      </c>
      <c r="E1944">
        <v>3.18</v>
      </c>
      <c r="F1944">
        <v>3.42</v>
      </c>
      <c r="G1944">
        <v>3.79</v>
      </c>
      <c r="H1944">
        <v>4.1399999999999997</v>
      </c>
      <c r="I1944">
        <v>4.7</v>
      </c>
      <c r="K1944">
        <f t="shared" si="243"/>
        <v>-1.0000000000000231</v>
      </c>
      <c r="L1944">
        <f t="shared" si="244"/>
        <v>-0.99999999999997868</v>
      </c>
      <c r="M1944">
        <f t="shared" si="245"/>
        <v>-2.0000000000000018</v>
      </c>
      <c r="N1944">
        <f t="shared" si="246"/>
        <v>-2.0000000000000018</v>
      </c>
      <c r="O1944">
        <f t="shared" si="247"/>
        <v>-2.0000000000000018</v>
      </c>
      <c r="P1944">
        <f t="shared" si="248"/>
        <v>-2.0000000000000018</v>
      </c>
      <c r="Q1944">
        <f t="shared" si="249"/>
        <v>-2.0000000000000462</v>
      </c>
      <c r="R1944">
        <f t="shared" si="250"/>
        <v>-0.99999999999997868</v>
      </c>
    </row>
    <row r="1945" spans="1:18">
      <c r="A1945" s="9">
        <v>39549</v>
      </c>
      <c r="B1945">
        <v>2.48</v>
      </c>
      <c r="C1945">
        <v>2.58</v>
      </c>
      <c r="D1945">
        <v>2.88</v>
      </c>
      <c r="E1945">
        <v>3.16</v>
      </c>
      <c r="F1945">
        <v>3.39</v>
      </c>
      <c r="G1945">
        <v>3.76</v>
      </c>
      <c r="H1945">
        <v>4.1100000000000003</v>
      </c>
      <c r="I1945">
        <v>4.6500000000000004</v>
      </c>
      <c r="K1945">
        <f t="shared" si="243"/>
        <v>0</v>
      </c>
      <c r="L1945">
        <f t="shared" si="244"/>
        <v>0</v>
      </c>
      <c r="M1945">
        <f t="shared" si="245"/>
        <v>0</v>
      </c>
      <c r="N1945">
        <f t="shared" si="246"/>
        <v>-2.0000000000000018</v>
      </c>
      <c r="O1945">
        <f t="shared" si="247"/>
        <v>-2.9999999999999805</v>
      </c>
      <c r="P1945">
        <f t="shared" si="248"/>
        <v>-3.0000000000000249</v>
      </c>
      <c r="Q1945">
        <f t="shared" si="249"/>
        <v>-2.9999999999999361</v>
      </c>
      <c r="R1945">
        <f t="shared" si="250"/>
        <v>-4.9999999999999822</v>
      </c>
    </row>
    <row r="1946" spans="1:18">
      <c r="A1946" s="9">
        <v>39552</v>
      </c>
      <c r="B1946">
        <v>2.48</v>
      </c>
      <c r="C1946">
        <v>2.59</v>
      </c>
      <c r="D1946">
        <v>2.88</v>
      </c>
      <c r="E1946">
        <v>3.17</v>
      </c>
      <c r="F1946">
        <v>3.41</v>
      </c>
      <c r="G1946">
        <v>3.77</v>
      </c>
      <c r="H1946">
        <v>4.13</v>
      </c>
      <c r="I1946">
        <v>4.67</v>
      </c>
      <c r="K1946">
        <f t="shared" si="243"/>
        <v>0</v>
      </c>
      <c r="L1946">
        <f t="shared" si="244"/>
        <v>0.99999999999997868</v>
      </c>
      <c r="M1946">
        <f t="shared" si="245"/>
        <v>0</v>
      </c>
      <c r="N1946">
        <f t="shared" si="246"/>
        <v>0.99999999999997868</v>
      </c>
      <c r="O1946">
        <f t="shared" si="247"/>
        <v>2.0000000000000018</v>
      </c>
      <c r="P1946">
        <f t="shared" si="248"/>
        <v>1.0000000000000231</v>
      </c>
      <c r="Q1946">
        <f t="shared" si="249"/>
        <v>1.9999999999999574</v>
      </c>
      <c r="R1946">
        <f t="shared" si="250"/>
        <v>1.9999999999999574</v>
      </c>
    </row>
    <row r="1947" spans="1:18">
      <c r="A1947" s="9">
        <v>39553</v>
      </c>
      <c r="B1947">
        <v>2.56</v>
      </c>
      <c r="C1947">
        <v>2.68</v>
      </c>
      <c r="D1947">
        <v>2.98</v>
      </c>
      <c r="E1947">
        <v>3.28</v>
      </c>
      <c r="F1947">
        <v>3.52</v>
      </c>
      <c r="G1947">
        <v>3.88</v>
      </c>
      <c r="H1947">
        <v>4.24</v>
      </c>
      <c r="I1947">
        <v>4.78</v>
      </c>
      <c r="K1947">
        <f t="shared" si="243"/>
        <v>8.0000000000000071</v>
      </c>
      <c r="L1947">
        <f t="shared" si="244"/>
        <v>9.0000000000000302</v>
      </c>
      <c r="M1947">
        <f t="shared" si="245"/>
        <v>10.000000000000009</v>
      </c>
      <c r="N1947">
        <f t="shared" si="246"/>
        <v>10.999999999999988</v>
      </c>
      <c r="O1947">
        <f t="shared" si="247"/>
        <v>10.999999999999988</v>
      </c>
      <c r="P1947">
        <f t="shared" si="248"/>
        <v>10.999999999999988</v>
      </c>
      <c r="Q1947">
        <f t="shared" si="249"/>
        <v>11.000000000000032</v>
      </c>
      <c r="R1947">
        <f t="shared" si="250"/>
        <v>11.000000000000032</v>
      </c>
    </row>
    <row r="1948" spans="1:18">
      <c r="A1948" s="9">
        <v>39554</v>
      </c>
      <c r="B1948">
        <v>2.69</v>
      </c>
      <c r="C1948">
        <v>2.84</v>
      </c>
      <c r="D1948">
        <v>3.12</v>
      </c>
      <c r="E1948">
        <v>3.41</v>
      </c>
      <c r="F1948">
        <v>3.64</v>
      </c>
      <c r="G1948">
        <v>3.98</v>
      </c>
      <c r="H1948">
        <v>4.33</v>
      </c>
      <c r="I1948">
        <v>4.8600000000000003</v>
      </c>
      <c r="K1948">
        <f t="shared" si="243"/>
        <v>12.999999999999989</v>
      </c>
      <c r="L1948">
        <f t="shared" si="244"/>
        <v>15.99999999999997</v>
      </c>
      <c r="M1948">
        <f t="shared" si="245"/>
        <v>14.000000000000012</v>
      </c>
      <c r="N1948">
        <f t="shared" si="246"/>
        <v>13.000000000000034</v>
      </c>
      <c r="O1948">
        <f t="shared" si="247"/>
        <v>12.000000000000011</v>
      </c>
      <c r="P1948">
        <f t="shared" si="248"/>
        <v>10.000000000000009</v>
      </c>
      <c r="Q1948">
        <f t="shared" si="249"/>
        <v>8.9999999999999858</v>
      </c>
      <c r="R1948">
        <f t="shared" si="250"/>
        <v>8.0000000000000071</v>
      </c>
    </row>
    <row r="1949" spans="1:18">
      <c r="A1949" s="9">
        <v>39555</v>
      </c>
      <c r="B1949">
        <v>2.84</v>
      </c>
      <c r="C1949">
        <v>3.02</v>
      </c>
      <c r="D1949">
        <v>3.31</v>
      </c>
      <c r="E1949">
        <v>3.59</v>
      </c>
      <c r="F1949">
        <v>3.82</v>
      </c>
      <c r="G1949">
        <v>4.1399999999999997</v>
      </c>
      <c r="H1949">
        <v>4.45</v>
      </c>
      <c r="I1949">
        <v>4.9400000000000004</v>
      </c>
      <c r="K1949">
        <f t="shared" si="243"/>
        <v>14.999999999999991</v>
      </c>
      <c r="L1949">
        <f t="shared" si="244"/>
        <v>18.000000000000014</v>
      </c>
      <c r="M1949">
        <f t="shared" si="245"/>
        <v>18.999999999999993</v>
      </c>
      <c r="N1949">
        <f t="shared" si="246"/>
        <v>17.999999999999972</v>
      </c>
      <c r="O1949">
        <f t="shared" si="247"/>
        <v>17.999999999999972</v>
      </c>
      <c r="P1949">
        <f t="shared" si="248"/>
        <v>15.99999999999997</v>
      </c>
      <c r="Q1949">
        <f t="shared" si="249"/>
        <v>12.000000000000011</v>
      </c>
      <c r="R1949">
        <f t="shared" si="250"/>
        <v>8.0000000000000071</v>
      </c>
    </row>
    <row r="1950" spans="1:18">
      <c r="A1950" s="9">
        <v>39556</v>
      </c>
      <c r="B1950">
        <v>3.02</v>
      </c>
      <c r="C1950">
        <v>3.22</v>
      </c>
      <c r="D1950">
        <v>3.5</v>
      </c>
      <c r="E1950">
        <v>3.76</v>
      </c>
      <c r="F1950">
        <v>3.97</v>
      </c>
      <c r="G1950">
        <v>4.2699999999999996</v>
      </c>
      <c r="H1950">
        <v>4.5599999999999996</v>
      </c>
      <c r="I1950">
        <v>4.9800000000000004</v>
      </c>
      <c r="K1950">
        <f t="shared" si="243"/>
        <v>18.000000000000014</v>
      </c>
      <c r="L1950">
        <f t="shared" si="244"/>
        <v>20.000000000000018</v>
      </c>
      <c r="M1950">
        <f t="shared" si="245"/>
        <v>18.999999999999993</v>
      </c>
      <c r="N1950">
        <f t="shared" si="246"/>
        <v>16.999999999999993</v>
      </c>
      <c r="O1950">
        <f t="shared" si="247"/>
        <v>15.000000000000036</v>
      </c>
      <c r="P1950">
        <f t="shared" si="248"/>
        <v>12.999999999999989</v>
      </c>
      <c r="Q1950">
        <f t="shared" si="249"/>
        <v>10.999999999999943</v>
      </c>
      <c r="R1950">
        <f t="shared" si="250"/>
        <v>4.0000000000000036</v>
      </c>
    </row>
    <row r="1951" spans="1:18">
      <c r="A1951" s="9">
        <v>39559</v>
      </c>
      <c r="B1951">
        <v>2.91</v>
      </c>
      <c r="C1951">
        <v>3.06</v>
      </c>
      <c r="D1951">
        <v>3.33</v>
      </c>
      <c r="E1951">
        <v>3.57</v>
      </c>
      <c r="F1951">
        <v>3.76</v>
      </c>
      <c r="G1951">
        <v>4.07</v>
      </c>
      <c r="H1951">
        <v>4.3600000000000003</v>
      </c>
      <c r="I1951">
        <v>4.8600000000000003</v>
      </c>
      <c r="K1951">
        <f t="shared" si="243"/>
        <v>-10.999999999999988</v>
      </c>
      <c r="L1951">
        <f t="shared" si="244"/>
        <v>-16.000000000000014</v>
      </c>
      <c r="M1951">
        <f t="shared" si="245"/>
        <v>-16.999999999999993</v>
      </c>
      <c r="N1951">
        <f t="shared" si="246"/>
        <v>-18.999999999999993</v>
      </c>
      <c r="O1951">
        <f t="shared" si="247"/>
        <v>-21.000000000000043</v>
      </c>
      <c r="P1951">
        <f t="shared" si="248"/>
        <v>-19.999999999999929</v>
      </c>
      <c r="Q1951">
        <f t="shared" si="249"/>
        <v>-19.999999999999929</v>
      </c>
      <c r="R1951">
        <f t="shared" si="250"/>
        <v>-12.000000000000011</v>
      </c>
    </row>
    <row r="1952" spans="1:18">
      <c r="A1952" s="9">
        <v>39560</v>
      </c>
      <c r="B1952">
        <v>2.93</v>
      </c>
      <c r="C1952">
        <v>3.09</v>
      </c>
      <c r="D1952">
        <v>3.34</v>
      </c>
      <c r="E1952">
        <v>3.58</v>
      </c>
      <c r="F1952">
        <v>3.78</v>
      </c>
      <c r="G1952">
        <v>4.07</v>
      </c>
      <c r="H1952">
        <v>4.34</v>
      </c>
      <c r="I1952">
        <v>4.8099999999999996</v>
      </c>
      <c r="K1952">
        <f t="shared" si="243"/>
        <v>2.0000000000000018</v>
      </c>
      <c r="L1952">
        <f t="shared" si="244"/>
        <v>2.9999999999999805</v>
      </c>
      <c r="M1952">
        <f t="shared" si="245"/>
        <v>0.99999999999997868</v>
      </c>
      <c r="N1952">
        <f t="shared" si="246"/>
        <v>1.0000000000000231</v>
      </c>
      <c r="O1952">
        <f t="shared" si="247"/>
        <v>2.0000000000000018</v>
      </c>
      <c r="P1952">
        <f t="shared" si="248"/>
        <v>0</v>
      </c>
      <c r="Q1952">
        <f t="shared" si="249"/>
        <v>-2.0000000000000462</v>
      </c>
      <c r="R1952">
        <f t="shared" si="250"/>
        <v>-5.0000000000000711</v>
      </c>
    </row>
    <row r="1953" spans="1:18">
      <c r="A1953" s="9">
        <v>39561</v>
      </c>
      <c r="B1953">
        <v>2.93</v>
      </c>
      <c r="C1953">
        <v>3.11</v>
      </c>
      <c r="D1953">
        <v>3.36</v>
      </c>
      <c r="E1953">
        <v>3.6</v>
      </c>
      <c r="F1953">
        <v>3.79</v>
      </c>
      <c r="G1953">
        <v>4.08</v>
      </c>
      <c r="H1953">
        <v>4.38</v>
      </c>
      <c r="I1953">
        <v>4.8600000000000003</v>
      </c>
      <c r="K1953">
        <f t="shared" si="243"/>
        <v>0</v>
      </c>
      <c r="L1953">
        <f t="shared" si="244"/>
        <v>2.0000000000000018</v>
      </c>
      <c r="M1953">
        <f t="shared" si="245"/>
        <v>2.0000000000000018</v>
      </c>
      <c r="N1953">
        <f t="shared" si="246"/>
        <v>2.0000000000000018</v>
      </c>
      <c r="O1953">
        <f t="shared" si="247"/>
        <v>1.0000000000000231</v>
      </c>
      <c r="P1953">
        <f t="shared" si="248"/>
        <v>0.99999999999997868</v>
      </c>
      <c r="Q1953">
        <f t="shared" si="249"/>
        <v>4.0000000000000036</v>
      </c>
      <c r="R1953">
        <f t="shared" si="250"/>
        <v>5.0000000000000711</v>
      </c>
    </row>
    <row r="1954" spans="1:18">
      <c r="A1954" s="9">
        <v>39562</v>
      </c>
      <c r="B1954">
        <v>2.99</v>
      </c>
      <c r="C1954">
        <v>3.21</v>
      </c>
      <c r="D1954">
        <v>3.47</v>
      </c>
      <c r="E1954">
        <v>3.71</v>
      </c>
      <c r="F1954">
        <v>3.89</v>
      </c>
      <c r="G1954">
        <v>4.18</v>
      </c>
      <c r="H1954">
        <v>4.46</v>
      </c>
      <c r="I1954">
        <v>4.93</v>
      </c>
      <c r="K1954">
        <f t="shared" si="243"/>
        <v>6.0000000000000053</v>
      </c>
      <c r="L1954">
        <f t="shared" si="244"/>
        <v>10.000000000000009</v>
      </c>
      <c r="M1954">
        <f t="shared" si="245"/>
        <v>11.000000000000032</v>
      </c>
      <c r="N1954">
        <f t="shared" si="246"/>
        <v>10.999999999999988</v>
      </c>
      <c r="O1954">
        <f t="shared" si="247"/>
        <v>10.000000000000009</v>
      </c>
      <c r="P1954">
        <f t="shared" si="248"/>
        <v>9.9999999999999645</v>
      </c>
      <c r="Q1954">
        <f t="shared" si="249"/>
        <v>8.0000000000000071</v>
      </c>
      <c r="R1954">
        <f t="shared" si="250"/>
        <v>6.9999999999999396</v>
      </c>
    </row>
    <row r="1955" spans="1:18">
      <c r="A1955" s="9">
        <v>39563</v>
      </c>
      <c r="B1955">
        <v>3.06</v>
      </c>
      <c r="C1955">
        <v>3.31</v>
      </c>
      <c r="D1955">
        <v>3.56</v>
      </c>
      <c r="E1955">
        <v>3.79</v>
      </c>
      <c r="F1955">
        <v>3.97</v>
      </c>
      <c r="G1955">
        <v>4.25</v>
      </c>
      <c r="H1955">
        <v>4.5199999999999996</v>
      </c>
      <c r="I1955">
        <v>4.96</v>
      </c>
      <c r="K1955">
        <f t="shared" si="243"/>
        <v>6.999999999999984</v>
      </c>
      <c r="L1955">
        <f t="shared" si="244"/>
        <v>10.000000000000009</v>
      </c>
      <c r="M1955">
        <f t="shared" si="245"/>
        <v>8.9999999999999858</v>
      </c>
      <c r="N1955">
        <f t="shared" si="246"/>
        <v>8.0000000000000071</v>
      </c>
      <c r="O1955">
        <f t="shared" si="247"/>
        <v>8.0000000000000071</v>
      </c>
      <c r="P1955">
        <f t="shared" si="248"/>
        <v>7.0000000000000284</v>
      </c>
      <c r="Q1955">
        <f t="shared" si="249"/>
        <v>5.9999999999999609</v>
      </c>
      <c r="R1955">
        <f t="shared" si="250"/>
        <v>3.0000000000000249</v>
      </c>
    </row>
    <row r="1956" spans="1:18">
      <c r="A1956" s="9">
        <v>39566</v>
      </c>
      <c r="B1956">
        <v>2.99</v>
      </c>
      <c r="C1956">
        <v>3.24</v>
      </c>
      <c r="D1956">
        <v>3.51</v>
      </c>
      <c r="E1956">
        <v>3.74</v>
      </c>
      <c r="F1956">
        <v>3.92</v>
      </c>
      <c r="G1956">
        <v>4.21</v>
      </c>
      <c r="H1956">
        <v>4.49</v>
      </c>
      <c r="I1956">
        <v>4.95</v>
      </c>
      <c r="K1956">
        <f t="shared" si="243"/>
        <v>-6.999999999999984</v>
      </c>
      <c r="L1956">
        <f t="shared" si="244"/>
        <v>-6.999999999999984</v>
      </c>
      <c r="M1956">
        <f t="shared" si="245"/>
        <v>-5.0000000000000266</v>
      </c>
      <c r="N1956">
        <f t="shared" si="246"/>
        <v>-4.9999999999999822</v>
      </c>
      <c r="O1956">
        <f t="shared" si="247"/>
        <v>-5.0000000000000266</v>
      </c>
      <c r="P1956">
        <f t="shared" si="248"/>
        <v>-4.0000000000000036</v>
      </c>
      <c r="Q1956">
        <f t="shared" si="249"/>
        <v>-2.9999999999999361</v>
      </c>
      <c r="R1956">
        <f t="shared" si="250"/>
        <v>-0.99999999999997868</v>
      </c>
    </row>
    <row r="1957" spans="1:18">
      <c r="A1957" s="9">
        <v>39567</v>
      </c>
      <c r="B1957">
        <v>2.93</v>
      </c>
      <c r="C1957">
        <v>3.16</v>
      </c>
      <c r="D1957">
        <v>3.43</v>
      </c>
      <c r="E1957">
        <v>3.65</v>
      </c>
      <c r="F1957">
        <v>3.83</v>
      </c>
      <c r="G1957">
        <v>4.12</v>
      </c>
      <c r="H1957">
        <v>4.3899999999999997</v>
      </c>
      <c r="I1957">
        <v>4.84</v>
      </c>
      <c r="K1957">
        <f t="shared" si="243"/>
        <v>-6.0000000000000053</v>
      </c>
      <c r="L1957">
        <f t="shared" si="244"/>
        <v>-8.0000000000000071</v>
      </c>
      <c r="M1957">
        <f t="shared" si="245"/>
        <v>-7.9999999999999627</v>
      </c>
      <c r="N1957">
        <f t="shared" si="246"/>
        <v>-9.0000000000000302</v>
      </c>
      <c r="O1957">
        <f t="shared" si="247"/>
        <v>-8.9999999999999858</v>
      </c>
      <c r="P1957">
        <f t="shared" si="248"/>
        <v>-8.9999999999999858</v>
      </c>
      <c r="Q1957">
        <f t="shared" si="249"/>
        <v>-10.000000000000053</v>
      </c>
      <c r="R1957">
        <f t="shared" si="250"/>
        <v>-11.000000000000032</v>
      </c>
    </row>
    <row r="1958" spans="1:18">
      <c r="A1958" s="9">
        <v>39568</v>
      </c>
      <c r="B1958">
        <v>2.94</v>
      </c>
      <c r="C1958">
        <v>3.2</v>
      </c>
      <c r="D1958">
        <v>3.47</v>
      </c>
      <c r="E1958">
        <v>3.69</v>
      </c>
      <c r="F1958">
        <v>3.87</v>
      </c>
      <c r="G1958">
        <v>4.16</v>
      </c>
      <c r="H1958">
        <v>4.43</v>
      </c>
      <c r="I1958">
        <v>4.87</v>
      </c>
      <c r="K1958">
        <f t="shared" si="243"/>
        <v>0.99999999999997868</v>
      </c>
      <c r="L1958">
        <f t="shared" si="244"/>
        <v>4.0000000000000036</v>
      </c>
      <c r="M1958">
        <f t="shared" si="245"/>
        <v>4.0000000000000036</v>
      </c>
      <c r="N1958">
        <f t="shared" si="246"/>
        <v>4.0000000000000036</v>
      </c>
      <c r="O1958">
        <f t="shared" si="247"/>
        <v>4.0000000000000036</v>
      </c>
      <c r="P1958">
        <f t="shared" si="248"/>
        <v>4.0000000000000036</v>
      </c>
      <c r="Q1958">
        <f t="shared" si="249"/>
        <v>4.0000000000000036</v>
      </c>
      <c r="R1958">
        <f t="shared" si="250"/>
        <v>3.0000000000000249</v>
      </c>
    </row>
    <row r="1959" spans="1:18">
      <c r="A1959" s="9">
        <v>39569</v>
      </c>
      <c r="B1959">
        <v>2.82</v>
      </c>
      <c r="C1959">
        <v>3.08</v>
      </c>
      <c r="D1959">
        <v>3.35</v>
      </c>
      <c r="E1959">
        <v>3.58</v>
      </c>
      <c r="F1959">
        <v>3.75</v>
      </c>
      <c r="G1959">
        <v>4.03</v>
      </c>
      <c r="H1959">
        <v>4.32</v>
      </c>
      <c r="I1959">
        <v>4.78</v>
      </c>
      <c r="K1959">
        <f t="shared" si="243"/>
        <v>-12.000000000000011</v>
      </c>
      <c r="L1959">
        <f t="shared" si="244"/>
        <v>-12.000000000000011</v>
      </c>
      <c r="M1959">
        <f t="shared" si="245"/>
        <v>-12.000000000000011</v>
      </c>
      <c r="N1959">
        <f t="shared" si="246"/>
        <v>-10.999999999999988</v>
      </c>
      <c r="O1959">
        <f t="shared" si="247"/>
        <v>-12.000000000000011</v>
      </c>
      <c r="P1959">
        <f t="shared" si="248"/>
        <v>-12.999999999999989</v>
      </c>
      <c r="Q1959">
        <f t="shared" si="249"/>
        <v>-10.999999999999943</v>
      </c>
      <c r="R1959">
        <f t="shared" si="250"/>
        <v>-8.9999999999999858</v>
      </c>
    </row>
    <row r="1960" spans="1:18">
      <c r="A1960" s="9">
        <v>39570</v>
      </c>
      <c r="B1960">
        <v>2.87</v>
      </c>
      <c r="C1960">
        <v>3.23</v>
      </c>
      <c r="D1960">
        <v>3.53</v>
      </c>
      <c r="E1960">
        <v>3.75</v>
      </c>
      <c r="F1960">
        <v>3.93</v>
      </c>
      <c r="G1960">
        <v>4.2</v>
      </c>
      <c r="H1960">
        <v>4.47</v>
      </c>
      <c r="I1960">
        <v>4.8899999999999997</v>
      </c>
      <c r="K1960">
        <f t="shared" si="243"/>
        <v>5.0000000000000266</v>
      </c>
      <c r="L1960">
        <f t="shared" si="244"/>
        <v>14.999999999999991</v>
      </c>
      <c r="M1960">
        <f t="shared" si="245"/>
        <v>17.999999999999972</v>
      </c>
      <c r="N1960">
        <f t="shared" si="246"/>
        <v>16.999999999999993</v>
      </c>
      <c r="O1960">
        <f t="shared" si="247"/>
        <v>18.000000000000014</v>
      </c>
      <c r="P1960">
        <f t="shared" si="248"/>
        <v>16.999999999999993</v>
      </c>
      <c r="Q1960">
        <f t="shared" si="249"/>
        <v>14.999999999999947</v>
      </c>
      <c r="R1960">
        <f t="shared" si="250"/>
        <v>10.999999999999943</v>
      </c>
    </row>
    <row r="1961" spans="1:18">
      <c r="A1961" s="9">
        <v>39573</v>
      </c>
      <c r="B1961">
        <v>2.87</v>
      </c>
      <c r="C1961">
        <v>3.21</v>
      </c>
      <c r="D1961">
        <v>3.51</v>
      </c>
      <c r="E1961">
        <v>3.73</v>
      </c>
      <c r="F1961">
        <v>3.91</v>
      </c>
      <c r="G1961">
        <v>4.1900000000000004</v>
      </c>
      <c r="H1961">
        <v>4.47</v>
      </c>
      <c r="I1961">
        <v>4.92</v>
      </c>
      <c r="K1961">
        <f t="shared" si="243"/>
        <v>0</v>
      </c>
      <c r="L1961">
        <f t="shared" si="244"/>
        <v>-2.0000000000000018</v>
      </c>
      <c r="M1961">
        <f t="shared" si="245"/>
        <v>-2.0000000000000018</v>
      </c>
      <c r="N1961">
        <f t="shared" si="246"/>
        <v>-2.0000000000000018</v>
      </c>
      <c r="O1961">
        <f t="shared" si="247"/>
        <v>-2.0000000000000018</v>
      </c>
      <c r="P1961">
        <f t="shared" si="248"/>
        <v>-0.99999999999997868</v>
      </c>
      <c r="Q1961">
        <f t="shared" si="249"/>
        <v>0</v>
      </c>
      <c r="R1961">
        <f t="shared" si="250"/>
        <v>3.0000000000000249</v>
      </c>
    </row>
    <row r="1962" spans="1:18">
      <c r="A1962" s="9">
        <v>39574</v>
      </c>
      <c r="B1962">
        <v>2.84</v>
      </c>
      <c r="C1962">
        <v>3.16</v>
      </c>
      <c r="D1962">
        <v>3.46</v>
      </c>
      <c r="E1962">
        <v>3.7</v>
      </c>
      <c r="F1962">
        <v>3.88</v>
      </c>
      <c r="G1962">
        <v>4.17</v>
      </c>
      <c r="H1962">
        <v>4.45</v>
      </c>
      <c r="I1962">
        <v>4.91</v>
      </c>
      <c r="K1962">
        <f t="shared" si="243"/>
        <v>-3.0000000000000249</v>
      </c>
      <c r="L1962">
        <f t="shared" si="244"/>
        <v>-4.9999999999999822</v>
      </c>
      <c r="M1962">
        <f t="shared" si="245"/>
        <v>-4.9999999999999822</v>
      </c>
      <c r="N1962">
        <f t="shared" si="246"/>
        <v>-2.9999999999999805</v>
      </c>
      <c r="O1962">
        <f t="shared" si="247"/>
        <v>-3.0000000000000249</v>
      </c>
      <c r="P1962">
        <f t="shared" si="248"/>
        <v>-2.0000000000000462</v>
      </c>
      <c r="Q1962">
        <f t="shared" si="249"/>
        <v>-1.9999999999999574</v>
      </c>
      <c r="R1962">
        <f t="shared" si="250"/>
        <v>-0.99999999999997868</v>
      </c>
    </row>
    <row r="1963" spans="1:18">
      <c r="A1963" s="9">
        <v>39575</v>
      </c>
      <c r="B1963">
        <v>2.86</v>
      </c>
      <c r="C1963">
        <v>3.19</v>
      </c>
      <c r="D1963">
        <v>3.51</v>
      </c>
      <c r="E1963">
        <v>3.76</v>
      </c>
      <c r="F1963">
        <v>3.95</v>
      </c>
      <c r="G1963">
        <v>4.25</v>
      </c>
      <c r="H1963">
        <v>4.54</v>
      </c>
      <c r="I1963">
        <v>4.99</v>
      </c>
      <c r="K1963">
        <f t="shared" si="243"/>
        <v>2.0000000000000018</v>
      </c>
      <c r="L1963">
        <f t="shared" si="244"/>
        <v>2.9999999999999805</v>
      </c>
      <c r="M1963">
        <f t="shared" si="245"/>
        <v>4.9999999999999822</v>
      </c>
      <c r="N1963">
        <f t="shared" si="246"/>
        <v>5.9999999999999609</v>
      </c>
      <c r="O1963">
        <f t="shared" si="247"/>
        <v>7.0000000000000284</v>
      </c>
      <c r="P1963">
        <f t="shared" si="248"/>
        <v>8.0000000000000071</v>
      </c>
      <c r="Q1963">
        <f t="shared" si="249"/>
        <v>8.9999999999999858</v>
      </c>
      <c r="R1963">
        <f t="shared" si="250"/>
        <v>8.0000000000000071</v>
      </c>
    </row>
    <row r="1964" spans="1:18">
      <c r="A1964" s="9">
        <v>39576</v>
      </c>
      <c r="B1964">
        <v>2.75</v>
      </c>
      <c r="C1964">
        <v>3.02</v>
      </c>
      <c r="D1964">
        <v>3.32</v>
      </c>
      <c r="E1964">
        <v>3.59</v>
      </c>
      <c r="F1964">
        <v>3.78</v>
      </c>
      <c r="G1964">
        <v>4.0999999999999996</v>
      </c>
      <c r="H1964">
        <v>4.4000000000000004</v>
      </c>
      <c r="I1964">
        <v>4.87</v>
      </c>
      <c r="K1964">
        <f t="shared" si="243"/>
        <v>-10.999999999999988</v>
      </c>
      <c r="L1964">
        <f t="shared" si="244"/>
        <v>-16.999999999999993</v>
      </c>
      <c r="M1964">
        <f t="shared" si="245"/>
        <v>-18.999999999999993</v>
      </c>
      <c r="N1964">
        <f t="shared" si="246"/>
        <v>-16.999999999999993</v>
      </c>
      <c r="O1964">
        <f t="shared" si="247"/>
        <v>-17.000000000000036</v>
      </c>
      <c r="P1964">
        <f t="shared" si="248"/>
        <v>-15.000000000000036</v>
      </c>
      <c r="Q1964">
        <f t="shared" si="249"/>
        <v>-13.999999999999968</v>
      </c>
      <c r="R1964">
        <f t="shared" si="250"/>
        <v>-12.000000000000011</v>
      </c>
    </row>
    <row r="1965" spans="1:18">
      <c r="A1965" s="9">
        <v>39577</v>
      </c>
      <c r="B1965">
        <v>2.75</v>
      </c>
      <c r="C1965">
        <v>3.01</v>
      </c>
      <c r="D1965">
        <v>3.31</v>
      </c>
      <c r="E1965">
        <v>3.56</v>
      </c>
      <c r="F1965">
        <v>3.76</v>
      </c>
      <c r="G1965">
        <v>4.07</v>
      </c>
      <c r="H1965">
        <v>4.37</v>
      </c>
      <c r="I1965">
        <v>4.84</v>
      </c>
      <c r="K1965">
        <f t="shared" si="243"/>
        <v>0</v>
      </c>
      <c r="L1965">
        <f t="shared" si="244"/>
        <v>-1.0000000000000231</v>
      </c>
      <c r="M1965">
        <f t="shared" si="245"/>
        <v>-0.99999999999997868</v>
      </c>
      <c r="N1965">
        <f t="shared" si="246"/>
        <v>-2.9999999999999805</v>
      </c>
      <c r="O1965">
        <f t="shared" si="247"/>
        <v>-2.0000000000000018</v>
      </c>
      <c r="P1965">
        <f t="shared" si="248"/>
        <v>-2.9999999999999361</v>
      </c>
      <c r="Q1965">
        <f t="shared" si="249"/>
        <v>-3.0000000000000249</v>
      </c>
      <c r="R1965">
        <f t="shared" si="250"/>
        <v>-3.0000000000000249</v>
      </c>
    </row>
    <row r="1966" spans="1:18">
      <c r="A1966" s="9">
        <v>39580</v>
      </c>
      <c r="B1966">
        <v>2.78</v>
      </c>
      <c r="C1966">
        <v>3.06</v>
      </c>
      <c r="D1966">
        <v>3.34</v>
      </c>
      <c r="E1966">
        <v>3.57</v>
      </c>
      <c r="F1966">
        <v>3.76</v>
      </c>
      <c r="G1966">
        <v>4.0599999999999996</v>
      </c>
      <c r="H1966">
        <v>4.3499999999999996</v>
      </c>
      <c r="I1966">
        <v>4.8099999999999996</v>
      </c>
      <c r="K1966">
        <f t="shared" si="243"/>
        <v>2.9999999999999805</v>
      </c>
      <c r="L1966">
        <f t="shared" si="244"/>
        <v>5.0000000000000266</v>
      </c>
      <c r="M1966">
        <f t="shared" si="245"/>
        <v>2.9999999999999805</v>
      </c>
      <c r="N1966">
        <f t="shared" si="246"/>
        <v>0.99999999999997868</v>
      </c>
      <c r="O1966">
        <f t="shared" si="247"/>
        <v>0</v>
      </c>
      <c r="P1966">
        <f t="shared" si="248"/>
        <v>-1.0000000000000675</v>
      </c>
      <c r="Q1966">
        <f t="shared" si="249"/>
        <v>-2.0000000000000462</v>
      </c>
      <c r="R1966">
        <f t="shared" si="250"/>
        <v>-3.0000000000000249</v>
      </c>
    </row>
    <row r="1967" spans="1:18">
      <c r="A1967" s="9">
        <v>39581</v>
      </c>
      <c r="B1967">
        <v>2.89</v>
      </c>
      <c r="C1967">
        <v>3.21</v>
      </c>
      <c r="D1967">
        <v>3.5</v>
      </c>
      <c r="E1967">
        <v>3.73</v>
      </c>
      <c r="F1967">
        <v>3.9</v>
      </c>
      <c r="G1967">
        <v>4.1900000000000004</v>
      </c>
      <c r="H1967">
        <v>4.47</v>
      </c>
      <c r="I1967">
        <v>4.9000000000000004</v>
      </c>
      <c r="K1967">
        <f t="shared" si="243"/>
        <v>11.000000000000032</v>
      </c>
      <c r="L1967">
        <f t="shared" si="244"/>
        <v>14.999999999999991</v>
      </c>
      <c r="M1967">
        <f t="shared" si="245"/>
        <v>16.000000000000014</v>
      </c>
      <c r="N1967">
        <f t="shared" si="246"/>
        <v>16.000000000000014</v>
      </c>
      <c r="O1967">
        <f t="shared" si="247"/>
        <v>14.000000000000012</v>
      </c>
      <c r="P1967">
        <f t="shared" si="248"/>
        <v>13.000000000000078</v>
      </c>
      <c r="Q1967">
        <f t="shared" si="249"/>
        <v>12.000000000000011</v>
      </c>
      <c r="R1967">
        <f t="shared" si="250"/>
        <v>9.0000000000000746</v>
      </c>
    </row>
    <row r="1968" spans="1:18">
      <c r="A1968" s="9">
        <v>39582</v>
      </c>
      <c r="B1968">
        <v>2.98</v>
      </c>
      <c r="C1968">
        <v>3.33</v>
      </c>
      <c r="D1968">
        <v>3.62</v>
      </c>
      <c r="E1968">
        <v>3.84</v>
      </c>
      <c r="F1968">
        <v>4.0199999999999996</v>
      </c>
      <c r="G1968">
        <v>4.28</v>
      </c>
      <c r="H1968">
        <v>4.53</v>
      </c>
      <c r="I1968">
        <v>4.93</v>
      </c>
      <c r="K1968">
        <f t="shared" si="243"/>
        <v>8.9999999999999858</v>
      </c>
      <c r="L1968">
        <f t="shared" si="244"/>
        <v>12.000000000000011</v>
      </c>
      <c r="M1968">
        <f t="shared" si="245"/>
        <v>12.000000000000011</v>
      </c>
      <c r="N1968">
        <f t="shared" si="246"/>
        <v>10.999999999999988</v>
      </c>
      <c r="O1968">
        <f t="shared" si="247"/>
        <v>11.999999999999966</v>
      </c>
      <c r="P1968">
        <f t="shared" si="248"/>
        <v>8.9999999999999858</v>
      </c>
      <c r="Q1968">
        <f t="shared" si="249"/>
        <v>6.0000000000000497</v>
      </c>
      <c r="R1968">
        <f t="shared" si="250"/>
        <v>2.9999999999999361</v>
      </c>
    </row>
    <row r="1969" spans="1:18">
      <c r="A1969" s="9">
        <v>39583</v>
      </c>
      <c r="B1969">
        <v>2.95</v>
      </c>
      <c r="C1969">
        <v>3.3</v>
      </c>
      <c r="D1969">
        <v>3.6</v>
      </c>
      <c r="E1969">
        <v>3.82</v>
      </c>
      <c r="F1969">
        <v>3.98</v>
      </c>
      <c r="G1969">
        <v>4.24</v>
      </c>
      <c r="H1969">
        <v>4.5</v>
      </c>
      <c r="I1969">
        <v>4.91</v>
      </c>
      <c r="K1969">
        <f t="shared" si="243"/>
        <v>-2.9999999999999805</v>
      </c>
      <c r="L1969">
        <f t="shared" si="244"/>
        <v>-3.0000000000000249</v>
      </c>
      <c r="M1969">
        <f t="shared" si="245"/>
        <v>-2.0000000000000018</v>
      </c>
      <c r="N1969">
        <f t="shared" si="246"/>
        <v>-2.0000000000000018</v>
      </c>
      <c r="O1969">
        <f t="shared" si="247"/>
        <v>-3.9999999999999591</v>
      </c>
      <c r="P1969">
        <f t="shared" si="248"/>
        <v>-4.0000000000000036</v>
      </c>
      <c r="Q1969">
        <f t="shared" si="249"/>
        <v>-3.0000000000000249</v>
      </c>
      <c r="R1969">
        <f t="shared" si="250"/>
        <v>-1.9999999999999574</v>
      </c>
    </row>
    <row r="1970" spans="1:18">
      <c r="A1970" s="9">
        <v>39584</v>
      </c>
      <c r="B1970">
        <v>2.84</v>
      </c>
      <c r="C1970">
        <v>3.16</v>
      </c>
      <c r="D1970">
        <v>3.44</v>
      </c>
      <c r="E1970">
        <v>3.65</v>
      </c>
      <c r="F1970">
        <v>3.8</v>
      </c>
      <c r="G1970">
        <v>4.08</v>
      </c>
      <c r="H1970">
        <v>4.3499999999999996</v>
      </c>
      <c r="I1970">
        <v>4.79</v>
      </c>
      <c r="K1970">
        <f t="shared" si="243"/>
        <v>-11.000000000000032</v>
      </c>
      <c r="L1970">
        <f t="shared" si="244"/>
        <v>-13.999999999999968</v>
      </c>
      <c r="M1970">
        <f t="shared" si="245"/>
        <v>-16.000000000000014</v>
      </c>
      <c r="N1970">
        <f t="shared" si="246"/>
        <v>-16.999999999999993</v>
      </c>
      <c r="O1970">
        <f t="shared" si="247"/>
        <v>-18.000000000000014</v>
      </c>
      <c r="P1970">
        <f t="shared" si="248"/>
        <v>-16.000000000000014</v>
      </c>
      <c r="Q1970">
        <f t="shared" si="249"/>
        <v>-15.000000000000036</v>
      </c>
      <c r="R1970">
        <f t="shared" si="250"/>
        <v>-12.000000000000011</v>
      </c>
    </row>
    <row r="1971" spans="1:18">
      <c r="A1971" s="9">
        <v>39587</v>
      </c>
      <c r="B1971">
        <v>2.87</v>
      </c>
      <c r="C1971">
        <v>3.2</v>
      </c>
      <c r="D1971">
        <v>3.49</v>
      </c>
      <c r="E1971">
        <v>3.7</v>
      </c>
      <c r="F1971">
        <v>3.87</v>
      </c>
      <c r="G1971">
        <v>4.1500000000000004</v>
      </c>
      <c r="H1971">
        <v>4.42</v>
      </c>
      <c r="I1971">
        <v>4.87</v>
      </c>
      <c r="K1971">
        <f t="shared" si="243"/>
        <v>3.0000000000000249</v>
      </c>
      <c r="L1971">
        <f t="shared" si="244"/>
        <v>4.0000000000000036</v>
      </c>
      <c r="M1971">
        <f t="shared" si="245"/>
        <v>5.0000000000000266</v>
      </c>
      <c r="N1971">
        <f t="shared" si="246"/>
        <v>5.0000000000000266</v>
      </c>
      <c r="O1971">
        <f t="shared" si="247"/>
        <v>7.0000000000000284</v>
      </c>
      <c r="P1971">
        <f t="shared" si="248"/>
        <v>7.0000000000000284</v>
      </c>
      <c r="Q1971">
        <f t="shared" si="249"/>
        <v>7.0000000000000284</v>
      </c>
      <c r="R1971">
        <f t="shared" si="250"/>
        <v>8.0000000000000071</v>
      </c>
    </row>
    <row r="1972" spans="1:18">
      <c r="A1972" s="9">
        <v>39588</v>
      </c>
      <c r="B1972">
        <v>2.8</v>
      </c>
      <c r="C1972">
        <v>3.13</v>
      </c>
      <c r="D1972">
        <v>3.43</v>
      </c>
      <c r="E1972">
        <v>3.65</v>
      </c>
      <c r="F1972">
        <v>3.82</v>
      </c>
      <c r="G1972">
        <v>4.1100000000000003</v>
      </c>
      <c r="H1972">
        <v>4.3899999999999997</v>
      </c>
      <c r="I1972">
        <v>4.87</v>
      </c>
      <c r="K1972">
        <f t="shared" si="243"/>
        <v>-7.0000000000000284</v>
      </c>
      <c r="L1972">
        <f t="shared" si="244"/>
        <v>-7.0000000000000284</v>
      </c>
      <c r="M1972">
        <f t="shared" si="245"/>
        <v>-6.0000000000000053</v>
      </c>
      <c r="N1972">
        <f t="shared" si="246"/>
        <v>-5.0000000000000266</v>
      </c>
      <c r="O1972">
        <f t="shared" si="247"/>
        <v>-5.0000000000000266</v>
      </c>
      <c r="P1972">
        <f t="shared" si="248"/>
        <v>-4.0000000000000036</v>
      </c>
      <c r="Q1972">
        <f t="shared" si="249"/>
        <v>-3.0000000000000249</v>
      </c>
      <c r="R1972">
        <f t="shared" si="250"/>
        <v>0</v>
      </c>
    </row>
    <row r="1973" spans="1:18">
      <c r="A1973" s="9">
        <v>39589</v>
      </c>
      <c r="B1973">
        <v>2.79</v>
      </c>
      <c r="C1973">
        <v>3.13</v>
      </c>
      <c r="D1973">
        <v>3.44</v>
      </c>
      <c r="E1973">
        <v>3.66</v>
      </c>
      <c r="F1973">
        <v>3.83</v>
      </c>
      <c r="G1973">
        <v>4.1100000000000003</v>
      </c>
      <c r="H1973">
        <v>4.3899999999999997</v>
      </c>
      <c r="I1973">
        <v>4.87</v>
      </c>
      <c r="K1973">
        <f t="shared" si="243"/>
        <v>-0.99999999999997868</v>
      </c>
      <c r="L1973">
        <f t="shared" si="244"/>
        <v>0</v>
      </c>
      <c r="M1973">
        <f t="shared" si="245"/>
        <v>0.99999999999997868</v>
      </c>
      <c r="N1973">
        <f t="shared" si="246"/>
        <v>1.0000000000000231</v>
      </c>
      <c r="O1973">
        <f t="shared" si="247"/>
        <v>1.0000000000000231</v>
      </c>
      <c r="P1973">
        <f t="shared" si="248"/>
        <v>0</v>
      </c>
      <c r="Q1973">
        <f t="shared" si="249"/>
        <v>0</v>
      </c>
      <c r="R1973">
        <f t="shared" si="250"/>
        <v>0</v>
      </c>
    </row>
    <row r="1974" spans="1:18">
      <c r="A1974" s="9">
        <v>39590</v>
      </c>
      <c r="B1974">
        <v>2.9</v>
      </c>
      <c r="C1974">
        <v>3.3</v>
      </c>
      <c r="D1974">
        <v>3.61</v>
      </c>
      <c r="E1974">
        <v>3.85</v>
      </c>
      <c r="F1974">
        <v>4.0199999999999996</v>
      </c>
      <c r="G1974">
        <v>4.2699999999999996</v>
      </c>
      <c r="H1974">
        <v>4.53</v>
      </c>
      <c r="I1974">
        <v>4.9800000000000004</v>
      </c>
      <c r="K1974">
        <f t="shared" si="243"/>
        <v>10.999999999999988</v>
      </c>
      <c r="L1974">
        <f t="shared" si="244"/>
        <v>16.999999999999993</v>
      </c>
      <c r="M1974">
        <f t="shared" si="245"/>
        <v>16.999999999999993</v>
      </c>
      <c r="N1974">
        <f t="shared" si="246"/>
        <v>18.999999999999993</v>
      </c>
      <c r="O1974">
        <f t="shared" si="247"/>
        <v>18.99999999999995</v>
      </c>
      <c r="P1974">
        <f t="shared" si="248"/>
        <v>15.999999999999925</v>
      </c>
      <c r="Q1974">
        <f t="shared" si="249"/>
        <v>14.000000000000057</v>
      </c>
      <c r="R1974">
        <f t="shared" si="250"/>
        <v>11.000000000000032</v>
      </c>
    </row>
    <row r="1975" spans="1:18">
      <c r="A1975" s="9">
        <v>39591</v>
      </c>
      <c r="B1975">
        <v>2.88</v>
      </c>
      <c r="C1975">
        <v>3.26</v>
      </c>
      <c r="D1975">
        <v>3.57</v>
      </c>
      <c r="E1975">
        <v>3.79</v>
      </c>
      <c r="F1975">
        <v>3.95</v>
      </c>
      <c r="G1975">
        <v>4.21</v>
      </c>
      <c r="H1975">
        <v>4.46</v>
      </c>
      <c r="I1975">
        <v>4.91</v>
      </c>
      <c r="K1975">
        <f t="shared" si="243"/>
        <v>-2.0000000000000018</v>
      </c>
      <c r="L1975">
        <f t="shared" si="244"/>
        <v>-4.0000000000000036</v>
      </c>
      <c r="M1975">
        <f t="shared" si="245"/>
        <v>-4.0000000000000036</v>
      </c>
      <c r="N1975">
        <f t="shared" si="246"/>
        <v>-6.0000000000000053</v>
      </c>
      <c r="O1975">
        <f t="shared" si="247"/>
        <v>-6.9999999999999396</v>
      </c>
      <c r="P1975">
        <f t="shared" si="248"/>
        <v>-5.9999999999999609</v>
      </c>
      <c r="Q1975">
        <f t="shared" si="249"/>
        <v>-7.0000000000000284</v>
      </c>
      <c r="R1975">
        <f t="shared" si="250"/>
        <v>-7.0000000000000284</v>
      </c>
    </row>
    <row r="1976" spans="1:18">
      <c r="A1976" s="9">
        <v>39595</v>
      </c>
      <c r="B1976">
        <v>2.92</v>
      </c>
      <c r="C1976">
        <v>3.32</v>
      </c>
      <c r="D1976">
        <v>3.64</v>
      </c>
      <c r="E1976">
        <v>3.86</v>
      </c>
      <c r="F1976">
        <v>4.03</v>
      </c>
      <c r="G1976">
        <v>4.28</v>
      </c>
      <c r="H1976">
        <v>4.54</v>
      </c>
      <c r="I1976">
        <v>5</v>
      </c>
      <c r="K1976">
        <f t="shared" si="243"/>
        <v>4.0000000000000036</v>
      </c>
      <c r="L1976">
        <f t="shared" si="244"/>
        <v>6.0000000000000053</v>
      </c>
      <c r="M1976">
        <f t="shared" si="245"/>
        <v>7.0000000000000284</v>
      </c>
      <c r="N1976">
        <f t="shared" si="246"/>
        <v>6.999999999999984</v>
      </c>
      <c r="O1976">
        <f t="shared" si="247"/>
        <v>8.0000000000000071</v>
      </c>
      <c r="P1976">
        <f t="shared" si="248"/>
        <v>7.0000000000000284</v>
      </c>
      <c r="Q1976">
        <f t="shared" si="249"/>
        <v>8.0000000000000071</v>
      </c>
      <c r="R1976">
        <f t="shared" si="250"/>
        <v>8.9999999999999858</v>
      </c>
    </row>
    <row r="1977" spans="1:18">
      <c r="A1977" s="9">
        <v>39596</v>
      </c>
      <c r="B1977">
        <v>2.98</v>
      </c>
      <c r="C1977">
        <v>3.42</v>
      </c>
      <c r="D1977">
        <v>3.76</v>
      </c>
      <c r="E1977">
        <v>3.98</v>
      </c>
      <c r="F1977">
        <v>4.1399999999999997</v>
      </c>
      <c r="G1977">
        <v>4.38</v>
      </c>
      <c r="H1977">
        <v>4.63</v>
      </c>
      <c r="I1977">
        <v>5.0599999999999996</v>
      </c>
      <c r="K1977">
        <f t="shared" si="243"/>
        <v>6.0000000000000053</v>
      </c>
      <c r="L1977">
        <f t="shared" si="244"/>
        <v>10.000000000000009</v>
      </c>
      <c r="M1977">
        <f t="shared" si="245"/>
        <v>11.999999999999966</v>
      </c>
      <c r="N1977">
        <f t="shared" si="246"/>
        <v>12.000000000000011</v>
      </c>
      <c r="O1977">
        <f t="shared" si="247"/>
        <v>10.999999999999943</v>
      </c>
      <c r="P1977">
        <f t="shared" si="248"/>
        <v>9.9999999999999645</v>
      </c>
      <c r="Q1977">
        <f t="shared" si="249"/>
        <v>8.9999999999999858</v>
      </c>
      <c r="R1977">
        <f t="shared" si="250"/>
        <v>5.9999999999999609</v>
      </c>
    </row>
    <row r="1978" spans="1:18">
      <c r="A1978" s="9">
        <v>39597</v>
      </c>
      <c r="B1978">
        <v>3.09</v>
      </c>
      <c r="C1978">
        <v>3.59</v>
      </c>
      <c r="D1978">
        <v>3.93</v>
      </c>
      <c r="E1978">
        <v>4.17</v>
      </c>
      <c r="F1978">
        <v>4.34</v>
      </c>
      <c r="G1978">
        <v>4.55</v>
      </c>
      <c r="H1978">
        <v>4.7699999999999996</v>
      </c>
      <c r="I1978">
        <v>5.17</v>
      </c>
      <c r="K1978">
        <f t="shared" si="243"/>
        <v>10.999999999999988</v>
      </c>
      <c r="L1978">
        <f t="shared" si="244"/>
        <v>16.999999999999993</v>
      </c>
      <c r="M1978">
        <f t="shared" si="245"/>
        <v>17.000000000000036</v>
      </c>
      <c r="N1978">
        <f t="shared" si="246"/>
        <v>18.999999999999993</v>
      </c>
      <c r="O1978">
        <f t="shared" si="247"/>
        <v>20.000000000000018</v>
      </c>
      <c r="P1978">
        <f t="shared" si="248"/>
        <v>16.999999999999993</v>
      </c>
      <c r="Q1978">
        <f t="shared" si="249"/>
        <v>13.999999999999968</v>
      </c>
      <c r="R1978">
        <f t="shared" si="250"/>
        <v>11.000000000000032</v>
      </c>
    </row>
    <row r="1979" spans="1:18">
      <c r="A1979" s="9">
        <v>39598</v>
      </c>
      <c r="B1979">
        <v>2.99</v>
      </c>
      <c r="C1979">
        <v>3.44</v>
      </c>
      <c r="D1979">
        <v>3.78</v>
      </c>
      <c r="E1979">
        <v>4.03</v>
      </c>
      <c r="F1979">
        <v>4.2</v>
      </c>
      <c r="G1979">
        <v>4.4400000000000004</v>
      </c>
      <c r="H1979">
        <v>4.68</v>
      </c>
      <c r="I1979">
        <v>5.09</v>
      </c>
      <c r="K1979">
        <f t="shared" si="243"/>
        <v>-9.9999999999999645</v>
      </c>
      <c r="L1979">
        <f t="shared" si="244"/>
        <v>-14.999999999999991</v>
      </c>
      <c r="M1979">
        <f t="shared" si="245"/>
        <v>-15.000000000000036</v>
      </c>
      <c r="N1979">
        <f t="shared" si="246"/>
        <v>-13.999999999999968</v>
      </c>
      <c r="O1979">
        <f t="shared" si="247"/>
        <v>-13.999999999999968</v>
      </c>
      <c r="P1979">
        <f t="shared" si="248"/>
        <v>-10.999999999999943</v>
      </c>
      <c r="Q1979">
        <f t="shared" si="249"/>
        <v>-8.9999999999999858</v>
      </c>
      <c r="R1979">
        <f t="shared" si="250"/>
        <v>-8.0000000000000071</v>
      </c>
    </row>
    <row r="1980" spans="1:18">
      <c r="A1980" s="9">
        <v>39601</v>
      </c>
      <c r="B1980">
        <v>2.95</v>
      </c>
      <c r="C1980">
        <v>3.37</v>
      </c>
      <c r="D1980">
        <v>3.72</v>
      </c>
      <c r="E1980">
        <v>3.97</v>
      </c>
      <c r="F1980">
        <v>4.1399999999999997</v>
      </c>
      <c r="G1980">
        <v>4.41</v>
      </c>
      <c r="H1980">
        <v>4.66</v>
      </c>
      <c r="I1980">
        <v>5.0999999999999996</v>
      </c>
      <c r="K1980">
        <f t="shared" si="243"/>
        <v>-4.0000000000000036</v>
      </c>
      <c r="L1980">
        <f t="shared" si="244"/>
        <v>-6.999999999999984</v>
      </c>
      <c r="M1980">
        <f t="shared" si="245"/>
        <v>-5.9999999999999609</v>
      </c>
      <c r="N1980">
        <f t="shared" si="246"/>
        <v>-6.0000000000000053</v>
      </c>
      <c r="O1980">
        <f t="shared" si="247"/>
        <v>-6.0000000000000497</v>
      </c>
      <c r="P1980">
        <f t="shared" si="248"/>
        <v>-3.0000000000000249</v>
      </c>
      <c r="Q1980">
        <f t="shared" si="249"/>
        <v>-1.9999999999999574</v>
      </c>
      <c r="R1980">
        <f t="shared" si="250"/>
        <v>0.99999999999997868</v>
      </c>
    </row>
    <row r="1981" spans="1:18">
      <c r="A1981" s="9">
        <v>39602</v>
      </c>
      <c r="B1981">
        <v>2.97</v>
      </c>
      <c r="C1981">
        <v>3.39</v>
      </c>
      <c r="D1981">
        <v>3.73</v>
      </c>
      <c r="E1981">
        <v>3.97</v>
      </c>
      <c r="F1981">
        <v>4.1399999999999997</v>
      </c>
      <c r="G1981">
        <v>4.41</v>
      </c>
      <c r="H1981">
        <v>4.66</v>
      </c>
      <c r="I1981">
        <v>5.0999999999999996</v>
      </c>
      <c r="K1981">
        <f t="shared" si="243"/>
        <v>2.0000000000000018</v>
      </c>
      <c r="L1981">
        <f t="shared" si="244"/>
        <v>2.0000000000000018</v>
      </c>
      <c r="M1981">
        <f t="shared" si="245"/>
        <v>0.99999999999997868</v>
      </c>
      <c r="N1981">
        <f t="shared" si="246"/>
        <v>0</v>
      </c>
      <c r="O1981">
        <f t="shared" si="247"/>
        <v>0</v>
      </c>
      <c r="P1981">
        <f t="shared" si="248"/>
        <v>0</v>
      </c>
      <c r="Q1981">
        <f t="shared" si="249"/>
        <v>0</v>
      </c>
      <c r="R1981">
        <f t="shared" si="250"/>
        <v>0</v>
      </c>
    </row>
    <row r="1982" spans="1:18">
      <c r="A1982" s="9">
        <v>39603</v>
      </c>
      <c r="B1982">
        <v>2.92</v>
      </c>
      <c r="C1982">
        <v>3.27</v>
      </c>
      <c r="D1982">
        <v>3.61</v>
      </c>
      <c r="E1982">
        <v>3.86</v>
      </c>
      <c r="F1982">
        <v>4.03</v>
      </c>
      <c r="G1982">
        <v>4.3099999999999996</v>
      </c>
      <c r="H1982">
        <v>4.57</v>
      </c>
      <c r="I1982">
        <v>5.03</v>
      </c>
      <c r="K1982">
        <f t="shared" si="243"/>
        <v>-5.0000000000000266</v>
      </c>
      <c r="L1982">
        <f t="shared" si="244"/>
        <v>-12.000000000000011</v>
      </c>
      <c r="M1982">
        <f t="shared" si="245"/>
        <v>-12.000000000000011</v>
      </c>
      <c r="N1982">
        <f t="shared" si="246"/>
        <v>-11.000000000000032</v>
      </c>
      <c r="O1982">
        <f t="shared" si="247"/>
        <v>-10.999999999999943</v>
      </c>
      <c r="P1982">
        <f t="shared" si="248"/>
        <v>-10.000000000000053</v>
      </c>
      <c r="Q1982">
        <f t="shared" si="249"/>
        <v>-8.9999999999999858</v>
      </c>
      <c r="R1982">
        <f t="shared" si="250"/>
        <v>-6.9999999999999396</v>
      </c>
    </row>
    <row r="1983" spans="1:18">
      <c r="A1983" s="9">
        <v>39604</v>
      </c>
      <c r="B1983">
        <v>2.97</v>
      </c>
      <c r="C1983">
        <v>3.37</v>
      </c>
      <c r="D1983">
        <v>3.73</v>
      </c>
      <c r="E1983">
        <v>4.01</v>
      </c>
      <c r="F1983">
        <v>4.2</v>
      </c>
      <c r="G1983">
        <v>4.47</v>
      </c>
      <c r="H1983">
        <v>4.7300000000000004</v>
      </c>
      <c r="I1983">
        <v>5.16</v>
      </c>
      <c r="K1983">
        <f t="shared" si="243"/>
        <v>5.0000000000000266</v>
      </c>
      <c r="L1983">
        <f t="shared" si="244"/>
        <v>10.000000000000009</v>
      </c>
      <c r="M1983">
        <f t="shared" si="245"/>
        <v>12.000000000000011</v>
      </c>
      <c r="N1983">
        <f t="shared" si="246"/>
        <v>14.999999999999991</v>
      </c>
      <c r="O1983">
        <f t="shared" si="247"/>
        <v>16.999999999999993</v>
      </c>
      <c r="P1983">
        <f t="shared" si="248"/>
        <v>16.000000000000014</v>
      </c>
      <c r="Q1983">
        <f t="shared" si="249"/>
        <v>16.000000000000014</v>
      </c>
      <c r="R1983">
        <f t="shared" si="250"/>
        <v>12.999999999999989</v>
      </c>
    </row>
    <row r="1984" spans="1:18">
      <c r="A1984" s="9">
        <v>39605</v>
      </c>
      <c r="B1984">
        <v>2.96</v>
      </c>
      <c r="C1984">
        <v>3.36</v>
      </c>
      <c r="D1984">
        <v>3.72</v>
      </c>
      <c r="E1984">
        <v>3.98</v>
      </c>
      <c r="F1984">
        <v>4.16</v>
      </c>
      <c r="G1984">
        <v>4.4400000000000004</v>
      </c>
      <c r="H1984">
        <v>4.7</v>
      </c>
      <c r="I1984">
        <v>5.12</v>
      </c>
      <c r="K1984">
        <f t="shared" si="243"/>
        <v>-1.0000000000000231</v>
      </c>
      <c r="L1984">
        <f t="shared" si="244"/>
        <v>-1.0000000000000231</v>
      </c>
      <c r="M1984">
        <f t="shared" si="245"/>
        <v>-0.99999999999997868</v>
      </c>
      <c r="N1984">
        <f t="shared" si="246"/>
        <v>-2.9999999999999805</v>
      </c>
      <c r="O1984">
        <f t="shared" si="247"/>
        <v>-4.0000000000000036</v>
      </c>
      <c r="P1984">
        <f t="shared" si="248"/>
        <v>-2.9999999999999361</v>
      </c>
      <c r="Q1984">
        <f t="shared" si="249"/>
        <v>-3.0000000000000249</v>
      </c>
      <c r="R1984">
        <f t="shared" si="250"/>
        <v>-4.0000000000000036</v>
      </c>
    </row>
    <row r="1985" spans="1:18">
      <c r="A1985" s="9">
        <v>39608</v>
      </c>
      <c r="B1985">
        <v>3.11</v>
      </c>
      <c r="C1985">
        <v>3.54</v>
      </c>
      <c r="D1985">
        <v>3.91</v>
      </c>
      <c r="E1985">
        <v>4.1399999999999997</v>
      </c>
      <c r="F1985">
        <v>4.3</v>
      </c>
      <c r="G1985">
        <v>4.53</v>
      </c>
      <c r="H1985">
        <v>4.75</v>
      </c>
      <c r="I1985">
        <v>5.13</v>
      </c>
      <c r="K1985">
        <f t="shared" si="243"/>
        <v>14.999999999999991</v>
      </c>
      <c r="L1985">
        <f t="shared" si="244"/>
        <v>18.000000000000014</v>
      </c>
      <c r="M1985">
        <f t="shared" si="245"/>
        <v>18.999999999999993</v>
      </c>
      <c r="N1985">
        <f t="shared" si="246"/>
        <v>15.99999999999997</v>
      </c>
      <c r="O1985">
        <f t="shared" si="247"/>
        <v>13.999999999999968</v>
      </c>
      <c r="P1985">
        <f t="shared" si="248"/>
        <v>8.9999999999999858</v>
      </c>
      <c r="Q1985">
        <f t="shared" si="249"/>
        <v>4.9999999999999822</v>
      </c>
      <c r="R1985">
        <f t="shared" si="250"/>
        <v>0.99999999999997868</v>
      </c>
    </row>
    <row r="1986" spans="1:18">
      <c r="A1986" s="9">
        <v>39609</v>
      </c>
      <c r="B1986">
        <v>3.32</v>
      </c>
      <c r="C1986">
        <v>3.77</v>
      </c>
      <c r="D1986">
        <v>4.09</v>
      </c>
      <c r="E1986">
        <v>4.29</v>
      </c>
      <c r="F1986">
        <v>4.42</v>
      </c>
      <c r="G1986">
        <v>4.6100000000000003</v>
      </c>
      <c r="H1986">
        <v>4.78</v>
      </c>
      <c r="I1986">
        <v>5.0999999999999996</v>
      </c>
      <c r="K1986">
        <f t="shared" si="243"/>
        <v>20.999999999999996</v>
      </c>
      <c r="L1986">
        <f t="shared" si="244"/>
        <v>23</v>
      </c>
      <c r="M1986">
        <f t="shared" si="245"/>
        <v>17.999999999999972</v>
      </c>
      <c r="N1986">
        <f t="shared" si="246"/>
        <v>15.000000000000036</v>
      </c>
      <c r="O1986">
        <f t="shared" si="247"/>
        <v>12.000000000000011</v>
      </c>
      <c r="P1986">
        <f t="shared" si="248"/>
        <v>8.0000000000000071</v>
      </c>
      <c r="Q1986">
        <f t="shared" si="249"/>
        <v>3.0000000000000249</v>
      </c>
      <c r="R1986">
        <f t="shared" si="250"/>
        <v>-3.0000000000000249</v>
      </c>
    </row>
    <row r="1987" spans="1:18">
      <c r="A1987" s="9">
        <v>39610</v>
      </c>
      <c r="B1987">
        <v>3.28</v>
      </c>
      <c r="C1987">
        <v>3.73</v>
      </c>
      <c r="D1987">
        <v>4.04</v>
      </c>
      <c r="E1987">
        <v>4.24</v>
      </c>
      <c r="F1987">
        <v>4.37</v>
      </c>
      <c r="G1987">
        <v>4.57</v>
      </c>
      <c r="H1987">
        <v>4.76</v>
      </c>
      <c r="I1987">
        <v>5.1100000000000003</v>
      </c>
      <c r="K1987">
        <f t="shared" si="243"/>
        <v>-4.0000000000000036</v>
      </c>
      <c r="L1987">
        <f t="shared" si="244"/>
        <v>-4.0000000000000036</v>
      </c>
      <c r="M1987">
        <f t="shared" si="245"/>
        <v>-4.9999999999999822</v>
      </c>
      <c r="N1987">
        <f t="shared" si="246"/>
        <v>-4.9999999999999822</v>
      </c>
      <c r="O1987">
        <f t="shared" si="247"/>
        <v>-4.9999999999999822</v>
      </c>
      <c r="P1987">
        <f t="shared" si="248"/>
        <v>-4.0000000000000036</v>
      </c>
      <c r="Q1987">
        <f t="shared" si="249"/>
        <v>-2.0000000000000462</v>
      </c>
      <c r="R1987">
        <f t="shared" si="250"/>
        <v>1.0000000000000675</v>
      </c>
    </row>
    <row r="1988" spans="1:18">
      <c r="A1988" s="9">
        <v>39611</v>
      </c>
      <c r="B1988">
        <v>3.38</v>
      </c>
      <c r="C1988">
        <v>3.86</v>
      </c>
      <c r="D1988">
        <v>4.1900000000000004</v>
      </c>
      <c r="E1988">
        <v>4.3899999999999997</v>
      </c>
      <c r="F1988">
        <v>4.51</v>
      </c>
      <c r="G1988">
        <v>4.6900000000000004</v>
      </c>
      <c r="H1988">
        <v>4.8600000000000003</v>
      </c>
      <c r="I1988">
        <v>5.18</v>
      </c>
      <c r="K1988">
        <f t="shared" si="243"/>
        <v>10.000000000000009</v>
      </c>
      <c r="L1988">
        <f t="shared" si="244"/>
        <v>12.999999999999989</v>
      </c>
      <c r="M1988">
        <f t="shared" si="245"/>
        <v>15.000000000000036</v>
      </c>
      <c r="N1988">
        <f t="shared" si="246"/>
        <v>14.999999999999947</v>
      </c>
      <c r="O1988">
        <f t="shared" si="247"/>
        <v>13.999999999999968</v>
      </c>
      <c r="P1988">
        <f t="shared" si="248"/>
        <v>12.000000000000011</v>
      </c>
      <c r="Q1988">
        <f t="shared" si="249"/>
        <v>10.000000000000053</v>
      </c>
      <c r="R1988">
        <f t="shared" si="250"/>
        <v>6.9999999999999396</v>
      </c>
    </row>
    <row r="1989" spans="1:18">
      <c r="A1989" s="9">
        <v>39612</v>
      </c>
      <c r="B1989">
        <v>3.39</v>
      </c>
      <c r="C1989">
        <v>3.85</v>
      </c>
      <c r="D1989">
        <v>4.1900000000000004</v>
      </c>
      <c r="E1989">
        <v>4.4000000000000004</v>
      </c>
      <c r="F1989">
        <v>4.5199999999999996</v>
      </c>
      <c r="G1989">
        <v>4.7</v>
      </c>
      <c r="H1989">
        <v>4.87</v>
      </c>
      <c r="I1989">
        <v>5.19</v>
      </c>
      <c r="K1989">
        <f t="shared" ref="K1989:K2052" si="251">(B1989-B1988)*100</f>
        <v>1.0000000000000231</v>
      </c>
      <c r="L1989">
        <f t="shared" ref="L1989:L2052" si="252">(C1989-C1988)*100</f>
        <v>-0.99999999999997868</v>
      </c>
      <c r="M1989">
        <f t="shared" ref="M1989:M2052" si="253">(D1989-D1988)*100</f>
        <v>0</v>
      </c>
      <c r="N1989">
        <f t="shared" ref="N1989:N2052" si="254">(E1989-E1988)*100</f>
        <v>1.0000000000000675</v>
      </c>
      <c r="O1989">
        <f t="shared" ref="O1989:O2052" si="255">(F1989-F1988)*100</f>
        <v>0.99999999999997868</v>
      </c>
      <c r="P1989">
        <f t="shared" ref="P1989:P2052" si="256">(G1989-G1988)*100</f>
        <v>0.99999999999997868</v>
      </c>
      <c r="Q1989">
        <f t="shared" ref="Q1989:Q2052" si="257">(H1989-H1988)*100</f>
        <v>0.99999999999997868</v>
      </c>
      <c r="R1989">
        <f t="shared" ref="R1989:R2052" si="258">(I1989-I1988)*100</f>
        <v>1.0000000000000675</v>
      </c>
    </row>
    <row r="1990" spans="1:18">
      <c r="A1990" s="9">
        <v>39615</v>
      </c>
      <c r="B1990">
        <v>3.47</v>
      </c>
      <c r="C1990">
        <v>3.96</v>
      </c>
      <c r="D1990">
        <v>4.32</v>
      </c>
      <c r="E1990">
        <v>4.53</v>
      </c>
      <c r="F1990">
        <v>4.66</v>
      </c>
      <c r="G1990">
        <v>4.83</v>
      </c>
      <c r="H1990">
        <v>4.97</v>
      </c>
      <c r="I1990">
        <v>5.25</v>
      </c>
      <c r="K1990">
        <f t="shared" si="251"/>
        <v>8.0000000000000071</v>
      </c>
      <c r="L1990">
        <f t="shared" si="252"/>
        <v>10.999999999999988</v>
      </c>
      <c r="M1990">
        <f t="shared" si="253"/>
        <v>12.999999999999989</v>
      </c>
      <c r="N1990">
        <f t="shared" si="254"/>
        <v>12.999999999999989</v>
      </c>
      <c r="O1990">
        <f t="shared" si="255"/>
        <v>14.000000000000057</v>
      </c>
      <c r="P1990">
        <f t="shared" si="256"/>
        <v>12.999999999999989</v>
      </c>
      <c r="Q1990">
        <f t="shared" si="257"/>
        <v>9.9999999999999645</v>
      </c>
      <c r="R1990">
        <f t="shared" si="258"/>
        <v>5.9999999999999609</v>
      </c>
    </row>
    <row r="1991" spans="1:18">
      <c r="A1991" s="9">
        <v>39616</v>
      </c>
      <c r="B1991">
        <v>3.42</v>
      </c>
      <c r="C1991">
        <v>3.9</v>
      </c>
      <c r="D1991">
        <v>4.25</v>
      </c>
      <c r="E1991">
        <v>4.46</v>
      </c>
      <c r="F1991">
        <v>4.58</v>
      </c>
      <c r="G1991">
        <v>4.76</v>
      </c>
      <c r="H1991">
        <v>4.92</v>
      </c>
      <c r="I1991">
        <v>5.21</v>
      </c>
      <c r="K1991">
        <f t="shared" si="251"/>
        <v>-5.0000000000000266</v>
      </c>
      <c r="L1991">
        <f t="shared" si="252"/>
        <v>-6.0000000000000053</v>
      </c>
      <c r="M1991">
        <f t="shared" si="253"/>
        <v>-7.0000000000000284</v>
      </c>
      <c r="N1991">
        <f t="shared" si="254"/>
        <v>-7.0000000000000284</v>
      </c>
      <c r="O1991">
        <f t="shared" si="255"/>
        <v>-8.0000000000000071</v>
      </c>
      <c r="P1991">
        <f t="shared" si="256"/>
        <v>-7.0000000000000284</v>
      </c>
      <c r="Q1991">
        <f t="shared" si="257"/>
        <v>-4.9999999999999822</v>
      </c>
      <c r="R1991">
        <f t="shared" si="258"/>
        <v>-4.0000000000000036</v>
      </c>
    </row>
    <row r="1992" spans="1:18">
      <c r="A1992" s="9">
        <v>39617</v>
      </c>
      <c r="B1992">
        <v>3.33</v>
      </c>
      <c r="C1992">
        <v>3.79</v>
      </c>
      <c r="D1992">
        <v>4.13</v>
      </c>
      <c r="E1992">
        <v>4.34</v>
      </c>
      <c r="F1992">
        <v>4.47</v>
      </c>
      <c r="G1992">
        <v>4.66</v>
      </c>
      <c r="H1992">
        <v>4.83</v>
      </c>
      <c r="I1992">
        <v>5.14</v>
      </c>
      <c r="K1992">
        <f t="shared" si="251"/>
        <v>-8.9999999999999858</v>
      </c>
      <c r="L1992">
        <f t="shared" si="252"/>
        <v>-10.999999999999988</v>
      </c>
      <c r="M1992">
        <f t="shared" si="253"/>
        <v>-12.000000000000011</v>
      </c>
      <c r="N1992">
        <f t="shared" si="254"/>
        <v>-12.000000000000011</v>
      </c>
      <c r="O1992">
        <f t="shared" si="255"/>
        <v>-11.000000000000032</v>
      </c>
      <c r="P1992">
        <f t="shared" si="256"/>
        <v>-9.9999999999999645</v>
      </c>
      <c r="Q1992">
        <f t="shared" si="257"/>
        <v>-8.9999999999999858</v>
      </c>
      <c r="R1992">
        <f t="shared" si="258"/>
        <v>-7.0000000000000284</v>
      </c>
    </row>
    <row r="1993" spans="1:18">
      <c r="A1993" s="9">
        <v>39618</v>
      </c>
      <c r="B1993">
        <v>3.38</v>
      </c>
      <c r="C1993">
        <v>3.84</v>
      </c>
      <c r="D1993">
        <v>4.16</v>
      </c>
      <c r="E1993">
        <v>4.37</v>
      </c>
      <c r="F1993">
        <v>4.5</v>
      </c>
      <c r="G1993">
        <v>4.6900000000000004</v>
      </c>
      <c r="H1993">
        <v>4.8600000000000003</v>
      </c>
      <c r="I1993">
        <v>5.17</v>
      </c>
      <c r="K1993">
        <f t="shared" si="251"/>
        <v>4.9999999999999822</v>
      </c>
      <c r="L1993">
        <f t="shared" si="252"/>
        <v>4.9999999999999822</v>
      </c>
      <c r="M1993">
        <f t="shared" si="253"/>
        <v>3.0000000000000249</v>
      </c>
      <c r="N1993">
        <f t="shared" si="254"/>
        <v>3.0000000000000249</v>
      </c>
      <c r="O1993">
        <f t="shared" si="255"/>
        <v>3.0000000000000249</v>
      </c>
      <c r="P1993">
        <f t="shared" si="256"/>
        <v>3.0000000000000249</v>
      </c>
      <c r="Q1993">
        <f t="shared" si="257"/>
        <v>3.0000000000000249</v>
      </c>
      <c r="R1993">
        <f t="shared" si="258"/>
        <v>3.0000000000000249</v>
      </c>
    </row>
    <row r="1994" spans="1:18">
      <c r="A1994" s="9">
        <v>39619</v>
      </c>
      <c r="B1994">
        <v>3.3</v>
      </c>
      <c r="C1994">
        <v>3.74</v>
      </c>
      <c r="D1994">
        <v>4.07</v>
      </c>
      <c r="E1994">
        <v>4.29</v>
      </c>
      <c r="F1994">
        <v>4.43</v>
      </c>
      <c r="G1994">
        <v>4.63</v>
      </c>
      <c r="H1994">
        <v>4.82</v>
      </c>
      <c r="I1994">
        <v>5.13</v>
      </c>
      <c r="K1994">
        <f t="shared" si="251"/>
        <v>-8.0000000000000071</v>
      </c>
      <c r="L1994">
        <f t="shared" si="252"/>
        <v>-9.9999999999999645</v>
      </c>
      <c r="M1994">
        <f t="shared" si="253"/>
        <v>-8.9999999999999858</v>
      </c>
      <c r="N1994">
        <f t="shared" si="254"/>
        <v>-8.0000000000000071</v>
      </c>
      <c r="O1994">
        <f t="shared" si="255"/>
        <v>-7.0000000000000284</v>
      </c>
      <c r="P1994">
        <f t="shared" si="256"/>
        <v>-6.0000000000000497</v>
      </c>
      <c r="Q1994">
        <f t="shared" si="257"/>
        <v>-4.0000000000000036</v>
      </c>
      <c r="R1994">
        <f t="shared" si="258"/>
        <v>-4.0000000000000036</v>
      </c>
    </row>
    <row r="1995" spans="1:18">
      <c r="A1995" s="9">
        <v>39622</v>
      </c>
      <c r="B1995">
        <v>3.33</v>
      </c>
      <c r="C1995">
        <v>3.8</v>
      </c>
      <c r="D1995">
        <v>4.13</v>
      </c>
      <c r="E1995">
        <v>4.3499999999999996</v>
      </c>
      <c r="F1995">
        <v>4.4800000000000004</v>
      </c>
      <c r="G1995">
        <v>4.66</v>
      </c>
      <c r="H1995">
        <v>4.84</v>
      </c>
      <c r="I1995">
        <v>5.14</v>
      </c>
      <c r="K1995">
        <f t="shared" si="251"/>
        <v>3.0000000000000249</v>
      </c>
      <c r="L1995">
        <f t="shared" si="252"/>
        <v>5.9999999999999609</v>
      </c>
      <c r="M1995">
        <f t="shared" si="253"/>
        <v>5.9999999999999609</v>
      </c>
      <c r="N1995">
        <f t="shared" si="254"/>
        <v>5.9999999999999609</v>
      </c>
      <c r="O1995">
        <f t="shared" si="255"/>
        <v>5.0000000000000711</v>
      </c>
      <c r="P1995">
        <f t="shared" si="256"/>
        <v>3.0000000000000249</v>
      </c>
      <c r="Q1995">
        <f t="shared" si="257"/>
        <v>1.9999999999999574</v>
      </c>
      <c r="R1995">
        <f t="shared" si="258"/>
        <v>0.99999999999997868</v>
      </c>
    </row>
    <row r="1996" spans="1:18">
      <c r="A1996" s="9">
        <v>39623</v>
      </c>
      <c r="B1996">
        <v>3.33</v>
      </c>
      <c r="C1996">
        <v>3.81</v>
      </c>
      <c r="D1996">
        <v>4.1500000000000004</v>
      </c>
      <c r="E1996">
        <v>4.3499999999999996</v>
      </c>
      <c r="F1996">
        <v>4.4800000000000004</v>
      </c>
      <c r="G1996">
        <v>4.66</v>
      </c>
      <c r="H1996">
        <v>4.84</v>
      </c>
      <c r="I1996">
        <v>5.14</v>
      </c>
      <c r="K1996">
        <f t="shared" si="251"/>
        <v>0</v>
      </c>
      <c r="L1996">
        <f t="shared" si="252"/>
        <v>1.0000000000000231</v>
      </c>
      <c r="M1996">
        <f t="shared" si="253"/>
        <v>2.0000000000000462</v>
      </c>
      <c r="N1996">
        <f t="shared" si="254"/>
        <v>0</v>
      </c>
      <c r="O1996">
        <f t="shared" si="255"/>
        <v>0</v>
      </c>
      <c r="P1996">
        <f t="shared" si="256"/>
        <v>0</v>
      </c>
      <c r="Q1996">
        <f t="shared" si="257"/>
        <v>0</v>
      </c>
      <c r="R1996">
        <f t="shared" si="258"/>
        <v>0</v>
      </c>
    </row>
    <row r="1997" spans="1:18">
      <c r="A1997" s="9">
        <v>39624</v>
      </c>
      <c r="B1997">
        <v>3.34</v>
      </c>
      <c r="C1997">
        <v>3.83</v>
      </c>
      <c r="D1997">
        <v>4.17</v>
      </c>
      <c r="E1997">
        <v>4.38</v>
      </c>
      <c r="F1997">
        <v>4.5199999999999996</v>
      </c>
      <c r="G1997">
        <v>4.7</v>
      </c>
      <c r="H1997">
        <v>4.87</v>
      </c>
      <c r="I1997">
        <v>5.17</v>
      </c>
      <c r="K1997">
        <f t="shared" si="251"/>
        <v>0.99999999999997868</v>
      </c>
      <c r="L1997">
        <f t="shared" si="252"/>
        <v>2.0000000000000018</v>
      </c>
      <c r="M1997">
        <f t="shared" si="253"/>
        <v>1.9999999999999574</v>
      </c>
      <c r="N1997">
        <f t="shared" si="254"/>
        <v>3.0000000000000249</v>
      </c>
      <c r="O1997">
        <f t="shared" si="255"/>
        <v>3.9999999999999147</v>
      </c>
      <c r="P1997">
        <f t="shared" si="256"/>
        <v>4.0000000000000036</v>
      </c>
      <c r="Q1997">
        <f t="shared" si="257"/>
        <v>3.0000000000000249</v>
      </c>
      <c r="R1997">
        <f t="shared" si="258"/>
        <v>3.0000000000000249</v>
      </c>
    </row>
    <row r="1998" spans="1:18">
      <c r="A1998" s="9">
        <v>39625</v>
      </c>
      <c r="B1998">
        <v>3.19</v>
      </c>
      <c r="C1998">
        <v>3.62</v>
      </c>
      <c r="D1998">
        <v>3.97</v>
      </c>
      <c r="E1998">
        <v>4.2</v>
      </c>
      <c r="F1998">
        <v>4.34</v>
      </c>
      <c r="G1998">
        <v>4.55</v>
      </c>
      <c r="H1998">
        <v>4.75</v>
      </c>
      <c r="I1998">
        <v>5.07</v>
      </c>
      <c r="K1998">
        <f t="shared" si="251"/>
        <v>-14.999999999999991</v>
      </c>
      <c r="L1998">
        <f t="shared" si="252"/>
        <v>-20.999999999999996</v>
      </c>
      <c r="M1998">
        <f t="shared" si="253"/>
        <v>-19.999999999999972</v>
      </c>
      <c r="N1998">
        <f t="shared" si="254"/>
        <v>-17.999999999999972</v>
      </c>
      <c r="O1998">
        <f t="shared" si="255"/>
        <v>-17.999999999999972</v>
      </c>
      <c r="P1998">
        <f t="shared" si="256"/>
        <v>-15.000000000000036</v>
      </c>
      <c r="Q1998">
        <f t="shared" si="257"/>
        <v>-12.000000000000011</v>
      </c>
      <c r="R1998">
        <f t="shared" si="258"/>
        <v>-9.9999999999999645</v>
      </c>
    </row>
    <row r="1999" spans="1:18">
      <c r="A1999" s="9">
        <v>39626</v>
      </c>
      <c r="B1999">
        <v>3.14</v>
      </c>
      <c r="C1999">
        <v>3.56</v>
      </c>
      <c r="D1999">
        <v>3.92</v>
      </c>
      <c r="E1999">
        <v>4.1500000000000004</v>
      </c>
      <c r="F1999">
        <v>4.29</v>
      </c>
      <c r="G1999">
        <v>4.51</v>
      </c>
      <c r="H1999">
        <v>4.7</v>
      </c>
      <c r="I1999">
        <v>5.0199999999999996</v>
      </c>
      <c r="K1999">
        <f t="shared" si="251"/>
        <v>-4.9999999999999822</v>
      </c>
      <c r="L1999">
        <f t="shared" si="252"/>
        <v>-6.0000000000000053</v>
      </c>
      <c r="M1999">
        <f t="shared" si="253"/>
        <v>-5.0000000000000266</v>
      </c>
      <c r="N1999">
        <f t="shared" si="254"/>
        <v>-4.9999999999999822</v>
      </c>
      <c r="O1999">
        <f t="shared" si="255"/>
        <v>-4.9999999999999822</v>
      </c>
      <c r="P1999">
        <f t="shared" si="256"/>
        <v>-4.0000000000000036</v>
      </c>
      <c r="Q1999">
        <f t="shared" si="257"/>
        <v>-4.9999999999999822</v>
      </c>
      <c r="R1999">
        <f t="shared" si="258"/>
        <v>-5.0000000000000711</v>
      </c>
    </row>
    <row r="2000" spans="1:18">
      <c r="A2000" s="9">
        <v>39629</v>
      </c>
      <c r="B2000">
        <v>3.13</v>
      </c>
      <c r="C2000">
        <v>3.55</v>
      </c>
      <c r="D2000">
        <v>3.89</v>
      </c>
      <c r="E2000">
        <v>4.1100000000000003</v>
      </c>
      <c r="F2000">
        <v>4.25</v>
      </c>
      <c r="G2000">
        <v>4.46</v>
      </c>
      <c r="H2000">
        <v>4.6500000000000004</v>
      </c>
      <c r="I2000">
        <v>4.95</v>
      </c>
      <c r="K2000">
        <f t="shared" si="251"/>
        <v>-1.0000000000000231</v>
      </c>
      <c r="L2000">
        <f t="shared" si="252"/>
        <v>-1.0000000000000231</v>
      </c>
      <c r="M2000">
        <f t="shared" si="253"/>
        <v>-2.9999999999999805</v>
      </c>
      <c r="N2000">
        <f t="shared" si="254"/>
        <v>-4.0000000000000036</v>
      </c>
      <c r="O2000">
        <f t="shared" si="255"/>
        <v>-4.0000000000000036</v>
      </c>
      <c r="P2000">
        <f t="shared" si="256"/>
        <v>-4.9999999999999822</v>
      </c>
      <c r="Q2000">
        <f t="shared" si="257"/>
        <v>-4.9999999999999822</v>
      </c>
      <c r="R2000">
        <f t="shared" si="258"/>
        <v>-6.9999999999999396</v>
      </c>
    </row>
    <row r="2001" spans="1:18">
      <c r="A2001" s="9">
        <v>39630</v>
      </c>
      <c r="B2001">
        <v>3.13</v>
      </c>
      <c r="C2001">
        <v>3.55</v>
      </c>
      <c r="D2001">
        <v>3.89</v>
      </c>
      <c r="E2001">
        <v>4.1100000000000003</v>
      </c>
      <c r="F2001">
        <v>4.25</v>
      </c>
      <c r="G2001">
        <v>4.47</v>
      </c>
      <c r="H2001">
        <v>4.68</v>
      </c>
      <c r="I2001">
        <v>4.9800000000000004</v>
      </c>
      <c r="K2001">
        <f t="shared" si="251"/>
        <v>0</v>
      </c>
      <c r="L2001">
        <f t="shared" si="252"/>
        <v>0</v>
      </c>
      <c r="M2001">
        <f t="shared" si="253"/>
        <v>0</v>
      </c>
      <c r="N2001">
        <f t="shared" si="254"/>
        <v>0</v>
      </c>
      <c r="O2001">
        <f t="shared" si="255"/>
        <v>0</v>
      </c>
      <c r="P2001">
        <f t="shared" si="256"/>
        <v>0.99999999999997868</v>
      </c>
      <c r="Q2001">
        <f t="shared" si="257"/>
        <v>2.9999999999999361</v>
      </c>
      <c r="R2001">
        <f t="shared" si="258"/>
        <v>3.0000000000000249</v>
      </c>
    </row>
    <row r="2002" spans="1:18">
      <c r="A2002" s="9">
        <v>39631</v>
      </c>
      <c r="B2002">
        <v>3.15</v>
      </c>
      <c r="C2002">
        <v>3.56</v>
      </c>
      <c r="D2002">
        <v>3.9</v>
      </c>
      <c r="E2002">
        <v>4.12</v>
      </c>
      <c r="F2002">
        <v>4.26</v>
      </c>
      <c r="G2002">
        <v>4.4800000000000004</v>
      </c>
      <c r="H2002">
        <v>4.6900000000000004</v>
      </c>
      <c r="I2002">
        <v>4.99</v>
      </c>
      <c r="K2002">
        <f t="shared" si="251"/>
        <v>2.0000000000000018</v>
      </c>
      <c r="L2002">
        <f t="shared" si="252"/>
        <v>1.0000000000000231</v>
      </c>
      <c r="M2002">
        <f t="shared" si="253"/>
        <v>0.99999999999997868</v>
      </c>
      <c r="N2002">
        <f t="shared" si="254"/>
        <v>0.99999999999997868</v>
      </c>
      <c r="O2002">
        <f t="shared" si="255"/>
        <v>0.99999999999997868</v>
      </c>
      <c r="P2002">
        <f t="shared" si="256"/>
        <v>1.0000000000000675</v>
      </c>
      <c r="Q2002">
        <f t="shared" si="257"/>
        <v>1.0000000000000675</v>
      </c>
      <c r="R2002">
        <f t="shared" si="258"/>
        <v>0.99999999999997868</v>
      </c>
    </row>
    <row r="2003" spans="1:18">
      <c r="A2003" s="9">
        <v>39632</v>
      </c>
      <c r="B2003">
        <v>3.09</v>
      </c>
      <c r="C2003">
        <v>3.51</v>
      </c>
      <c r="D2003">
        <v>3.86</v>
      </c>
      <c r="E2003">
        <v>4.0999999999999996</v>
      </c>
      <c r="F2003">
        <v>4.26</v>
      </c>
      <c r="G2003">
        <v>4.49</v>
      </c>
      <c r="H2003">
        <v>4.72</v>
      </c>
      <c r="I2003">
        <v>5.03</v>
      </c>
      <c r="K2003">
        <f t="shared" si="251"/>
        <v>-6.0000000000000053</v>
      </c>
      <c r="L2003">
        <f t="shared" si="252"/>
        <v>-5.0000000000000266</v>
      </c>
      <c r="M2003">
        <f t="shared" si="253"/>
        <v>-4.0000000000000036</v>
      </c>
      <c r="N2003">
        <f t="shared" si="254"/>
        <v>-2.0000000000000462</v>
      </c>
      <c r="O2003">
        <f t="shared" si="255"/>
        <v>0</v>
      </c>
      <c r="P2003">
        <f t="shared" si="256"/>
        <v>0.99999999999997868</v>
      </c>
      <c r="Q2003">
        <f t="shared" si="257"/>
        <v>2.9999999999999361</v>
      </c>
      <c r="R2003">
        <f t="shared" si="258"/>
        <v>4.0000000000000036</v>
      </c>
    </row>
    <row r="2004" spans="1:18">
      <c r="A2004" s="9">
        <v>39636</v>
      </c>
      <c r="B2004">
        <v>3.11</v>
      </c>
      <c r="C2004">
        <v>3.53</v>
      </c>
      <c r="D2004">
        <v>3.89</v>
      </c>
      <c r="E2004">
        <v>4.13</v>
      </c>
      <c r="F2004">
        <v>4.29</v>
      </c>
      <c r="G2004">
        <v>4.53</v>
      </c>
      <c r="H2004">
        <v>4.76</v>
      </c>
      <c r="I2004">
        <v>5.07</v>
      </c>
      <c r="K2004">
        <f t="shared" si="251"/>
        <v>2.0000000000000018</v>
      </c>
      <c r="L2004">
        <f t="shared" si="252"/>
        <v>2.0000000000000018</v>
      </c>
      <c r="M2004">
        <f t="shared" si="253"/>
        <v>3.0000000000000249</v>
      </c>
      <c r="N2004">
        <f t="shared" si="254"/>
        <v>3.0000000000000249</v>
      </c>
      <c r="O2004">
        <f t="shared" si="255"/>
        <v>3.0000000000000249</v>
      </c>
      <c r="P2004">
        <f t="shared" si="256"/>
        <v>4.0000000000000036</v>
      </c>
      <c r="Q2004">
        <f t="shared" si="257"/>
        <v>4.0000000000000036</v>
      </c>
      <c r="R2004">
        <f t="shared" si="258"/>
        <v>4.0000000000000036</v>
      </c>
    </row>
    <row r="2005" spans="1:18">
      <c r="A2005" s="9">
        <v>39637</v>
      </c>
      <c r="B2005">
        <v>3.04</v>
      </c>
      <c r="C2005">
        <v>3.43</v>
      </c>
      <c r="D2005">
        <v>3.79</v>
      </c>
      <c r="E2005">
        <v>4.0199999999999996</v>
      </c>
      <c r="F2005">
        <v>4.18</v>
      </c>
      <c r="G2005">
        <v>4.43</v>
      </c>
      <c r="H2005">
        <v>4.66</v>
      </c>
      <c r="I2005">
        <v>5</v>
      </c>
      <c r="K2005">
        <f t="shared" si="251"/>
        <v>-6.999999999999984</v>
      </c>
      <c r="L2005">
        <f t="shared" si="252"/>
        <v>-9.9999999999999645</v>
      </c>
      <c r="M2005">
        <f t="shared" si="253"/>
        <v>-10.000000000000009</v>
      </c>
      <c r="N2005">
        <f t="shared" si="254"/>
        <v>-11.000000000000032</v>
      </c>
      <c r="O2005">
        <f t="shared" si="255"/>
        <v>-11.000000000000032</v>
      </c>
      <c r="P2005">
        <f t="shared" si="256"/>
        <v>-10.000000000000053</v>
      </c>
      <c r="Q2005">
        <f t="shared" si="257"/>
        <v>-9.9999999999999645</v>
      </c>
      <c r="R2005">
        <f t="shared" si="258"/>
        <v>-7.0000000000000284</v>
      </c>
    </row>
    <row r="2006" spans="1:18">
      <c r="A2006" s="9">
        <v>39638</v>
      </c>
      <c r="B2006">
        <v>3.04</v>
      </c>
      <c r="C2006">
        <v>3.43</v>
      </c>
      <c r="D2006">
        <v>3.76</v>
      </c>
      <c r="E2006">
        <v>3.98</v>
      </c>
      <c r="F2006">
        <v>4.1399999999999997</v>
      </c>
      <c r="G2006">
        <v>4.38</v>
      </c>
      <c r="H2006">
        <v>4.5999999999999996</v>
      </c>
      <c r="I2006">
        <v>4.93</v>
      </c>
      <c r="K2006">
        <f t="shared" si="251"/>
        <v>0</v>
      </c>
      <c r="L2006">
        <f t="shared" si="252"/>
        <v>0</v>
      </c>
      <c r="M2006">
        <f t="shared" si="253"/>
        <v>-3.0000000000000249</v>
      </c>
      <c r="N2006">
        <f t="shared" si="254"/>
        <v>-3.9999999999999591</v>
      </c>
      <c r="O2006">
        <f t="shared" si="255"/>
        <v>-4.0000000000000036</v>
      </c>
      <c r="P2006">
        <f t="shared" si="256"/>
        <v>-4.9999999999999822</v>
      </c>
      <c r="Q2006">
        <f t="shared" si="257"/>
        <v>-6.0000000000000497</v>
      </c>
      <c r="R2006">
        <f t="shared" si="258"/>
        <v>-7.0000000000000284</v>
      </c>
    </row>
    <row r="2007" spans="1:18">
      <c r="A2007" s="9">
        <v>39639</v>
      </c>
      <c r="B2007">
        <v>3.03</v>
      </c>
      <c r="C2007">
        <v>3.36</v>
      </c>
      <c r="D2007">
        <v>3.67</v>
      </c>
      <c r="E2007">
        <v>3.89</v>
      </c>
      <c r="F2007">
        <v>4.04</v>
      </c>
      <c r="G2007">
        <v>4.29</v>
      </c>
      <c r="H2007">
        <v>4.53</v>
      </c>
      <c r="I2007">
        <v>4.8899999999999997</v>
      </c>
      <c r="K2007">
        <f t="shared" si="251"/>
        <v>-1.0000000000000231</v>
      </c>
      <c r="L2007">
        <f t="shared" si="252"/>
        <v>-7.0000000000000284</v>
      </c>
      <c r="M2007">
        <f t="shared" si="253"/>
        <v>-8.9999999999999858</v>
      </c>
      <c r="N2007">
        <f t="shared" si="254"/>
        <v>-8.9999999999999858</v>
      </c>
      <c r="O2007">
        <f t="shared" si="255"/>
        <v>-9.9999999999999645</v>
      </c>
      <c r="P2007">
        <f t="shared" si="256"/>
        <v>-8.9999999999999858</v>
      </c>
      <c r="Q2007">
        <f t="shared" si="257"/>
        <v>-6.9999999999999396</v>
      </c>
      <c r="R2007">
        <f t="shared" si="258"/>
        <v>-4.0000000000000036</v>
      </c>
    </row>
    <row r="2008" spans="1:18">
      <c r="A2008" s="9">
        <v>39640</v>
      </c>
      <c r="B2008">
        <v>3.04</v>
      </c>
      <c r="C2008">
        <v>3.37</v>
      </c>
      <c r="D2008">
        <v>3.68</v>
      </c>
      <c r="E2008">
        <v>3.89</v>
      </c>
      <c r="F2008">
        <v>4.04</v>
      </c>
      <c r="G2008">
        <v>4.3</v>
      </c>
      <c r="H2008">
        <v>4.53</v>
      </c>
      <c r="I2008">
        <v>4.88</v>
      </c>
      <c r="K2008">
        <f t="shared" si="251"/>
        <v>1.0000000000000231</v>
      </c>
      <c r="L2008">
        <f t="shared" si="252"/>
        <v>1.0000000000000231</v>
      </c>
      <c r="M2008">
        <f t="shared" si="253"/>
        <v>1.0000000000000231</v>
      </c>
      <c r="N2008">
        <f t="shared" si="254"/>
        <v>0</v>
      </c>
      <c r="O2008">
        <f t="shared" si="255"/>
        <v>0</v>
      </c>
      <c r="P2008">
        <f t="shared" si="256"/>
        <v>0.99999999999997868</v>
      </c>
      <c r="Q2008">
        <f t="shared" si="257"/>
        <v>0</v>
      </c>
      <c r="R2008">
        <f t="shared" si="258"/>
        <v>-0.99999999999997868</v>
      </c>
    </row>
    <row r="2009" spans="1:18">
      <c r="A2009" s="9">
        <v>39643</v>
      </c>
      <c r="B2009">
        <v>3.04</v>
      </c>
      <c r="C2009">
        <v>3.41</v>
      </c>
      <c r="D2009">
        <v>3.75</v>
      </c>
      <c r="E2009">
        <v>3.96</v>
      </c>
      <c r="F2009">
        <v>4.1100000000000003</v>
      </c>
      <c r="G2009">
        <v>4.3600000000000003</v>
      </c>
      <c r="H2009">
        <v>4.58</v>
      </c>
      <c r="I2009">
        <v>4.92</v>
      </c>
      <c r="K2009">
        <f t="shared" si="251"/>
        <v>0</v>
      </c>
      <c r="L2009">
        <f t="shared" si="252"/>
        <v>4.0000000000000036</v>
      </c>
      <c r="M2009">
        <f t="shared" si="253"/>
        <v>6.999999999999984</v>
      </c>
      <c r="N2009">
        <f t="shared" si="254"/>
        <v>6.999999999999984</v>
      </c>
      <c r="O2009">
        <f t="shared" si="255"/>
        <v>7.0000000000000284</v>
      </c>
      <c r="P2009">
        <f t="shared" si="256"/>
        <v>6.0000000000000497</v>
      </c>
      <c r="Q2009">
        <f t="shared" si="257"/>
        <v>4.9999999999999822</v>
      </c>
      <c r="R2009">
        <f t="shared" si="258"/>
        <v>4.0000000000000036</v>
      </c>
    </row>
    <row r="2010" spans="1:18">
      <c r="A2010" s="9">
        <v>39644</v>
      </c>
      <c r="B2010">
        <v>2.95</v>
      </c>
      <c r="C2010">
        <v>3.28</v>
      </c>
      <c r="D2010">
        <v>3.61</v>
      </c>
      <c r="E2010">
        <v>3.83</v>
      </c>
      <c r="F2010">
        <v>3.99</v>
      </c>
      <c r="G2010">
        <v>4.25</v>
      </c>
      <c r="H2010">
        <v>4.51</v>
      </c>
      <c r="I2010">
        <v>4.88</v>
      </c>
      <c r="K2010">
        <f t="shared" si="251"/>
        <v>-8.9999999999999858</v>
      </c>
      <c r="L2010">
        <f t="shared" si="252"/>
        <v>-13.000000000000034</v>
      </c>
      <c r="M2010">
        <f t="shared" si="253"/>
        <v>-14.000000000000012</v>
      </c>
      <c r="N2010">
        <f t="shared" si="254"/>
        <v>-12.999999999999989</v>
      </c>
      <c r="O2010">
        <f t="shared" si="255"/>
        <v>-12.000000000000011</v>
      </c>
      <c r="P2010">
        <f t="shared" si="256"/>
        <v>-11.000000000000032</v>
      </c>
      <c r="Q2010">
        <f t="shared" si="257"/>
        <v>-7.0000000000000284</v>
      </c>
      <c r="R2010">
        <f t="shared" si="258"/>
        <v>-4.0000000000000036</v>
      </c>
    </row>
    <row r="2011" spans="1:18">
      <c r="A2011" s="9">
        <v>39645</v>
      </c>
      <c r="B2011">
        <v>2.99</v>
      </c>
      <c r="C2011">
        <v>3.35</v>
      </c>
      <c r="D2011">
        <v>3.7</v>
      </c>
      <c r="E2011">
        <v>3.93</v>
      </c>
      <c r="F2011">
        <v>4.0999999999999996</v>
      </c>
      <c r="G2011">
        <v>4.37</v>
      </c>
      <c r="H2011">
        <v>4.62</v>
      </c>
      <c r="I2011">
        <v>4.99</v>
      </c>
      <c r="K2011">
        <f t="shared" si="251"/>
        <v>4.0000000000000036</v>
      </c>
      <c r="L2011">
        <f t="shared" si="252"/>
        <v>7.0000000000000284</v>
      </c>
      <c r="M2011">
        <f t="shared" si="253"/>
        <v>9.0000000000000302</v>
      </c>
      <c r="N2011">
        <f t="shared" si="254"/>
        <v>10.000000000000009</v>
      </c>
      <c r="O2011">
        <f t="shared" si="255"/>
        <v>10.999999999999943</v>
      </c>
      <c r="P2011">
        <f t="shared" si="256"/>
        <v>12.000000000000011</v>
      </c>
      <c r="Q2011">
        <f t="shared" si="257"/>
        <v>11.000000000000032</v>
      </c>
      <c r="R2011">
        <f t="shared" si="258"/>
        <v>11.000000000000032</v>
      </c>
    </row>
    <row r="2012" spans="1:18">
      <c r="A2012" s="9">
        <v>39646</v>
      </c>
      <c r="B2012">
        <v>3.06</v>
      </c>
      <c r="C2012">
        <v>3.46</v>
      </c>
      <c r="D2012">
        <v>3.81</v>
      </c>
      <c r="E2012">
        <v>4.03</v>
      </c>
      <c r="F2012">
        <v>4.1900000000000004</v>
      </c>
      <c r="G2012">
        <v>4.45</v>
      </c>
      <c r="H2012">
        <v>4.7</v>
      </c>
      <c r="I2012">
        <v>5.03</v>
      </c>
      <c r="K2012">
        <f t="shared" si="251"/>
        <v>6.999999999999984</v>
      </c>
      <c r="L2012">
        <f t="shared" si="252"/>
        <v>10.999999999999988</v>
      </c>
      <c r="M2012">
        <f t="shared" si="253"/>
        <v>10.999999999999988</v>
      </c>
      <c r="N2012">
        <f t="shared" si="254"/>
        <v>10.000000000000009</v>
      </c>
      <c r="O2012">
        <f t="shared" si="255"/>
        <v>9.0000000000000746</v>
      </c>
      <c r="P2012">
        <f t="shared" si="256"/>
        <v>8.0000000000000071</v>
      </c>
      <c r="Q2012">
        <f t="shared" si="257"/>
        <v>8.0000000000000071</v>
      </c>
      <c r="R2012">
        <f t="shared" si="258"/>
        <v>4.0000000000000036</v>
      </c>
    </row>
    <row r="2013" spans="1:18">
      <c r="A2013" s="9">
        <v>39647</v>
      </c>
      <c r="B2013">
        <v>3.11</v>
      </c>
      <c r="C2013">
        <v>3.56</v>
      </c>
      <c r="D2013">
        <v>3.93</v>
      </c>
      <c r="E2013">
        <v>4.16</v>
      </c>
      <c r="F2013">
        <v>4.34</v>
      </c>
      <c r="G2013">
        <v>4.58</v>
      </c>
      <c r="H2013">
        <v>4.82</v>
      </c>
      <c r="I2013">
        <v>5.13</v>
      </c>
      <c r="K2013">
        <f t="shared" si="251"/>
        <v>4.9999999999999822</v>
      </c>
      <c r="L2013">
        <f t="shared" si="252"/>
        <v>10.000000000000009</v>
      </c>
      <c r="M2013">
        <f t="shared" si="253"/>
        <v>12.000000000000011</v>
      </c>
      <c r="N2013">
        <f t="shared" si="254"/>
        <v>12.999999999999989</v>
      </c>
      <c r="O2013">
        <f t="shared" si="255"/>
        <v>14.999999999999947</v>
      </c>
      <c r="P2013">
        <f t="shared" si="256"/>
        <v>12.999999999999989</v>
      </c>
      <c r="Q2013">
        <f t="shared" si="257"/>
        <v>12.000000000000011</v>
      </c>
      <c r="R2013">
        <f t="shared" si="258"/>
        <v>9.9999999999999645</v>
      </c>
    </row>
    <row r="2014" spans="1:18">
      <c r="A2014" s="9">
        <v>39650</v>
      </c>
      <c r="B2014">
        <v>3.21</v>
      </c>
      <c r="C2014">
        <v>3.71</v>
      </c>
      <c r="D2014">
        <v>4.08</v>
      </c>
      <c r="E2014">
        <v>4.3</v>
      </c>
      <c r="F2014">
        <v>4.45</v>
      </c>
      <c r="G2014">
        <v>4.67</v>
      </c>
      <c r="H2014">
        <v>4.87</v>
      </c>
      <c r="I2014">
        <v>5.16</v>
      </c>
      <c r="K2014">
        <f t="shared" si="251"/>
        <v>10.000000000000009</v>
      </c>
      <c r="L2014">
        <f t="shared" si="252"/>
        <v>14.999999999999991</v>
      </c>
      <c r="M2014">
        <f t="shared" si="253"/>
        <v>14.999999999999991</v>
      </c>
      <c r="N2014">
        <f t="shared" si="254"/>
        <v>13.999999999999968</v>
      </c>
      <c r="O2014">
        <f t="shared" si="255"/>
        <v>11.000000000000032</v>
      </c>
      <c r="P2014">
        <f t="shared" si="256"/>
        <v>8.9999999999999858</v>
      </c>
      <c r="Q2014">
        <f t="shared" si="257"/>
        <v>4.9999999999999822</v>
      </c>
      <c r="R2014">
        <f t="shared" si="258"/>
        <v>3.0000000000000249</v>
      </c>
    </row>
    <row r="2015" spans="1:18">
      <c r="A2015" s="9">
        <v>39651</v>
      </c>
      <c r="B2015">
        <v>3.18</v>
      </c>
      <c r="C2015">
        <v>3.66</v>
      </c>
      <c r="D2015">
        <v>4.03</v>
      </c>
      <c r="E2015">
        <v>4.25</v>
      </c>
      <c r="F2015">
        <v>4.4000000000000004</v>
      </c>
      <c r="G2015">
        <v>4.62</v>
      </c>
      <c r="H2015">
        <v>4.83</v>
      </c>
      <c r="I2015">
        <v>5.12</v>
      </c>
      <c r="K2015">
        <f t="shared" si="251"/>
        <v>-2.9999999999999805</v>
      </c>
      <c r="L2015">
        <f t="shared" si="252"/>
        <v>-4.9999999999999822</v>
      </c>
      <c r="M2015">
        <f t="shared" si="253"/>
        <v>-4.9999999999999822</v>
      </c>
      <c r="N2015">
        <f t="shared" si="254"/>
        <v>-4.9999999999999822</v>
      </c>
      <c r="O2015">
        <f t="shared" si="255"/>
        <v>-4.9999999999999822</v>
      </c>
      <c r="P2015">
        <f t="shared" si="256"/>
        <v>-4.9999999999999822</v>
      </c>
      <c r="Q2015">
        <f t="shared" si="257"/>
        <v>-4.0000000000000036</v>
      </c>
      <c r="R2015">
        <f t="shared" si="258"/>
        <v>-4.0000000000000036</v>
      </c>
    </row>
    <row r="2016" spans="1:18">
      <c r="A2016" s="9">
        <v>39652</v>
      </c>
      <c r="B2016">
        <v>3.26</v>
      </c>
      <c r="C2016">
        <v>3.76</v>
      </c>
      <c r="D2016">
        <v>4.13</v>
      </c>
      <c r="E2016">
        <v>4.3499999999999996</v>
      </c>
      <c r="F2016">
        <v>4.49</v>
      </c>
      <c r="G2016">
        <v>4.6900000000000004</v>
      </c>
      <c r="H2016">
        <v>4.87</v>
      </c>
      <c r="I2016">
        <v>5.14</v>
      </c>
      <c r="K2016">
        <f t="shared" si="251"/>
        <v>7.9999999999999627</v>
      </c>
      <c r="L2016">
        <f t="shared" si="252"/>
        <v>9.9999999999999645</v>
      </c>
      <c r="M2016">
        <f t="shared" si="253"/>
        <v>9.9999999999999645</v>
      </c>
      <c r="N2016">
        <f t="shared" si="254"/>
        <v>9.9999999999999645</v>
      </c>
      <c r="O2016">
        <f t="shared" si="255"/>
        <v>8.9999999999999858</v>
      </c>
      <c r="P2016">
        <f t="shared" si="256"/>
        <v>7.0000000000000284</v>
      </c>
      <c r="Q2016">
        <f t="shared" si="257"/>
        <v>4.0000000000000036</v>
      </c>
      <c r="R2016">
        <f t="shared" si="258"/>
        <v>1.9999999999999574</v>
      </c>
    </row>
    <row r="2017" spans="1:18">
      <c r="A2017" s="9">
        <v>39653</v>
      </c>
      <c r="B2017">
        <v>3.14</v>
      </c>
      <c r="C2017">
        <v>3.61</v>
      </c>
      <c r="D2017">
        <v>3.96</v>
      </c>
      <c r="E2017">
        <v>4.18</v>
      </c>
      <c r="F2017">
        <v>4.32</v>
      </c>
      <c r="G2017">
        <v>4.54</v>
      </c>
      <c r="H2017">
        <v>4.74</v>
      </c>
      <c r="I2017">
        <v>5.03</v>
      </c>
      <c r="K2017">
        <f t="shared" si="251"/>
        <v>-11.999999999999966</v>
      </c>
      <c r="L2017">
        <f t="shared" si="252"/>
        <v>-14.999999999999991</v>
      </c>
      <c r="M2017">
        <f t="shared" si="253"/>
        <v>-16.999999999999993</v>
      </c>
      <c r="N2017">
        <f t="shared" si="254"/>
        <v>-16.999999999999993</v>
      </c>
      <c r="O2017">
        <f t="shared" si="255"/>
        <v>-16.999999999999993</v>
      </c>
      <c r="P2017">
        <f t="shared" si="256"/>
        <v>-15.000000000000036</v>
      </c>
      <c r="Q2017">
        <f t="shared" si="257"/>
        <v>-12.999999999999989</v>
      </c>
      <c r="R2017">
        <f t="shared" si="258"/>
        <v>-10.999999999999943</v>
      </c>
    </row>
    <row r="2018" spans="1:18">
      <c r="A2018" s="9">
        <v>39654</v>
      </c>
      <c r="B2018">
        <v>3.13</v>
      </c>
      <c r="C2018">
        <v>3.58</v>
      </c>
      <c r="D2018">
        <v>3.92</v>
      </c>
      <c r="E2018">
        <v>4.1500000000000004</v>
      </c>
      <c r="F2018">
        <v>4.3</v>
      </c>
      <c r="G2018">
        <v>4.54</v>
      </c>
      <c r="H2018">
        <v>4.76</v>
      </c>
      <c r="I2018">
        <v>5.07</v>
      </c>
      <c r="K2018">
        <f t="shared" si="251"/>
        <v>-1.0000000000000231</v>
      </c>
      <c r="L2018">
        <f t="shared" si="252"/>
        <v>-2.9999999999999805</v>
      </c>
      <c r="M2018">
        <f t="shared" si="253"/>
        <v>-4.0000000000000036</v>
      </c>
      <c r="N2018">
        <f t="shared" si="254"/>
        <v>-2.9999999999999361</v>
      </c>
      <c r="O2018">
        <f t="shared" si="255"/>
        <v>-2.0000000000000462</v>
      </c>
      <c r="P2018">
        <f t="shared" si="256"/>
        <v>0</v>
      </c>
      <c r="Q2018">
        <f t="shared" si="257"/>
        <v>1.9999999999999574</v>
      </c>
      <c r="R2018">
        <f t="shared" si="258"/>
        <v>4.0000000000000036</v>
      </c>
    </row>
    <row r="2019" spans="1:18">
      <c r="A2019" s="9">
        <v>39657</v>
      </c>
      <c r="B2019">
        <v>3.08</v>
      </c>
      <c r="C2019">
        <v>3.51</v>
      </c>
      <c r="D2019">
        <v>3.86</v>
      </c>
      <c r="E2019">
        <v>4.08</v>
      </c>
      <c r="F2019">
        <v>4.24</v>
      </c>
      <c r="G2019">
        <v>4.4800000000000004</v>
      </c>
      <c r="H2019">
        <v>4.71</v>
      </c>
      <c r="I2019">
        <v>5.0199999999999996</v>
      </c>
      <c r="K2019">
        <f t="shared" si="251"/>
        <v>-4.9999999999999822</v>
      </c>
      <c r="L2019">
        <f t="shared" si="252"/>
        <v>-7.0000000000000284</v>
      </c>
      <c r="M2019">
        <f t="shared" si="253"/>
        <v>-6.0000000000000053</v>
      </c>
      <c r="N2019">
        <f t="shared" si="254"/>
        <v>-7.0000000000000284</v>
      </c>
      <c r="O2019">
        <f t="shared" si="255"/>
        <v>-5.9999999999999609</v>
      </c>
      <c r="P2019">
        <f t="shared" si="256"/>
        <v>-5.9999999999999609</v>
      </c>
      <c r="Q2019">
        <f t="shared" si="257"/>
        <v>-4.9999999999999822</v>
      </c>
      <c r="R2019">
        <f t="shared" si="258"/>
        <v>-5.0000000000000711</v>
      </c>
    </row>
    <row r="2020" spans="1:18">
      <c r="A2020" s="9">
        <v>39658</v>
      </c>
      <c r="B2020">
        <v>3.11</v>
      </c>
      <c r="C2020">
        <v>3.55</v>
      </c>
      <c r="D2020">
        <v>3.92</v>
      </c>
      <c r="E2020">
        <v>4.1500000000000004</v>
      </c>
      <c r="F2020">
        <v>4.3099999999999996</v>
      </c>
      <c r="G2020">
        <v>4.55</v>
      </c>
      <c r="H2020">
        <v>4.78</v>
      </c>
      <c r="I2020">
        <v>5.0999999999999996</v>
      </c>
      <c r="K2020">
        <f t="shared" si="251"/>
        <v>2.9999999999999805</v>
      </c>
      <c r="L2020">
        <f t="shared" si="252"/>
        <v>4.0000000000000036</v>
      </c>
      <c r="M2020">
        <f t="shared" si="253"/>
        <v>6.0000000000000053</v>
      </c>
      <c r="N2020">
        <f t="shared" si="254"/>
        <v>7.0000000000000284</v>
      </c>
      <c r="O2020">
        <f t="shared" si="255"/>
        <v>6.9999999999999396</v>
      </c>
      <c r="P2020">
        <f t="shared" si="256"/>
        <v>6.9999999999999396</v>
      </c>
      <c r="Q2020">
        <f t="shared" si="257"/>
        <v>7.0000000000000284</v>
      </c>
      <c r="R2020">
        <f t="shared" si="258"/>
        <v>8.0000000000000071</v>
      </c>
    </row>
    <row r="2021" spans="1:18">
      <c r="A2021" s="9">
        <v>39659</v>
      </c>
      <c r="B2021">
        <v>3.07</v>
      </c>
      <c r="C2021">
        <v>3.53</v>
      </c>
      <c r="D2021">
        <v>3.91</v>
      </c>
      <c r="E2021">
        <v>4.1399999999999997</v>
      </c>
      <c r="F2021">
        <v>4.3</v>
      </c>
      <c r="G2021">
        <v>4.54</v>
      </c>
      <c r="H2021">
        <v>4.76</v>
      </c>
      <c r="I2021">
        <v>5.08</v>
      </c>
      <c r="K2021">
        <f t="shared" si="251"/>
        <v>-4.0000000000000036</v>
      </c>
      <c r="L2021">
        <f t="shared" si="252"/>
        <v>-2.0000000000000018</v>
      </c>
      <c r="M2021">
        <f t="shared" si="253"/>
        <v>-0.99999999999997868</v>
      </c>
      <c r="N2021">
        <f t="shared" si="254"/>
        <v>-1.0000000000000675</v>
      </c>
      <c r="O2021">
        <f t="shared" si="255"/>
        <v>-0.99999999999997868</v>
      </c>
      <c r="P2021">
        <f t="shared" si="256"/>
        <v>-0.99999999999997868</v>
      </c>
      <c r="Q2021">
        <f t="shared" si="257"/>
        <v>-2.0000000000000462</v>
      </c>
      <c r="R2021">
        <f t="shared" si="258"/>
        <v>-1.9999999999999574</v>
      </c>
    </row>
    <row r="2022" spans="1:18">
      <c r="A2022" s="9">
        <v>39660</v>
      </c>
      <c r="B2022">
        <v>3.02</v>
      </c>
      <c r="C2022">
        <v>3.44</v>
      </c>
      <c r="D2022">
        <v>3.8</v>
      </c>
      <c r="E2022">
        <v>4.0199999999999996</v>
      </c>
      <c r="F2022">
        <v>4.17</v>
      </c>
      <c r="G2022">
        <v>4.43</v>
      </c>
      <c r="H2022">
        <v>4.67</v>
      </c>
      <c r="I2022">
        <v>5</v>
      </c>
      <c r="K2022">
        <f t="shared" si="251"/>
        <v>-4.9999999999999822</v>
      </c>
      <c r="L2022">
        <f t="shared" si="252"/>
        <v>-8.9999999999999858</v>
      </c>
      <c r="M2022">
        <f t="shared" si="253"/>
        <v>-11.000000000000032</v>
      </c>
      <c r="N2022">
        <f t="shared" si="254"/>
        <v>-12.000000000000011</v>
      </c>
      <c r="O2022">
        <f t="shared" si="255"/>
        <v>-12.999999999999989</v>
      </c>
      <c r="P2022">
        <f t="shared" si="256"/>
        <v>-11.000000000000032</v>
      </c>
      <c r="Q2022">
        <f t="shared" si="257"/>
        <v>-8.9999999999999858</v>
      </c>
      <c r="R2022">
        <f t="shared" si="258"/>
        <v>-8.0000000000000071</v>
      </c>
    </row>
    <row r="2023" spans="1:18">
      <c r="A2023" s="9">
        <v>39661</v>
      </c>
      <c r="B2023">
        <v>3.05</v>
      </c>
      <c r="C2023">
        <v>3.43</v>
      </c>
      <c r="D2023">
        <v>3.78</v>
      </c>
      <c r="E2023">
        <v>4.01</v>
      </c>
      <c r="F2023">
        <v>4.18</v>
      </c>
      <c r="G2023">
        <v>4.4400000000000004</v>
      </c>
      <c r="H2023">
        <v>4.6900000000000004</v>
      </c>
      <c r="I2023">
        <v>5.03</v>
      </c>
      <c r="K2023">
        <f t="shared" si="251"/>
        <v>2.9999999999999805</v>
      </c>
      <c r="L2023">
        <f t="shared" si="252"/>
        <v>-0.99999999999997868</v>
      </c>
      <c r="M2023">
        <f t="shared" si="253"/>
        <v>-2.0000000000000018</v>
      </c>
      <c r="N2023">
        <f t="shared" si="254"/>
        <v>-0.99999999999997868</v>
      </c>
      <c r="O2023">
        <f t="shared" si="255"/>
        <v>0.99999999999997868</v>
      </c>
      <c r="P2023">
        <f t="shared" si="256"/>
        <v>1.0000000000000675</v>
      </c>
      <c r="Q2023">
        <f t="shared" si="257"/>
        <v>2.0000000000000462</v>
      </c>
      <c r="R2023">
        <f t="shared" si="258"/>
        <v>3.0000000000000249</v>
      </c>
    </row>
    <row r="2024" spans="1:18">
      <c r="A2024" s="9">
        <v>39664</v>
      </c>
      <c r="B2024">
        <v>3.05</v>
      </c>
      <c r="C2024">
        <v>3.42</v>
      </c>
      <c r="D2024">
        <v>3.76</v>
      </c>
      <c r="E2024">
        <v>3.98</v>
      </c>
      <c r="F2024">
        <v>4.1500000000000004</v>
      </c>
      <c r="G2024">
        <v>4.41</v>
      </c>
      <c r="H2024">
        <v>4.66</v>
      </c>
      <c r="I2024">
        <v>5</v>
      </c>
      <c r="K2024">
        <f t="shared" si="251"/>
        <v>0</v>
      </c>
      <c r="L2024">
        <f t="shared" si="252"/>
        <v>-1.0000000000000231</v>
      </c>
      <c r="M2024">
        <f t="shared" si="253"/>
        <v>-2.0000000000000018</v>
      </c>
      <c r="N2024">
        <f t="shared" si="254"/>
        <v>-2.9999999999999805</v>
      </c>
      <c r="O2024">
        <f t="shared" si="255"/>
        <v>-2.9999999999999361</v>
      </c>
      <c r="P2024">
        <f t="shared" si="256"/>
        <v>-3.0000000000000249</v>
      </c>
      <c r="Q2024">
        <f t="shared" si="257"/>
        <v>-3.0000000000000249</v>
      </c>
      <c r="R2024">
        <f t="shared" si="258"/>
        <v>-3.0000000000000249</v>
      </c>
    </row>
    <row r="2025" spans="1:18">
      <c r="A2025" s="9">
        <v>39665</v>
      </c>
      <c r="B2025">
        <v>3.11</v>
      </c>
      <c r="C2025">
        <v>3.51</v>
      </c>
      <c r="D2025">
        <v>3.85</v>
      </c>
      <c r="E2025">
        <v>4.08</v>
      </c>
      <c r="F2025">
        <v>4.24</v>
      </c>
      <c r="G2025">
        <v>4.49</v>
      </c>
      <c r="H2025">
        <v>4.7300000000000004</v>
      </c>
      <c r="I2025">
        <v>5.0599999999999996</v>
      </c>
      <c r="K2025">
        <f t="shared" si="251"/>
        <v>6.0000000000000053</v>
      </c>
      <c r="L2025">
        <f t="shared" si="252"/>
        <v>8.9999999999999858</v>
      </c>
      <c r="M2025">
        <f t="shared" si="253"/>
        <v>9.0000000000000302</v>
      </c>
      <c r="N2025">
        <f t="shared" si="254"/>
        <v>10.000000000000009</v>
      </c>
      <c r="O2025">
        <f t="shared" si="255"/>
        <v>8.9999999999999858</v>
      </c>
      <c r="P2025">
        <f t="shared" si="256"/>
        <v>8.0000000000000071</v>
      </c>
      <c r="Q2025">
        <f t="shared" si="257"/>
        <v>7.0000000000000284</v>
      </c>
      <c r="R2025">
        <f t="shared" si="258"/>
        <v>5.9999999999999609</v>
      </c>
    </row>
    <row r="2026" spans="1:18">
      <c r="A2026" s="9">
        <v>39666</v>
      </c>
      <c r="B2026">
        <v>3.09</v>
      </c>
      <c r="C2026">
        <v>3.52</v>
      </c>
      <c r="D2026">
        <v>3.9</v>
      </c>
      <c r="E2026">
        <v>4.13</v>
      </c>
      <c r="F2026">
        <v>4.3</v>
      </c>
      <c r="G2026">
        <v>4.5599999999999996</v>
      </c>
      <c r="H2026">
        <v>4.8099999999999996</v>
      </c>
      <c r="I2026">
        <v>5.14</v>
      </c>
      <c r="K2026">
        <f t="shared" si="251"/>
        <v>-2.0000000000000018</v>
      </c>
      <c r="L2026">
        <f t="shared" si="252"/>
        <v>1.0000000000000231</v>
      </c>
      <c r="M2026">
        <f t="shared" si="253"/>
        <v>4.9999999999999822</v>
      </c>
      <c r="N2026">
        <f t="shared" si="254"/>
        <v>4.9999999999999822</v>
      </c>
      <c r="O2026">
        <f t="shared" si="255"/>
        <v>5.9999999999999609</v>
      </c>
      <c r="P2026">
        <f t="shared" si="256"/>
        <v>6.9999999999999396</v>
      </c>
      <c r="Q2026">
        <f t="shared" si="257"/>
        <v>7.9999999999999183</v>
      </c>
      <c r="R2026">
        <f t="shared" si="258"/>
        <v>8.0000000000000071</v>
      </c>
    </row>
    <row r="2027" spans="1:18">
      <c r="A2027" s="9">
        <v>39667</v>
      </c>
      <c r="B2027">
        <v>3.05</v>
      </c>
      <c r="C2027">
        <v>3.44</v>
      </c>
      <c r="D2027">
        <v>3.81</v>
      </c>
      <c r="E2027">
        <v>4.0599999999999996</v>
      </c>
      <c r="F2027">
        <v>4.22</v>
      </c>
      <c r="G2027">
        <v>4.5</v>
      </c>
      <c r="H2027">
        <v>4.76</v>
      </c>
      <c r="I2027">
        <v>5.13</v>
      </c>
      <c r="K2027">
        <f t="shared" si="251"/>
        <v>-4.0000000000000036</v>
      </c>
      <c r="L2027">
        <f t="shared" si="252"/>
        <v>-8.0000000000000071</v>
      </c>
      <c r="M2027">
        <f t="shared" si="253"/>
        <v>-8.9999999999999858</v>
      </c>
      <c r="N2027">
        <f t="shared" si="254"/>
        <v>-7.0000000000000284</v>
      </c>
      <c r="O2027">
        <f t="shared" si="255"/>
        <v>-8.0000000000000071</v>
      </c>
      <c r="P2027">
        <f t="shared" si="256"/>
        <v>-5.9999999999999609</v>
      </c>
      <c r="Q2027">
        <f t="shared" si="257"/>
        <v>-4.9999999999999822</v>
      </c>
      <c r="R2027">
        <f t="shared" si="258"/>
        <v>-0.99999999999997868</v>
      </c>
    </row>
    <row r="2028" spans="1:18">
      <c r="A2028" s="9">
        <v>39668</v>
      </c>
      <c r="B2028">
        <v>3.04</v>
      </c>
      <c r="C2028">
        <v>3.43</v>
      </c>
      <c r="D2028">
        <v>3.79</v>
      </c>
      <c r="E2028">
        <v>4.0199999999999996</v>
      </c>
      <c r="F2028">
        <v>4.18</v>
      </c>
      <c r="G2028">
        <v>4.45</v>
      </c>
      <c r="H2028">
        <v>4.68</v>
      </c>
      <c r="I2028">
        <v>5.04</v>
      </c>
      <c r="K2028">
        <f t="shared" si="251"/>
        <v>-0.99999999999997868</v>
      </c>
      <c r="L2028">
        <f t="shared" si="252"/>
        <v>-0.99999999999997868</v>
      </c>
      <c r="M2028">
        <f t="shared" si="253"/>
        <v>-2.0000000000000018</v>
      </c>
      <c r="N2028">
        <f t="shared" si="254"/>
        <v>-4.0000000000000036</v>
      </c>
      <c r="O2028">
        <f t="shared" si="255"/>
        <v>-4.0000000000000036</v>
      </c>
      <c r="P2028">
        <f t="shared" si="256"/>
        <v>-4.9999999999999822</v>
      </c>
      <c r="Q2028">
        <f t="shared" si="257"/>
        <v>-8.0000000000000071</v>
      </c>
      <c r="R2028">
        <f t="shared" si="258"/>
        <v>-8.9999999999999858</v>
      </c>
    </row>
    <row r="2029" spans="1:18">
      <c r="A2029" s="9">
        <v>39671</v>
      </c>
      <c r="B2029">
        <v>3.06</v>
      </c>
      <c r="C2029">
        <v>3.46</v>
      </c>
      <c r="D2029">
        <v>3.83</v>
      </c>
      <c r="E2029">
        <v>4.0599999999999996</v>
      </c>
      <c r="F2029">
        <v>4.22</v>
      </c>
      <c r="G2029">
        <v>4.47</v>
      </c>
      <c r="H2029">
        <v>4.71</v>
      </c>
      <c r="I2029">
        <v>5.04</v>
      </c>
      <c r="K2029">
        <f t="shared" si="251"/>
        <v>2.0000000000000018</v>
      </c>
      <c r="L2029">
        <f t="shared" si="252"/>
        <v>2.9999999999999805</v>
      </c>
      <c r="M2029">
        <f t="shared" si="253"/>
        <v>4.0000000000000036</v>
      </c>
      <c r="N2029">
        <f t="shared" si="254"/>
        <v>4.0000000000000036</v>
      </c>
      <c r="O2029">
        <f t="shared" si="255"/>
        <v>4.0000000000000036</v>
      </c>
      <c r="P2029">
        <f t="shared" si="256"/>
        <v>1.9999999999999574</v>
      </c>
      <c r="Q2029">
        <f t="shared" si="257"/>
        <v>3.0000000000000249</v>
      </c>
      <c r="R2029">
        <f t="shared" si="258"/>
        <v>0</v>
      </c>
    </row>
    <row r="2030" spans="1:18">
      <c r="A2030" s="9">
        <v>39672</v>
      </c>
      <c r="B2030">
        <v>3.07</v>
      </c>
      <c r="C2030">
        <v>3.4</v>
      </c>
      <c r="D2030">
        <v>3.76</v>
      </c>
      <c r="E2030">
        <v>3.99</v>
      </c>
      <c r="F2030">
        <v>4.16</v>
      </c>
      <c r="G2030">
        <v>4.42</v>
      </c>
      <c r="H2030">
        <v>4.66</v>
      </c>
      <c r="I2030">
        <v>5.01</v>
      </c>
      <c r="K2030">
        <f t="shared" si="251"/>
        <v>0.99999999999997868</v>
      </c>
      <c r="L2030">
        <f t="shared" si="252"/>
        <v>-6.0000000000000053</v>
      </c>
      <c r="M2030">
        <f t="shared" si="253"/>
        <v>-7.0000000000000284</v>
      </c>
      <c r="N2030">
        <f t="shared" si="254"/>
        <v>-6.9999999999999396</v>
      </c>
      <c r="O2030">
        <f t="shared" si="255"/>
        <v>-5.9999999999999609</v>
      </c>
      <c r="P2030">
        <f t="shared" si="256"/>
        <v>-4.9999999999999822</v>
      </c>
      <c r="Q2030">
        <f t="shared" si="257"/>
        <v>-4.9999999999999822</v>
      </c>
      <c r="R2030">
        <f t="shared" si="258"/>
        <v>-3.0000000000000249</v>
      </c>
    </row>
    <row r="2031" spans="1:18">
      <c r="A2031" s="9">
        <v>39673</v>
      </c>
      <c r="B2031">
        <v>3</v>
      </c>
      <c r="C2031">
        <v>3.35</v>
      </c>
      <c r="D2031">
        <v>3.71</v>
      </c>
      <c r="E2031">
        <v>3.95</v>
      </c>
      <c r="F2031">
        <v>4.12</v>
      </c>
      <c r="G2031">
        <v>4.37</v>
      </c>
      <c r="H2031">
        <v>4.62</v>
      </c>
      <c r="I2031">
        <v>4.97</v>
      </c>
      <c r="K2031">
        <f t="shared" si="251"/>
        <v>-6.999999999999984</v>
      </c>
      <c r="L2031">
        <f t="shared" si="252"/>
        <v>-4.9999999999999822</v>
      </c>
      <c r="M2031">
        <f t="shared" si="253"/>
        <v>-4.9999999999999822</v>
      </c>
      <c r="N2031">
        <f t="shared" si="254"/>
        <v>-4.0000000000000036</v>
      </c>
      <c r="O2031">
        <f t="shared" si="255"/>
        <v>-4.0000000000000036</v>
      </c>
      <c r="P2031">
        <f t="shared" si="256"/>
        <v>-4.9999999999999822</v>
      </c>
      <c r="Q2031">
        <f t="shared" si="257"/>
        <v>-4.0000000000000036</v>
      </c>
      <c r="R2031">
        <f t="shared" si="258"/>
        <v>-4.0000000000000036</v>
      </c>
    </row>
    <row r="2032" spans="1:18">
      <c r="A2032" s="9">
        <v>39674</v>
      </c>
      <c r="B2032">
        <v>3.05</v>
      </c>
      <c r="C2032">
        <v>3.42</v>
      </c>
      <c r="D2032">
        <v>3.78</v>
      </c>
      <c r="E2032">
        <v>4.01</v>
      </c>
      <c r="F2032">
        <v>4.17</v>
      </c>
      <c r="G2032">
        <v>4.41</v>
      </c>
      <c r="H2032">
        <v>4.6399999999999997</v>
      </c>
      <c r="I2032">
        <v>4.9800000000000004</v>
      </c>
      <c r="K2032">
        <f t="shared" si="251"/>
        <v>4.9999999999999822</v>
      </c>
      <c r="L2032">
        <f t="shared" si="252"/>
        <v>6.999999999999984</v>
      </c>
      <c r="M2032">
        <f t="shared" si="253"/>
        <v>6.999999999999984</v>
      </c>
      <c r="N2032">
        <f t="shared" si="254"/>
        <v>5.9999999999999609</v>
      </c>
      <c r="O2032">
        <f t="shared" si="255"/>
        <v>4.9999999999999822</v>
      </c>
      <c r="P2032">
        <f t="shared" si="256"/>
        <v>4.0000000000000036</v>
      </c>
      <c r="Q2032">
        <f t="shared" si="257"/>
        <v>1.9999999999999574</v>
      </c>
      <c r="R2032">
        <f t="shared" si="258"/>
        <v>1.0000000000000675</v>
      </c>
    </row>
    <row r="2033" spans="1:18">
      <c r="A2033" s="9">
        <v>39675</v>
      </c>
      <c r="B2033">
        <v>3.05</v>
      </c>
      <c r="C2033">
        <v>3.38</v>
      </c>
      <c r="D2033">
        <v>3.73</v>
      </c>
      <c r="E2033">
        <v>3.95</v>
      </c>
      <c r="F2033">
        <v>4.1100000000000003</v>
      </c>
      <c r="G2033">
        <v>4.3600000000000003</v>
      </c>
      <c r="H2033">
        <v>4.5999999999999996</v>
      </c>
      <c r="I2033">
        <v>4.96</v>
      </c>
      <c r="K2033">
        <f t="shared" si="251"/>
        <v>0</v>
      </c>
      <c r="L2033">
        <f t="shared" si="252"/>
        <v>-4.0000000000000036</v>
      </c>
      <c r="M2033">
        <f t="shared" si="253"/>
        <v>-4.9999999999999822</v>
      </c>
      <c r="N2033">
        <f t="shared" si="254"/>
        <v>-5.9999999999999609</v>
      </c>
      <c r="O2033">
        <f t="shared" si="255"/>
        <v>-5.9999999999999609</v>
      </c>
      <c r="P2033">
        <f t="shared" si="256"/>
        <v>-4.9999999999999822</v>
      </c>
      <c r="Q2033">
        <f t="shared" si="257"/>
        <v>-4.0000000000000036</v>
      </c>
      <c r="R2033">
        <f t="shared" si="258"/>
        <v>-2.0000000000000462</v>
      </c>
    </row>
    <row r="2034" spans="1:18">
      <c r="A2034" s="9">
        <v>39678</v>
      </c>
      <c r="B2034">
        <v>3.05</v>
      </c>
      <c r="C2034">
        <v>3.38</v>
      </c>
      <c r="D2034">
        <v>3.73</v>
      </c>
      <c r="E2034">
        <v>3.95</v>
      </c>
      <c r="F2034">
        <v>4.0999999999999996</v>
      </c>
      <c r="G2034">
        <v>4.3600000000000003</v>
      </c>
      <c r="H2034">
        <v>4.58</v>
      </c>
      <c r="I2034">
        <v>4.92</v>
      </c>
      <c r="K2034">
        <f t="shared" si="251"/>
        <v>0</v>
      </c>
      <c r="L2034">
        <f t="shared" si="252"/>
        <v>0</v>
      </c>
      <c r="M2034">
        <f t="shared" si="253"/>
        <v>0</v>
      </c>
      <c r="N2034">
        <f t="shared" si="254"/>
        <v>0</v>
      </c>
      <c r="O2034">
        <f t="shared" si="255"/>
        <v>-1.0000000000000675</v>
      </c>
      <c r="P2034">
        <f t="shared" si="256"/>
        <v>0</v>
      </c>
      <c r="Q2034">
        <f t="shared" si="257"/>
        <v>-1.9999999999999574</v>
      </c>
      <c r="R2034">
        <f t="shared" si="258"/>
        <v>-4.0000000000000036</v>
      </c>
    </row>
    <row r="2035" spans="1:18">
      <c r="A2035" s="9">
        <v>39679</v>
      </c>
      <c r="B2035">
        <v>3.02</v>
      </c>
      <c r="C2035">
        <v>3.36</v>
      </c>
      <c r="D2035">
        <v>3.71</v>
      </c>
      <c r="E2035">
        <v>3.94</v>
      </c>
      <c r="F2035">
        <v>4.1100000000000003</v>
      </c>
      <c r="G2035">
        <v>4.3600000000000003</v>
      </c>
      <c r="H2035">
        <v>4.59</v>
      </c>
      <c r="I2035">
        <v>4.93</v>
      </c>
      <c r="K2035">
        <f t="shared" si="251"/>
        <v>-2.9999999999999805</v>
      </c>
      <c r="L2035">
        <f t="shared" si="252"/>
        <v>-2.0000000000000018</v>
      </c>
      <c r="M2035">
        <f t="shared" si="253"/>
        <v>-2.0000000000000018</v>
      </c>
      <c r="N2035">
        <f t="shared" si="254"/>
        <v>-1.0000000000000231</v>
      </c>
      <c r="O2035">
        <f t="shared" si="255"/>
        <v>1.0000000000000675</v>
      </c>
      <c r="P2035">
        <f t="shared" si="256"/>
        <v>0</v>
      </c>
      <c r="Q2035">
        <f t="shared" si="257"/>
        <v>0.99999999999997868</v>
      </c>
      <c r="R2035">
        <f t="shared" si="258"/>
        <v>0.99999999999997868</v>
      </c>
    </row>
    <row r="2036" spans="1:18">
      <c r="A2036" s="9">
        <v>39680</v>
      </c>
      <c r="B2036">
        <v>3</v>
      </c>
      <c r="C2036">
        <v>3.34</v>
      </c>
      <c r="D2036">
        <v>3.68</v>
      </c>
      <c r="E2036">
        <v>3.91</v>
      </c>
      <c r="F2036">
        <v>4.08</v>
      </c>
      <c r="G2036">
        <v>4.34</v>
      </c>
      <c r="H2036">
        <v>4.57</v>
      </c>
      <c r="I2036">
        <v>4.91</v>
      </c>
      <c r="K2036">
        <f t="shared" si="251"/>
        <v>-2.0000000000000018</v>
      </c>
      <c r="L2036">
        <f t="shared" si="252"/>
        <v>-2.0000000000000018</v>
      </c>
      <c r="M2036">
        <f t="shared" si="253"/>
        <v>-2.9999999999999805</v>
      </c>
      <c r="N2036">
        <f t="shared" si="254"/>
        <v>-2.9999999999999805</v>
      </c>
      <c r="O2036">
        <f t="shared" si="255"/>
        <v>-3.0000000000000249</v>
      </c>
      <c r="P2036">
        <f t="shared" si="256"/>
        <v>-2.0000000000000462</v>
      </c>
      <c r="Q2036">
        <f t="shared" si="257"/>
        <v>-1.9999999999999574</v>
      </c>
      <c r="R2036">
        <f t="shared" si="258"/>
        <v>-1.9999999999999574</v>
      </c>
    </row>
    <row r="2037" spans="1:18">
      <c r="A2037" s="9">
        <v>39681</v>
      </c>
      <c r="B2037">
        <v>2.98</v>
      </c>
      <c r="C2037">
        <v>3.3</v>
      </c>
      <c r="D2037">
        <v>3.64</v>
      </c>
      <c r="E2037">
        <v>3.87</v>
      </c>
      <c r="F2037">
        <v>4.04</v>
      </c>
      <c r="G2037">
        <v>4.28</v>
      </c>
      <c r="H2037">
        <v>4.51</v>
      </c>
      <c r="I2037">
        <v>4.8600000000000003</v>
      </c>
      <c r="K2037">
        <f t="shared" si="251"/>
        <v>-2.0000000000000018</v>
      </c>
      <c r="L2037">
        <f t="shared" si="252"/>
        <v>-4.0000000000000036</v>
      </c>
      <c r="M2037">
        <f t="shared" si="253"/>
        <v>-4.0000000000000036</v>
      </c>
      <c r="N2037">
        <f t="shared" si="254"/>
        <v>-4.0000000000000036</v>
      </c>
      <c r="O2037">
        <f t="shared" si="255"/>
        <v>-4.0000000000000036</v>
      </c>
      <c r="P2037">
        <f t="shared" si="256"/>
        <v>-5.9999999999999609</v>
      </c>
      <c r="Q2037">
        <f t="shared" si="257"/>
        <v>-6.0000000000000497</v>
      </c>
      <c r="R2037">
        <f t="shared" si="258"/>
        <v>-4.9999999999999822</v>
      </c>
    </row>
    <row r="2038" spans="1:18">
      <c r="A2038" s="9">
        <v>39682</v>
      </c>
      <c r="B2038">
        <v>3.03</v>
      </c>
      <c r="C2038">
        <v>3.39</v>
      </c>
      <c r="D2038">
        <v>3.74</v>
      </c>
      <c r="E2038">
        <v>3.96</v>
      </c>
      <c r="F2038">
        <v>4.12</v>
      </c>
      <c r="G2038">
        <v>4.3600000000000003</v>
      </c>
      <c r="H2038">
        <v>4.58</v>
      </c>
      <c r="I2038">
        <v>4.91</v>
      </c>
      <c r="K2038">
        <f t="shared" si="251"/>
        <v>4.9999999999999822</v>
      </c>
      <c r="L2038">
        <f t="shared" si="252"/>
        <v>9.0000000000000302</v>
      </c>
      <c r="M2038">
        <f t="shared" si="253"/>
        <v>10.000000000000009</v>
      </c>
      <c r="N2038">
        <f t="shared" si="254"/>
        <v>8.9999999999999858</v>
      </c>
      <c r="O2038">
        <f t="shared" si="255"/>
        <v>8.0000000000000071</v>
      </c>
      <c r="P2038">
        <f t="shared" si="256"/>
        <v>8.0000000000000071</v>
      </c>
      <c r="Q2038">
        <f t="shared" si="257"/>
        <v>7.0000000000000284</v>
      </c>
      <c r="R2038">
        <f t="shared" si="258"/>
        <v>4.9999999999999822</v>
      </c>
    </row>
    <row r="2039" spans="1:18">
      <c r="A2039" s="9">
        <v>39685</v>
      </c>
      <c r="B2039">
        <v>3.01</v>
      </c>
      <c r="C2039">
        <v>3.35</v>
      </c>
      <c r="D2039">
        <v>3.69</v>
      </c>
      <c r="E2039">
        <v>3.91</v>
      </c>
      <c r="F2039">
        <v>4.0599999999999996</v>
      </c>
      <c r="G2039">
        <v>4.29</v>
      </c>
      <c r="H2039">
        <v>4.51</v>
      </c>
      <c r="I2039">
        <v>4.84</v>
      </c>
      <c r="K2039">
        <f t="shared" si="251"/>
        <v>-2.0000000000000018</v>
      </c>
      <c r="L2039">
        <f t="shared" si="252"/>
        <v>-4.0000000000000036</v>
      </c>
      <c r="M2039">
        <f t="shared" si="253"/>
        <v>-5.0000000000000266</v>
      </c>
      <c r="N2039">
        <f t="shared" si="254"/>
        <v>-4.9999999999999822</v>
      </c>
      <c r="O2039">
        <f t="shared" si="255"/>
        <v>-6.0000000000000497</v>
      </c>
      <c r="P2039">
        <f t="shared" si="256"/>
        <v>-7.0000000000000284</v>
      </c>
      <c r="Q2039">
        <f t="shared" si="257"/>
        <v>-7.0000000000000284</v>
      </c>
      <c r="R2039">
        <f t="shared" si="258"/>
        <v>-7.0000000000000284</v>
      </c>
    </row>
    <row r="2040" spans="1:18">
      <c r="A2040" s="9">
        <v>39686</v>
      </c>
      <c r="B2040">
        <v>3</v>
      </c>
      <c r="C2040">
        <v>3.35</v>
      </c>
      <c r="D2040">
        <v>3.69</v>
      </c>
      <c r="E2040">
        <v>3.92</v>
      </c>
      <c r="F2040">
        <v>4.07</v>
      </c>
      <c r="G2040">
        <v>4.3099999999999996</v>
      </c>
      <c r="H2040">
        <v>4.53</v>
      </c>
      <c r="I2040">
        <v>4.8499999999999996</v>
      </c>
      <c r="K2040">
        <f t="shared" si="251"/>
        <v>-0.99999999999997868</v>
      </c>
      <c r="L2040">
        <f t="shared" si="252"/>
        <v>0</v>
      </c>
      <c r="M2040">
        <f t="shared" si="253"/>
        <v>0</v>
      </c>
      <c r="N2040">
        <f t="shared" si="254"/>
        <v>0.99999999999997868</v>
      </c>
      <c r="O2040">
        <f t="shared" si="255"/>
        <v>1.0000000000000675</v>
      </c>
      <c r="P2040">
        <f t="shared" si="256"/>
        <v>1.9999999999999574</v>
      </c>
      <c r="Q2040">
        <f t="shared" si="257"/>
        <v>2.0000000000000462</v>
      </c>
      <c r="R2040">
        <f t="shared" si="258"/>
        <v>0.99999999999997868</v>
      </c>
    </row>
    <row r="2041" spans="1:18">
      <c r="A2041" s="9">
        <v>39687</v>
      </c>
      <c r="B2041">
        <v>3.03</v>
      </c>
      <c r="C2041">
        <v>3.36</v>
      </c>
      <c r="D2041">
        <v>3.69</v>
      </c>
      <c r="E2041">
        <v>3.91</v>
      </c>
      <c r="F2041">
        <v>4.0599999999999996</v>
      </c>
      <c r="G2041">
        <v>4.3</v>
      </c>
      <c r="H2041">
        <v>4.5199999999999996</v>
      </c>
      <c r="I2041">
        <v>4.8499999999999996</v>
      </c>
      <c r="K2041">
        <f t="shared" si="251"/>
        <v>2.9999999999999805</v>
      </c>
      <c r="L2041">
        <f t="shared" si="252"/>
        <v>0.99999999999997868</v>
      </c>
      <c r="M2041">
        <f t="shared" si="253"/>
        <v>0</v>
      </c>
      <c r="N2041">
        <f t="shared" si="254"/>
        <v>-0.99999999999997868</v>
      </c>
      <c r="O2041">
        <f t="shared" si="255"/>
        <v>-1.0000000000000675</v>
      </c>
      <c r="P2041">
        <f t="shared" si="256"/>
        <v>-0.99999999999997868</v>
      </c>
      <c r="Q2041">
        <f t="shared" si="257"/>
        <v>-1.0000000000000675</v>
      </c>
      <c r="R2041">
        <f t="shared" si="258"/>
        <v>0</v>
      </c>
    </row>
    <row r="2042" spans="1:18">
      <c r="A2042" s="9">
        <v>39688</v>
      </c>
      <c r="B2042">
        <v>3</v>
      </c>
      <c r="C2042">
        <v>3.34</v>
      </c>
      <c r="D2042">
        <v>3.68</v>
      </c>
      <c r="E2042">
        <v>3.9</v>
      </c>
      <c r="F2042">
        <v>4.0599999999999996</v>
      </c>
      <c r="G2042">
        <v>4.3</v>
      </c>
      <c r="H2042">
        <v>4.5199999999999996</v>
      </c>
      <c r="I2042">
        <v>4.84</v>
      </c>
      <c r="K2042">
        <f t="shared" si="251"/>
        <v>-2.9999999999999805</v>
      </c>
      <c r="L2042">
        <f t="shared" si="252"/>
        <v>-2.0000000000000018</v>
      </c>
      <c r="M2042">
        <f t="shared" si="253"/>
        <v>-0.99999999999997868</v>
      </c>
      <c r="N2042">
        <f t="shared" si="254"/>
        <v>-1.0000000000000231</v>
      </c>
      <c r="O2042">
        <f t="shared" si="255"/>
        <v>0</v>
      </c>
      <c r="P2042">
        <f t="shared" si="256"/>
        <v>0</v>
      </c>
      <c r="Q2042">
        <f t="shared" si="257"/>
        <v>0</v>
      </c>
      <c r="R2042">
        <f t="shared" si="258"/>
        <v>-0.99999999999997868</v>
      </c>
    </row>
    <row r="2043" spans="1:18">
      <c r="A2043" s="9">
        <v>39689</v>
      </c>
      <c r="B2043">
        <v>3.01</v>
      </c>
      <c r="C2043">
        <v>3.34</v>
      </c>
      <c r="D2043">
        <v>3.66</v>
      </c>
      <c r="E2043">
        <v>3.88</v>
      </c>
      <c r="F2043">
        <v>4.03</v>
      </c>
      <c r="G2043">
        <v>4.26</v>
      </c>
      <c r="H2043">
        <v>4.47</v>
      </c>
      <c r="I2043">
        <v>4.8</v>
      </c>
      <c r="K2043">
        <f t="shared" si="251"/>
        <v>0.99999999999997868</v>
      </c>
      <c r="L2043">
        <f t="shared" si="252"/>
        <v>0</v>
      </c>
      <c r="M2043">
        <f t="shared" si="253"/>
        <v>-2.0000000000000018</v>
      </c>
      <c r="N2043">
        <f t="shared" si="254"/>
        <v>-2.0000000000000018</v>
      </c>
      <c r="O2043">
        <f t="shared" si="255"/>
        <v>-2.9999999999999361</v>
      </c>
      <c r="P2043">
        <f t="shared" si="256"/>
        <v>-4.0000000000000036</v>
      </c>
      <c r="Q2043">
        <f t="shared" si="257"/>
        <v>-4.9999999999999822</v>
      </c>
      <c r="R2043">
        <f t="shared" si="258"/>
        <v>-4.0000000000000036</v>
      </c>
    </row>
    <row r="2044" spans="1:18">
      <c r="A2044" s="9">
        <v>39693</v>
      </c>
      <c r="B2044">
        <v>2.99</v>
      </c>
      <c r="C2044">
        <v>3.31</v>
      </c>
      <c r="D2044">
        <v>3.63</v>
      </c>
      <c r="E2044">
        <v>3.85</v>
      </c>
      <c r="F2044">
        <v>4</v>
      </c>
      <c r="G2044">
        <v>4.25</v>
      </c>
      <c r="H2044">
        <v>4.4800000000000004</v>
      </c>
      <c r="I2044">
        <v>4.82</v>
      </c>
      <c r="K2044">
        <f t="shared" si="251"/>
        <v>-1.9999999999999574</v>
      </c>
      <c r="L2044">
        <f t="shared" si="252"/>
        <v>-2.9999999999999805</v>
      </c>
      <c r="M2044">
        <f t="shared" si="253"/>
        <v>-3.0000000000000249</v>
      </c>
      <c r="N2044">
        <f t="shared" si="254"/>
        <v>-2.9999999999999805</v>
      </c>
      <c r="O2044">
        <f t="shared" si="255"/>
        <v>-3.0000000000000249</v>
      </c>
      <c r="P2044">
        <f t="shared" si="256"/>
        <v>-0.99999999999997868</v>
      </c>
      <c r="Q2044">
        <f t="shared" si="257"/>
        <v>1.0000000000000675</v>
      </c>
      <c r="R2044">
        <f t="shared" si="258"/>
        <v>2.0000000000000462</v>
      </c>
    </row>
    <row r="2045" spans="1:18">
      <c r="A2045" s="9">
        <v>39694</v>
      </c>
      <c r="B2045">
        <v>2.96</v>
      </c>
      <c r="C2045">
        <v>3.26</v>
      </c>
      <c r="D2045">
        <v>3.57</v>
      </c>
      <c r="E2045">
        <v>3.79</v>
      </c>
      <c r="F2045">
        <v>3.94</v>
      </c>
      <c r="G2045">
        <v>4.1900000000000004</v>
      </c>
      <c r="H2045">
        <v>4.42</v>
      </c>
      <c r="I2045">
        <v>4.76</v>
      </c>
      <c r="K2045">
        <f t="shared" si="251"/>
        <v>-3.0000000000000249</v>
      </c>
      <c r="L2045">
        <f t="shared" si="252"/>
        <v>-5.0000000000000266</v>
      </c>
      <c r="M2045">
        <f t="shared" si="253"/>
        <v>-6.0000000000000053</v>
      </c>
      <c r="N2045">
        <f t="shared" si="254"/>
        <v>-6.0000000000000053</v>
      </c>
      <c r="O2045">
        <f t="shared" si="255"/>
        <v>-6.0000000000000053</v>
      </c>
      <c r="P2045">
        <f t="shared" si="256"/>
        <v>-5.9999999999999609</v>
      </c>
      <c r="Q2045">
        <f t="shared" si="257"/>
        <v>-6.0000000000000497</v>
      </c>
      <c r="R2045">
        <f t="shared" si="258"/>
        <v>-6.0000000000000497</v>
      </c>
    </row>
    <row r="2046" spans="1:18">
      <c r="A2046" s="9">
        <v>39695</v>
      </c>
      <c r="B2046">
        <v>2.94</v>
      </c>
      <c r="C2046">
        <v>3.2</v>
      </c>
      <c r="D2046">
        <v>3.5</v>
      </c>
      <c r="E2046">
        <v>3.72</v>
      </c>
      <c r="F2046">
        <v>3.87</v>
      </c>
      <c r="G2046">
        <v>4.1100000000000003</v>
      </c>
      <c r="H2046">
        <v>4.3499999999999996</v>
      </c>
      <c r="I2046">
        <v>4.6900000000000004</v>
      </c>
      <c r="K2046">
        <f t="shared" si="251"/>
        <v>-2.0000000000000018</v>
      </c>
      <c r="L2046">
        <f t="shared" si="252"/>
        <v>-5.9999999999999609</v>
      </c>
      <c r="M2046">
        <f t="shared" si="253"/>
        <v>-6.999999999999984</v>
      </c>
      <c r="N2046">
        <f t="shared" si="254"/>
        <v>-6.999999999999984</v>
      </c>
      <c r="O2046">
        <f t="shared" si="255"/>
        <v>-6.999999999999984</v>
      </c>
      <c r="P2046">
        <f t="shared" si="256"/>
        <v>-8.0000000000000071</v>
      </c>
      <c r="Q2046">
        <f t="shared" si="257"/>
        <v>-7.0000000000000284</v>
      </c>
      <c r="R2046">
        <f t="shared" si="258"/>
        <v>-6.9999999999999396</v>
      </c>
    </row>
    <row r="2047" spans="1:18">
      <c r="A2047" s="9">
        <v>39696</v>
      </c>
      <c r="B2047">
        <v>2.9</v>
      </c>
      <c r="C2047">
        <v>3.12</v>
      </c>
      <c r="D2047">
        <v>3.4</v>
      </c>
      <c r="E2047">
        <v>3.61</v>
      </c>
      <c r="F2047">
        <v>3.77</v>
      </c>
      <c r="G2047">
        <v>4.0199999999999996</v>
      </c>
      <c r="H2047">
        <v>4.26</v>
      </c>
      <c r="I2047">
        <v>4.63</v>
      </c>
      <c r="K2047">
        <f t="shared" si="251"/>
        <v>-4.0000000000000036</v>
      </c>
      <c r="L2047">
        <f t="shared" si="252"/>
        <v>-8.0000000000000071</v>
      </c>
      <c r="M2047">
        <f t="shared" si="253"/>
        <v>-10.000000000000009</v>
      </c>
      <c r="N2047">
        <f t="shared" si="254"/>
        <v>-11.000000000000032</v>
      </c>
      <c r="O2047">
        <f t="shared" si="255"/>
        <v>-10.000000000000009</v>
      </c>
      <c r="P2047">
        <f t="shared" si="256"/>
        <v>-9.0000000000000746</v>
      </c>
      <c r="Q2047">
        <f t="shared" si="257"/>
        <v>-8.9999999999999858</v>
      </c>
      <c r="R2047">
        <f t="shared" si="258"/>
        <v>-6.0000000000000497</v>
      </c>
    </row>
    <row r="2048" spans="1:18">
      <c r="A2048" s="9">
        <v>39699</v>
      </c>
      <c r="B2048">
        <v>2.96</v>
      </c>
      <c r="C2048">
        <v>3.26</v>
      </c>
      <c r="D2048">
        <v>3.57</v>
      </c>
      <c r="E2048">
        <v>3.77</v>
      </c>
      <c r="F2048">
        <v>3.91</v>
      </c>
      <c r="G2048">
        <v>4.1399999999999997</v>
      </c>
      <c r="H2048">
        <v>4.3499999999999996</v>
      </c>
      <c r="I2048">
        <v>4.6900000000000004</v>
      </c>
      <c r="K2048">
        <f t="shared" si="251"/>
        <v>6.0000000000000053</v>
      </c>
      <c r="L2048">
        <f t="shared" si="252"/>
        <v>13.999999999999968</v>
      </c>
      <c r="M2048">
        <f t="shared" si="253"/>
        <v>16.999999999999993</v>
      </c>
      <c r="N2048">
        <f t="shared" si="254"/>
        <v>16.000000000000014</v>
      </c>
      <c r="O2048">
        <f t="shared" si="255"/>
        <v>14.000000000000012</v>
      </c>
      <c r="P2048">
        <f t="shared" si="256"/>
        <v>12.000000000000011</v>
      </c>
      <c r="Q2048">
        <f t="shared" si="257"/>
        <v>8.9999999999999858</v>
      </c>
      <c r="R2048">
        <f t="shared" si="258"/>
        <v>6.0000000000000497</v>
      </c>
    </row>
    <row r="2049" spans="1:18">
      <c r="A2049" s="9">
        <v>39700</v>
      </c>
      <c r="B2049">
        <v>2.89</v>
      </c>
      <c r="C2049">
        <v>3.15</v>
      </c>
      <c r="D2049">
        <v>3.43</v>
      </c>
      <c r="E2049">
        <v>3.62</v>
      </c>
      <c r="F2049">
        <v>3.77</v>
      </c>
      <c r="G2049">
        <v>4</v>
      </c>
      <c r="H2049">
        <v>4.22</v>
      </c>
      <c r="I2049">
        <v>4.57</v>
      </c>
      <c r="K2049">
        <f t="shared" si="251"/>
        <v>-6.999999999999984</v>
      </c>
      <c r="L2049">
        <f t="shared" si="252"/>
        <v>-10.999999999999988</v>
      </c>
      <c r="M2049">
        <f t="shared" si="253"/>
        <v>-13.999999999999968</v>
      </c>
      <c r="N2049">
        <f t="shared" si="254"/>
        <v>-14.999999999999991</v>
      </c>
      <c r="O2049">
        <f t="shared" si="255"/>
        <v>-14.000000000000012</v>
      </c>
      <c r="P2049">
        <f t="shared" si="256"/>
        <v>-13.999999999999968</v>
      </c>
      <c r="Q2049">
        <f t="shared" si="257"/>
        <v>-12.999999999999989</v>
      </c>
      <c r="R2049">
        <f t="shared" si="258"/>
        <v>-12.000000000000011</v>
      </c>
    </row>
    <row r="2050" spans="1:18">
      <c r="A2050" s="9">
        <v>39701</v>
      </c>
      <c r="B2050">
        <v>2.89</v>
      </c>
      <c r="C2050">
        <v>3.16</v>
      </c>
      <c r="D2050">
        <v>3.43</v>
      </c>
      <c r="E2050">
        <v>3.64</v>
      </c>
      <c r="F2050">
        <v>3.78</v>
      </c>
      <c r="G2050">
        <v>4</v>
      </c>
      <c r="H2050">
        <v>4.22</v>
      </c>
      <c r="I2050">
        <v>4.5599999999999996</v>
      </c>
      <c r="K2050">
        <f t="shared" si="251"/>
        <v>0</v>
      </c>
      <c r="L2050">
        <f t="shared" si="252"/>
        <v>1.0000000000000231</v>
      </c>
      <c r="M2050">
        <f t="shared" si="253"/>
        <v>0</v>
      </c>
      <c r="N2050">
        <f t="shared" si="254"/>
        <v>2.0000000000000018</v>
      </c>
      <c r="O2050">
        <f t="shared" si="255"/>
        <v>0.99999999999997868</v>
      </c>
      <c r="P2050">
        <f t="shared" si="256"/>
        <v>0</v>
      </c>
      <c r="Q2050">
        <f t="shared" si="257"/>
        <v>0</v>
      </c>
      <c r="R2050">
        <f t="shared" si="258"/>
        <v>-1.0000000000000675</v>
      </c>
    </row>
    <row r="2051" spans="1:18">
      <c r="A2051" s="9">
        <v>39702</v>
      </c>
      <c r="B2051">
        <v>2.87</v>
      </c>
      <c r="C2051">
        <v>3.11</v>
      </c>
      <c r="D2051">
        <v>3.41</v>
      </c>
      <c r="E2051">
        <v>3.62</v>
      </c>
      <c r="F2051">
        <v>3.76</v>
      </c>
      <c r="G2051">
        <v>4</v>
      </c>
      <c r="H2051">
        <v>4.22</v>
      </c>
      <c r="I2051">
        <v>4.5599999999999996</v>
      </c>
      <c r="K2051">
        <f t="shared" si="251"/>
        <v>-2.0000000000000018</v>
      </c>
      <c r="L2051">
        <f t="shared" si="252"/>
        <v>-5.0000000000000266</v>
      </c>
      <c r="M2051">
        <f t="shared" si="253"/>
        <v>-2.0000000000000018</v>
      </c>
      <c r="N2051">
        <f t="shared" si="254"/>
        <v>-2.0000000000000018</v>
      </c>
      <c r="O2051">
        <f t="shared" si="255"/>
        <v>-2.0000000000000018</v>
      </c>
      <c r="P2051">
        <f t="shared" si="256"/>
        <v>0</v>
      </c>
      <c r="Q2051">
        <f t="shared" si="257"/>
        <v>0</v>
      </c>
      <c r="R2051">
        <f t="shared" si="258"/>
        <v>0</v>
      </c>
    </row>
    <row r="2052" spans="1:18">
      <c r="A2052" s="9">
        <v>39703</v>
      </c>
      <c r="B2052">
        <v>2.88</v>
      </c>
      <c r="C2052">
        <v>3.12</v>
      </c>
      <c r="D2052">
        <v>3.43</v>
      </c>
      <c r="E2052">
        <v>3.65</v>
      </c>
      <c r="F2052">
        <v>3.8</v>
      </c>
      <c r="G2052">
        <v>4.03</v>
      </c>
      <c r="H2052">
        <v>4.26</v>
      </c>
      <c r="I2052">
        <v>4.59</v>
      </c>
      <c r="K2052">
        <f t="shared" si="251"/>
        <v>0.99999999999997868</v>
      </c>
      <c r="L2052">
        <f t="shared" si="252"/>
        <v>1.0000000000000231</v>
      </c>
      <c r="M2052">
        <f t="shared" si="253"/>
        <v>2.0000000000000018</v>
      </c>
      <c r="N2052">
        <f t="shared" si="254"/>
        <v>2.9999999999999805</v>
      </c>
      <c r="O2052">
        <f t="shared" si="255"/>
        <v>4.0000000000000036</v>
      </c>
      <c r="P2052">
        <f t="shared" si="256"/>
        <v>3.0000000000000249</v>
      </c>
      <c r="Q2052">
        <f t="shared" si="257"/>
        <v>4.0000000000000036</v>
      </c>
      <c r="R2052">
        <f t="shared" si="258"/>
        <v>3.0000000000000249</v>
      </c>
    </row>
    <row r="2053" spans="1:18">
      <c r="A2053" s="9">
        <v>39706</v>
      </c>
      <c r="B2053">
        <v>2.62</v>
      </c>
      <c r="C2053">
        <v>2.93</v>
      </c>
      <c r="D2053">
        <v>3.29</v>
      </c>
      <c r="E2053">
        <v>3.54</v>
      </c>
      <c r="F2053">
        <v>3.69</v>
      </c>
      <c r="G2053">
        <v>3.98</v>
      </c>
      <c r="H2053">
        <v>4.24</v>
      </c>
      <c r="I2053">
        <v>4.6100000000000003</v>
      </c>
      <c r="K2053">
        <f t="shared" ref="K2053:K2116" si="259">(B2053-B2052)*100</f>
        <v>-25.999999999999979</v>
      </c>
      <c r="L2053">
        <f t="shared" ref="L2053:L2116" si="260">(C2053-C2052)*100</f>
        <v>-18.999999999999993</v>
      </c>
      <c r="M2053">
        <f t="shared" ref="M2053:M2116" si="261">(D2053-D2052)*100</f>
        <v>-14.000000000000012</v>
      </c>
      <c r="N2053">
        <f t="shared" ref="N2053:N2116" si="262">(E2053-E2052)*100</f>
        <v>-10.999999999999988</v>
      </c>
      <c r="O2053">
        <f t="shared" ref="O2053:O2116" si="263">(F2053-F2052)*100</f>
        <v>-10.999999999999988</v>
      </c>
      <c r="P2053">
        <f t="shared" ref="P2053:P2116" si="264">(G2053-G2052)*100</f>
        <v>-5.0000000000000266</v>
      </c>
      <c r="Q2053">
        <f t="shared" ref="Q2053:Q2116" si="265">(H2053-H2052)*100</f>
        <v>-1.9999999999999574</v>
      </c>
      <c r="R2053">
        <f t="shared" ref="R2053:R2116" si="266">(I2053-I2052)*100</f>
        <v>2.0000000000000462</v>
      </c>
    </row>
    <row r="2054" spans="1:18">
      <c r="A2054" s="9">
        <v>39707</v>
      </c>
      <c r="B2054">
        <v>2.62</v>
      </c>
      <c r="C2054">
        <v>2.77</v>
      </c>
      <c r="D2054">
        <v>3.09</v>
      </c>
      <c r="E2054">
        <v>3.31</v>
      </c>
      <c r="F2054">
        <v>3.45</v>
      </c>
      <c r="G2054">
        <v>3.73</v>
      </c>
      <c r="H2054">
        <v>3.99</v>
      </c>
      <c r="I2054">
        <v>4.3499999999999996</v>
      </c>
      <c r="K2054">
        <f t="shared" si="259"/>
        <v>0</v>
      </c>
      <c r="L2054">
        <f t="shared" si="260"/>
        <v>-16.000000000000014</v>
      </c>
      <c r="M2054">
        <f t="shared" si="261"/>
        <v>-20.000000000000018</v>
      </c>
      <c r="N2054">
        <f t="shared" si="262"/>
        <v>-23</v>
      </c>
      <c r="O2054">
        <f t="shared" si="263"/>
        <v>-23.999999999999979</v>
      </c>
      <c r="P2054">
        <f t="shared" si="264"/>
        <v>-25</v>
      </c>
      <c r="Q2054">
        <f t="shared" si="265"/>
        <v>-25</v>
      </c>
      <c r="R2054">
        <f t="shared" si="266"/>
        <v>-26.000000000000068</v>
      </c>
    </row>
    <row r="2055" spans="1:18">
      <c r="A2055" s="9">
        <v>39708</v>
      </c>
      <c r="B2055">
        <v>2.94</v>
      </c>
      <c r="C2055">
        <v>2.97</v>
      </c>
      <c r="D2055">
        <v>3.28</v>
      </c>
      <c r="E2055">
        <v>3.5</v>
      </c>
      <c r="F2055">
        <v>3.63</v>
      </c>
      <c r="G2055">
        <v>3.88</v>
      </c>
      <c r="H2055">
        <v>4.1100000000000003</v>
      </c>
      <c r="I2055">
        <v>4.4400000000000004</v>
      </c>
      <c r="K2055">
        <f t="shared" si="259"/>
        <v>31.999999999999986</v>
      </c>
      <c r="L2055">
        <f t="shared" si="260"/>
        <v>20.000000000000018</v>
      </c>
      <c r="M2055">
        <f t="shared" si="261"/>
        <v>18.999999999999993</v>
      </c>
      <c r="N2055">
        <f t="shared" si="262"/>
        <v>18.999999999999993</v>
      </c>
      <c r="O2055">
        <f t="shared" si="263"/>
        <v>17.999999999999972</v>
      </c>
      <c r="P2055">
        <f t="shared" si="264"/>
        <v>14.999999999999991</v>
      </c>
      <c r="Q2055">
        <f t="shared" si="265"/>
        <v>12.000000000000011</v>
      </c>
      <c r="R2055">
        <f t="shared" si="266"/>
        <v>9.0000000000000746</v>
      </c>
    </row>
    <row r="2056" spans="1:18">
      <c r="A2056" s="9">
        <v>39709</v>
      </c>
      <c r="B2056">
        <v>2.99</v>
      </c>
      <c r="C2056">
        <v>2.95</v>
      </c>
      <c r="D2056">
        <v>3.25</v>
      </c>
      <c r="E2056">
        <v>3.46</v>
      </c>
      <c r="F2056">
        <v>3.61</v>
      </c>
      <c r="G2056">
        <v>3.88</v>
      </c>
      <c r="H2056">
        <v>4.13</v>
      </c>
      <c r="I2056">
        <v>4.47</v>
      </c>
      <c r="K2056">
        <f t="shared" si="259"/>
        <v>5.0000000000000266</v>
      </c>
      <c r="L2056">
        <f t="shared" si="260"/>
        <v>-2.0000000000000018</v>
      </c>
      <c r="M2056">
        <f t="shared" si="261"/>
        <v>-2.9999999999999805</v>
      </c>
      <c r="N2056">
        <f t="shared" si="262"/>
        <v>-4.0000000000000036</v>
      </c>
      <c r="O2056">
        <f t="shared" si="263"/>
        <v>-2.0000000000000018</v>
      </c>
      <c r="P2056">
        <f t="shared" si="264"/>
        <v>0</v>
      </c>
      <c r="Q2056">
        <f t="shared" si="265"/>
        <v>1.9999999999999574</v>
      </c>
      <c r="R2056">
        <f t="shared" si="266"/>
        <v>2.9999999999999361</v>
      </c>
    </row>
    <row r="2057" spans="1:18">
      <c r="A2057" s="9">
        <v>39710</v>
      </c>
      <c r="B2057">
        <v>3.12</v>
      </c>
      <c r="C2057">
        <v>3.22</v>
      </c>
      <c r="D2057">
        <v>3.54</v>
      </c>
      <c r="E2057">
        <v>3.77</v>
      </c>
      <c r="F2057">
        <v>3.9</v>
      </c>
      <c r="G2057">
        <v>4.1399999999999997</v>
      </c>
      <c r="H2057">
        <v>4.3600000000000003</v>
      </c>
      <c r="I2057">
        <v>4.6900000000000004</v>
      </c>
      <c r="K2057">
        <f t="shared" si="259"/>
        <v>12.999999999999989</v>
      </c>
      <c r="L2057">
        <f t="shared" si="260"/>
        <v>27</v>
      </c>
      <c r="M2057">
        <f t="shared" si="261"/>
        <v>29.000000000000004</v>
      </c>
      <c r="N2057">
        <f t="shared" si="262"/>
        <v>31.000000000000007</v>
      </c>
      <c r="O2057">
        <f t="shared" si="263"/>
        <v>29.000000000000004</v>
      </c>
      <c r="P2057">
        <f t="shared" si="264"/>
        <v>25.999999999999979</v>
      </c>
      <c r="Q2057">
        <f t="shared" si="265"/>
        <v>23.000000000000043</v>
      </c>
      <c r="R2057">
        <f t="shared" si="266"/>
        <v>22.000000000000064</v>
      </c>
    </row>
    <row r="2058" spans="1:18">
      <c r="A2058" s="9">
        <v>39713</v>
      </c>
      <c r="B2058">
        <v>3.18</v>
      </c>
      <c r="C2058">
        <v>3.43</v>
      </c>
      <c r="D2058">
        <v>3.78</v>
      </c>
      <c r="E2058">
        <v>4</v>
      </c>
      <c r="F2058">
        <v>4.1500000000000004</v>
      </c>
      <c r="G2058">
        <v>4.37</v>
      </c>
      <c r="H2058">
        <v>4.5599999999999996</v>
      </c>
      <c r="I2058">
        <v>4.8499999999999996</v>
      </c>
      <c r="K2058">
        <f t="shared" si="259"/>
        <v>6.0000000000000053</v>
      </c>
      <c r="L2058">
        <f t="shared" si="260"/>
        <v>20.999999999999996</v>
      </c>
      <c r="M2058">
        <f t="shared" si="261"/>
        <v>23.999999999999979</v>
      </c>
      <c r="N2058">
        <f t="shared" si="262"/>
        <v>23</v>
      </c>
      <c r="O2058">
        <f t="shared" si="263"/>
        <v>25.000000000000043</v>
      </c>
      <c r="P2058">
        <f t="shared" si="264"/>
        <v>23.000000000000043</v>
      </c>
      <c r="Q2058">
        <f t="shared" si="265"/>
        <v>19.999999999999929</v>
      </c>
      <c r="R2058">
        <f t="shared" si="266"/>
        <v>15.999999999999925</v>
      </c>
    </row>
    <row r="2059" spans="1:18">
      <c r="A2059" s="9">
        <v>39714</v>
      </c>
      <c r="B2059">
        <v>3.21</v>
      </c>
      <c r="C2059">
        <v>3.37</v>
      </c>
      <c r="D2059">
        <v>3.7</v>
      </c>
      <c r="E2059">
        <v>3.94</v>
      </c>
      <c r="F2059">
        <v>4.09</v>
      </c>
      <c r="G2059">
        <v>4.3</v>
      </c>
      <c r="H2059">
        <v>4.51</v>
      </c>
      <c r="I2059">
        <v>4.82</v>
      </c>
      <c r="K2059">
        <f t="shared" si="259"/>
        <v>2.9999999999999805</v>
      </c>
      <c r="L2059">
        <f t="shared" si="260"/>
        <v>-6.0000000000000053</v>
      </c>
      <c r="M2059">
        <f t="shared" si="261"/>
        <v>-7.9999999999999627</v>
      </c>
      <c r="N2059">
        <f t="shared" si="262"/>
        <v>-6.0000000000000053</v>
      </c>
      <c r="O2059">
        <f t="shared" si="263"/>
        <v>-6.0000000000000497</v>
      </c>
      <c r="P2059">
        <f t="shared" si="264"/>
        <v>-7.0000000000000284</v>
      </c>
      <c r="Q2059">
        <f t="shared" si="265"/>
        <v>-4.9999999999999822</v>
      </c>
      <c r="R2059">
        <f t="shared" si="266"/>
        <v>-2.9999999999999361</v>
      </c>
    </row>
    <row r="2060" spans="1:18">
      <c r="A2060" s="9">
        <v>39715</v>
      </c>
      <c r="B2060">
        <v>3.38</v>
      </c>
      <c r="C2060">
        <v>3.5</v>
      </c>
      <c r="D2060">
        <v>3.77</v>
      </c>
      <c r="E2060">
        <v>3.98</v>
      </c>
      <c r="F2060">
        <v>4.1100000000000003</v>
      </c>
      <c r="G2060">
        <v>4.3</v>
      </c>
      <c r="H2060">
        <v>4.4800000000000004</v>
      </c>
      <c r="I2060">
        <v>4.7699999999999996</v>
      </c>
      <c r="K2060">
        <f t="shared" si="259"/>
        <v>16.999999999999993</v>
      </c>
      <c r="L2060">
        <f t="shared" si="260"/>
        <v>12.999999999999989</v>
      </c>
      <c r="M2060">
        <f t="shared" si="261"/>
        <v>6.999999999999984</v>
      </c>
      <c r="N2060">
        <f t="shared" si="262"/>
        <v>4.0000000000000036</v>
      </c>
      <c r="O2060">
        <f t="shared" si="263"/>
        <v>2.0000000000000462</v>
      </c>
      <c r="P2060">
        <f t="shared" si="264"/>
        <v>0</v>
      </c>
      <c r="Q2060">
        <f t="shared" si="265"/>
        <v>-2.9999999999999361</v>
      </c>
      <c r="R2060">
        <f t="shared" si="266"/>
        <v>-5.0000000000000711</v>
      </c>
    </row>
    <row r="2061" spans="1:18">
      <c r="A2061" s="9">
        <v>39716</v>
      </c>
      <c r="B2061">
        <v>3.47</v>
      </c>
      <c r="C2061">
        <v>3.59</v>
      </c>
      <c r="D2061">
        <v>3.85</v>
      </c>
      <c r="E2061">
        <v>4.05</v>
      </c>
      <c r="F2061">
        <v>4.17</v>
      </c>
      <c r="G2061">
        <v>4.3600000000000003</v>
      </c>
      <c r="H2061">
        <v>4.55</v>
      </c>
      <c r="I2061">
        <v>4.82</v>
      </c>
      <c r="K2061">
        <f t="shared" si="259"/>
        <v>9.0000000000000302</v>
      </c>
      <c r="L2061">
        <f t="shared" si="260"/>
        <v>8.9999999999999858</v>
      </c>
      <c r="M2061">
        <f t="shared" si="261"/>
        <v>8.0000000000000071</v>
      </c>
      <c r="N2061">
        <f t="shared" si="262"/>
        <v>6.999999999999984</v>
      </c>
      <c r="O2061">
        <f t="shared" si="263"/>
        <v>5.9999999999999609</v>
      </c>
      <c r="P2061">
        <f t="shared" si="264"/>
        <v>6.0000000000000497</v>
      </c>
      <c r="Q2061">
        <f t="shared" si="265"/>
        <v>6.9999999999999396</v>
      </c>
      <c r="R2061">
        <f t="shared" si="266"/>
        <v>5.0000000000000711</v>
      </c>
    </row>
    <row r="2062" spans="1:18">
      <c r="A2062" s="9">
        <v>39717</v>
      </c>
      <c r="B2062">
        <v>3.35</v>
      </c>
      <c r="C2062">
        <v>3.48</v>
      </c>
      <c r="D2062">
        <v>3.79</v>
      </c>
      <c r="E2062">
        <v>3.99</v>
      </c>
      <c r="F2062">
        <v>4.1100000000000003</v>
      </c>
      <c r="G2062">
        <v>4.32</v>
      </c>
      <c r="H2062">
        <v>4.5</v>
      </c>
      <c r="I2062">
        <v>4.76</v>
      </c>
      <c r="K2062">
        <f t="shared" si="259"/>
        <v>-12.000000000000011</v>
      </c>
      <c r="L2062">
        <f t="shared" si="260"/>
        <v>-10.999999999999988</v>
      </c>
      <c r="M2062">
        <f t="shared" si="261"/>
        <v>-6.0000000000000053</v>
      </c>
      <c r="N2062">
        <f t="shared" si="262"/>
        <v>-5.9999999999999609</v>
      </c>
      <c r="O2062">
        <f t="shared" si="263"/>
        <v>-5.9999999999999609</v>
      </c>
      <c r="P2062">
        <f t="shared" si="264"/>
        <v>-4.0000000000000036</v>
      </c>
      <c r="Q2062">
        <f t="shared" si="265"/>
        <v>-4.9999999999999822</v>
      </c>
      <c r="R2062">
        <f t="shared" si="266"/>
        <v>-6.0000000000000497</v>
      </c>
    </row>
    <row r="2063" spans="1:18">
      <c r="A2063" s="9">
        <v>39720</v>
      </c>
      <c r="B2063">
        <v>3.13</v>
      </c>
      <c r="C2063">
        <v>3.24</v>
      </c>
      <c r="D2063">
        <v>3.56</v>
      </c>
      <c r="E2063">
        <v>3.76</v>
      </c>
      <c r="F2063">
        <v>3.91</v>
      </c>
      <c r="G2063">
        <v>4.13</v>
      </c>
      <c r="H2063">
        <v>4.32</v>
      </c>
      <c r="I2063">
        <v>4.58</v>
      </c>
      <c r="K2063">
        <f t="shared" si="259"/>
        <v>-22.000000000000021</v>
      </c>
      <c r="L2063">
        <f t="shared" si="260"/>
        <v>-23.999999999999979</v>
      </c>
      <c r="M2063">
        <f t="shared" si="261"/>
        <v>-23</v>
      </c>
      <c r="N2063">
        <f t="shared" si="262"/>
        <v>-23.000000000000043</v>
      </c>
      <c r="O2063">
        <f t="shared" si="263"/>
        <v>-20.000000000000018</v>
      </c>
      <c r="P2063">
        <f t="shared" si="264"/>
        <v>-19.000000000000039</v>
      </c>
      <c r="Q2063">
        <f t="shared" si="265"/>
        <v>-17.999999999999972</v>
      </c>
      <c r="R2063">
        <f t="shared" si="266"/>
        <v>-17.999999999999972</v>
      </c>
    </row>
    <row r="2064" spans="1:18">
      <c r="A2064" s="9">
        <v>39721</v>
      </c>
      <c r="B2064">
        <v>3.33</v>
      </c>
      <c r="C2064">
        <v>3.36</v>
      </c>
      <c r="D2064">
        <v>3.64</v>
      </c>
      <c r="E2064">
        <v>3.84</v>
      </c>
      <c r="F2064">
        <v>3.98</v>
      </c>
      <c r="G2064">
        <v>4.1900000000000004</v>
      </c>
      <c r="H2064">
        <v>4.37</v>
      </c>
      <c r="I2064">
        <v>4.5999999999999996</v>
      </c>
      <c r="K2064">
        <f t="shared" si="259"/>
        <v>20.000000000000018</v>
      </c>
      <c r="L2064">
        <f t="shared" si="260"/>
        <v>11.999999999999966</v>
      </c>
      <c r="M2064">
        <f t="shared" si="261"/>
        <v>8.0000000000000071</v>
      </c>
      <c r="N2064">
        <f t="shared" si="262"/>
        <v>8.0000000000000071</v>
      </c>
      <c r="O2064">
        <f t="shared" si="263"/>
        <v>6.999999999999984</v>
      </c>
      <c r="P2064">
        <f t="shared" si="264"/>
        <v>6.0000000000000497</v>
      </c>
      <c r="Q2064">
        <f t="shared" si="265"/>
        <v>4.9999999999999822</v>
      </c>
      <c r="R2064">
        <f t="shared" si="266"/>
        <v>1.9999999999999574</v>
      </c>
    </row>
    <row r="2065" spans="1:18">
      <c r="A2065" s="9">
        <v>39722</v>
      </c>
      <c r="B2065">
        <v>3.26</v>
      </c>
      <c r="C2065">
        <v>3.33</v>
      </c>
      <c r="D2065">
        <v>3.61</v>
      </c>
      <c r="E2065">
        <v>3.81</v>
      </c>
      <c r="F2065">
        <v>3.95</v>
      </c>
      <c r="G2065">
        <v>4.16</v>
      </c>
      <c r="H2065">
        <v>4.34</v>
      </c>
      <c r="I2065">
        <v>4.54</v>
      </c>
      <c r="K2065">
        <f t="shared" si="259"/>
        <v>-7.0000000000000284</v>
      </c>
      <c r="L2065">
        <f t="shared" si="260"/>
        <v>-2.9999999999999805</v>
      </c>
      <c r="M2065">
        <f t="shared" si="261"/>
        <v>-3.0000000000000249</v>
      </c>
      <c r="N2065">
        <f t="shared" si="262"/>
        <v>-2.9999999999999805</v>
      </c>
      <c r="O2065">
        <f t="shared" si="263"/>
        <v>-2.9999999999999805</v>
      </c>
      <c r="P2065">
        <f t="shared" si="264"/>
        <v>-3.0000000000000249</v>
      </c>
      <c r="Q2065">
        <f t="shared" si="265"/>
        <v>-3.0000000000000249</v>
      </c>
      <c r="R2065">
        <f t="shared" si="266"/>
        <v>-5.9999999999999609</v>
      </c>
    </row>
    <row r="2066" spans="1:18">
      <c r="A2066" s="9">
        <v>39723</v>
      </c>
      <c r="B2066">
        <v>3.22</v>
      </c>
      <c r="C2066">
        <v>3.25</v>
      </c>
      <c r="D2066">
        <v>3.53</v>
      </c>
      <c r="E2066">
        <v>3.74</v>
      </c>
      <c r="F2066">
        <v>3.9</v>
      </c>
      <c r="G2066">
        <v>4.1100000000000003</v>
      </c>
      <c r="H2066">
        <v>4.34</v>
      </c>
      <c r="I2066">
        <v>4.51</v>
      </c>
      <c r="K2066">
        <f t="shared" si="259"/>
        <v>-3.9999999999999591</v>
      </c>
      <c r="L2066">
        <f t="shared" si="260"/>
        <v>-8.0000000000000071</v>
      </c>
      <c r="M2066">
        <f t="shared" si="261"/>
        <v>-8.0000000000000071</v>
      </c>
      <c r="N2066">
        <f t="shared" si="262"/>
        <v>-6.999999999999984</v>
      </c>
      <c r="O2066">
        <f t="shared" si="263"/>
        <v>-5.0000000000000266</v>
      </c>
      <c r="P2066">
        <f t="shared" si="264"/>
        <v>-4.9999999999999822</v>
      </c>
      <c r="Q2066">
        <f t="shared" si="265"/>
        <v>0</v>
      </c>
      <c r="R2066">
        <f t="shared" si="266"/>
        <v>-3.0000000000000249</v>
      </c>
    </row>
    <row r="2067" spans="1:18">
      <c r="A2067" s="9">
        <v>39724</v>
      </c>
      <c r="B2067">
        <v>3.23</v>
      </c>
      <c r="C2067">
        <v>3.29</v>
      </c>
      <c r="D2067">
        <v>3.58</v>
      </c>
      <c r="E2067">
        <v>3.79</v>
      </c>
      <c r="F2067">
        <v>3.94</v>
      </c>
      <c r="G2067">
        <v>4.17</v>
      </c>
      <c r="H2067">
        <v>4.37</v>
      </c>
      <c r="I2067">
        <v>4.5</v>
      </c>
      <c r="K2067">
        <f t="shared" si="259"/>
        <v>0.99999999999997868</v>
      </c>
      <c r="L2067">
        <f t="shared" si="260"/>
        <v>4.0000000000000036</v>
      </c>
      <c r="M2067">
        <f t="shared" si="261"/>
        <v>5.0000000000000266</v>
      </c>
      <c r="N2067">
        <f t="shared" si="262"/>
        <v>4.9999999999999822</v>
      </c>
      <c r="O2067">
        <f t="shared" si="263"/>
        <v>4.0000000000000036</v>
      </c>
      <c r="P2067">
        <f t="shared" si="264"/>
        <v>5.9999999999999609</v>
      </c>
      <c r="Q2067">
        <f t="shared" si="265"/>
        <v>3.0000000000000249</v>
      </c>
      <c r="R2067">
        <f t="shared" si="266"/>
        <v>-0.99999999999997868</v>
      </c>
    </row>
    <row r="2068" spans="1:18">
      <c r="A2068" s="9">
        <v>39727</v>
      </c>
      <c r="B2068">
        <v>2.91</v>
      </c>
      <c r="C2068">
        <v>2.91</v>
      </c>
      <c r="D2068">
        <v>3.23</v>
      </c>
      <c r="E2068">
        <v>3.47</v>
      </c>
      <c r="F2068">
        <v>3.63</v>
      </c>
      <c r="G2068">
        <v>3.89</v>
      </c>
      <c r="H2068">
        <v>4.13</v>
      </c>
      <c r="I2068">
        <v>4.29</v>
      </c>
      <c r="K2068">
        <f t="shared" si="259"/>
        <v>-31.999999999999986</v>
      </c>
      <c r="L2068">
        <f t="shared" si="260"/>
        <v>-37.999999999999986</v>
      </c>
      <c r="M2068">
        <f t="shared" si="261"/>
        <v>-35.000000000000007</v>
      </c>
      <c r="N2068">
        <f t="shared" si="262"/>
        <v>-31.999999999999986</v>
      </c>
      <c r="O2068">
        <f t="shared" si="263"/>
        <v>-31.000000000000007</v>
      </c>
      <c r="P2068">
        <f t="shared" si="264"/>
        <v>-27.999999999999979</v>
      </c>
      <c r="Q2068">
        <f t="shared" si="265"/>
        <v>-24.000000000000021</v>
      </c>
      <c r="R2068">
        <f t="shared" si="266"/>
        <v>-20.999999999999996</v>
      </c>
    </row>
    <row r="2069" spans="1:18">
      <c r="A2069" s="9">
        <v>39728</v>
      </c>
      <c r="B2069">
        <v>2.91</v>
      </c>
      <c r="C2069">
        <v>2.84</v>
      </c>
      <c r="D2069">
        <v>3.17</v>
      </c>
      <c r="E2069">
        <v>3.4</v>
      </c>
      <c r="F2069">
        <v>3.58</v>
      </c>
      <c r="G2069">
        <v>3.87</v>
      </c>
      <c r="H2069">
        <v>4.13</v>
      </c>
      <c r="I2069">
        <v>4.3099999999999996</v>
      </c>
      <c r="K2069">
        <f t="shared" si="259"/>
        <v>0</v>
      </c>
      <c r="L2069">
        <f t="shared" si="260"/>
        <v>-7.0000000000000284</v>
      </c>
      <c r="M2069">
        <f t="shared" si="261"/>
        <v>-6.0000000000000053</v>
      </c>
      <c r="N2069">
        <f t="shared" si="262"/>
        <v>-7.0000000000000284</v>
      </c>
      <c r="O2069">
        <f t="shared" si="263"/>
        <v>-4.9999999999999822</v>
      </c>
      <c r="P2069">
        <f t="shared" si="264"/>
        <v>-2.0000000000000018</v>
      </c>
      <c r="Q2069">
        <f t="shared" si="265"/>
        <v>0</v>
      </c>
      <c r="R2069">
        <f t="shared" si="266"/>
        <v>1.9999999999999574</v>
      </c>
    </row>
    <row r="2070" spans="1:18">
      <c r="A2070" s="9">
        <v>39729</v>
      </c>
      <c r="B2070">
        <v>2.96</v>
      </c>
      <c r="C2070">
        <v>2.82</v>
      </c>
      <c r="D2070">
        <v>3.16</v>
      </c>
      <c r="E2070">
        <v>3.41</v>
      </c>
      <c r="F2070">
        <v>3.6</v>
      </c>
      <c r="G2070">
        <v>3.9</v>
      </c>
      <c r="H2070">
        <v>4.13</v>
      </c>
      <c r="I2070">
        <v>4.2699999999999996</v>
      </c>
      <c r="K2070">
        <f t="shared" si="259"/>
        <v>4.9999999999999822</v>
      </c>
      <c r="L2070">
        <f t="shared" si="260"/>
        <v>-2.0000000000000018</v>
      </c>
      <c r="M2070">
        <f t="shared" si="261"/>
        <v>-0.99999999999997868</v>
      </c>
      <c r="N2070">
        <f t="shared" si="262"/>
        <v>1.0000000000000231</v>
      </c>
      <c r="O2070">
        <f t="shared" si="263"/>
        <v>2.0000000000000018</v>
      </c>
      <c r="P2070">
        <f t="shared" si="264"/>
        <v>2.9999999999999805</v>
      </c>
      <c r="Q2070">
        <f t="shared" si="265"/>
        <v>0</v>
      </c>
      <c r="R2070">
        <f t="shared" si="266"/>
        <v>-4.0000000000000036</v>
      </c>
    </row>
    <row r="2071" spans="1:18">
      <c r="A2071" s="9">
        <v>39730</v>
      </c>
      <c r="B2071">
        <v>3.09</v>
      </c>
      <c r="C2071">
        <v>3.07</v>
      </c>
      <c r="D2071">
        <v>3.43</v>
      </c>
      <c r="E2071">
        <v>3.7</v>
      </c>
      <c r="F2071">
        <v>3.88</v>
      </c>
      <c r="G2071">
        <v>4.12</v>
      </c>
      <c r="H2071">
        <v>4.29</v>
      </c>
      <c r="I2071">
        <v>4.2699999999999996</v>
      </c>
      <c r="K2071">
        <f t="shared" si="259"/>
        <v>12.999999999999989</v>
      </c>
      <c r="L2071">
        <f t="shared" si="260"/>
        <v>25</v>
      </c>
      <c r="M2071">
        <f t="shared" si="261"/>
        <v>27</v>
      </c>
      <c r="N2071">
        <f t="shared" si="262"/>
        <v>29.000000000000004</v>
      </c>
      <c r="O2071">
        <f t="shared" si="263"/>
        <v>27.999999999999979</v>
      </c>
      <c r="P2071">
        <f t="shared" si="264"/>
        <v>22.000000000000021</v>
      </c>
      <c r="Q2071">
        <f t="shared" si="265"/>
        <v>16.000000000000014</v>
      </c>
      <c r="R2071">
        <f t="shared" si="266"/>
        <v>0</v>
      </c>
    </row>
    <row r="2072" spans="1:18">
      <c r="A2072" s="9">
        <v>39731</v>
      </c>
      <c r="B2072">
        <v>3.06</v>
      </c>
      <c r="C2072">
        <v>3.08</v>
      </c>
      <c r="D2072">
        <v>3.45</v>
      </c>
      <c r="E2072">
        <v>3.75</v>
      </c>
      <c r="F2072">
        <v>3.98</v>
      </c>
      <c r="G2072">
        <v>4.2699999999999996</v>
      </c>
      <c r="H2072">
        <v>4.46</v>
      </c>
      <c r="I2072">
        <v>4.25</v>
      </c>
      <c r="K2072">
        <f t="shared" si="259"/>
        <v>-2.9999999999999805</v>
      </c>
      <c r="L2072">
        <f t="shared" si="260"/>
        <v>1.0000000000000231</v>
      </c>
      <c r="M2072">
        <f t="shared" si="261"/>
        <v>2.0000000000000018</v>
      </c>
      <c r="N2072">
        <f t="shared" si="262"/>
        <v>4.9999999999999822</v>
      </c>
      <c r="O2072">
        <f t="shared" si="263"/>
        <v>10.000000000000009</v>
      </c>
      <c r="P2072">
        <f t="shared" si="264"/>
        <v>14.999999999999947</v>
      </c>
      <c r="Q2072">
        <f t="shared" si="265"/>
        <v>16.999999999999993</v>
      </c>
      <c r="R2072">
        <f t="shared" si="266"/>
        <v>-1.9999999999999574</v>
      </c>
    </row>
    <row r="2073" spans="1:18">
      <c r="A2073" s="9">
        <v>39735</v>
      </c>
      <c r="B2073">
        <v>2.96</v>
      </c>
      <c r="C2073">
        <v>3.07</v>
      </c>
      <c r="D2073">
        <v>3.5</v>
      </c>
      <c r="E2073">
        <v>3.82</v>
      </c>
      <c r="F2073">
        <v>4.04</v>
      </c>
      <c r="G2073">
        <v>4.34</v>
      </c>
      <c r="H2073">
        <v>4.54</v>
      </c>
      <c r="I2073">
        <v>4.3499999999999996</v>
      </c>
      <c r="K2073">
        <f t="shared" si="259"/>
        <v>-10.000000000000009</v>
      </c>
      <c r="L2073">
        <f t="shared" si="260"/>
        <v>-1.0000000000000231</v>
      </c>
      <c r="M2073">
        <f t="shared" si="261"/>
        <v>4.9999999999999822</v>
      </c>
      <c r="N2073">
        <f t="shared" si="262"/>
        <v>6.999999999999984</v>
      </c>
      <c r="O2073">
        <f t="shared" si="263"/>
        <v>6.0000000000000053</v>
      </c>
      <c r="P2073">
        <f t="shared" si="264"/>
        <v>7.0000000000000284</v>
      </c>
      <c r="Q2073">
        <f t="shared" si="265"/>
        <v>8.0000000000000071</v>
      </c>
      <c r="R2073">
        <f t="shared" si="266"/>
        <v>9.9999999999999645</v>
      </c>
    </row>
    <row r="2074" spans="1:18">
      <c r="A2074" s="9">
        <v>39736</v>
      </c>
      <c r="B2074">
        <v>3.03</v>
      </c>
      <c r="C2074">
        <v>3.11</v>
      </c>
      <c r="D2074">
        <v>3.59</v>
      </c>
      <c r="E2074">
        <v>3.91</v>
      </c>
      <c r="F2074">
        <v>4.1500000000000004</v>
      </c>
      <c r="G2074">
        <v>4.46</v>
      </c>
      <c r="H2074">
        <v>4.67</v>
      </c>
      <c r="I2074">
        <v>4.47</v>
      </c>
      <c r="K2074">
        <f t="shared" si="259"/>
        <v>6.999999999999984</v>
      </c>
      <c r="L2074">
        <f t="shared" si="260"/>
        <v>4.0000000000000036</v>
      </c>
      <c r="M2074">
        <f t="shared" si="261"/>
        <v>8.9999999999999858</v>
      </c>
      <c r="N2074">
        <f t="shared" si="262"/>
        <v>9.0000000000000302</v>
      </c>
      <c r="O2074">
        <f t="shared" si="263"/>
        <v>11.000000000000032</v>
      </c>
      <c r="P2074">
        <f t="shared" si="264"/>
        <v>12.000000000000011</v>
      </c>
      <c r="Q2074">
        <f t="shared" si="265"/>
        <v>12.999999999999989</v>
      </c>
      <c r="R2074">
        <f t="shared" si="266"/>
        <v>12.000000000000011</v>
      </c>
    </row>
    <row r="2075" spans="1:18">
      <c r="A2075" s="9">
        <v>39737</v>
      </c>
      <c r="B2075">
        <v>2.93</v>
      </c>
      <c r="C2075">
        <v>2.93</v>
      </c>
      <c r="D2075">
        <v>3.4</v>
      </c>
      <c r="E2075">
        <v>3.73</v>
      </c>
      <c r="F2075">
        <v>3.97</v>
      </c>
      <c r="G2075">
        <v>4.3</v>
      </c>
      <c r="H2075">
        <v>4.5199999999999996</v>
      </c>
      <c r="I2075">
        <v>4.37</v>
      </c>
      <c r="K2075">
        <f t="shared" si="259"/>
        <v>-9.9999999999999645</v>
      </c>
      <c r="L2075">
        <f t="shared" si="260"/>
        <v>-17.999999999999972</v>
      </c>
      <c r="M2075">
        <f t="shared" si="261"/>
        <v>-18.999999999999993</v>
      </c>
      <c r="N2075">
        <f t="shared" si="262"/>
        <v>-18.000000000000014</v>
      </c>
      <c r="O2075">
        <f t="shared" si="263"/>
        <v>-18.000000000000014</v>
      </c>
      <c r="P2075">
        <f t="shared" si="264"/>
        <v>-16.000000000000014</v>
      </c>
      <c r="Q2075">
        <f t="shared" si="265"/>
        <v>-15.000000000000036</v>
      </c>
      <c r="R2075">
        <f t="shared" si="266"/>
        <v>-9.9999999999999645</v>
      </c>
    </row>
    <row r="2076" spans="1:18">
      <c r="A2076" s="9">
        <v>39738</v>
      </c>
      <c r="B2076">
        <v>2.88</v>
      </c>
      <c r="C2076">
        <v>2.88</v>
      </c>
      <c r="D2076">
        <v>3.33</v>
      </c>
      <c r="E2076">
        <v>3.67</v>
      </c>
      <c r="F2076">
        <v>3.91</v>
      </c>
      <c r="G2076">
        <v>4.2699999999999996</v>
      </c>
      <c r="H2076">
        <v>4.5199999999999996</v>
      </c>
      <c r="I2076">
        <v>4.47</v>
      </c>
      <c r="K2076">
        <f t="shared" si="259"/>
        <v>-5.0000000000000266</v>
      </c>
      <c r="L2076">
        <f t="shared" si="260"/>
        <v>-5.0000000000000266</v>
      </c>
      <c r="M2076">
        <f t="shared" si="261"/>
        <v>-6.999999999999984</v>
      </c>
      <c r="N2076">
        <f t="shared" si="262"/>
        <v>-6.0000000000000053</v>
      </c>
      <c r="O2076">
        <f t="shared" si="263"/>
        <v>-6.0000000000000053</v>
      </c>
      <c r="P2076">
        <f t="shared" si="264"/>
        <v>-3.0000000000000249</v>
      </c>
      <c r="Q2076">
        <f t="shared" si="265"/>
        <v>0</v>
      </c>
      <c r="R2076">
        <f t="shared" si="266"/>
        <v>9.9999999999999645</v>
      </c>
    </row>
    <row r="2077" spans="1:18">
      <c r="A2077" s="9">
        <v>39741</v>
      </c>
      <c r="B2077">
        <v>2.71</v>
      </c>
      <c r="C2077">
        <v>2.72</v>
      </c>
      <c r="D2077">
        <v>3.18</v>
      </c>
      <c r="E2077">
        <v>3.55</v>
      </c>
      <c r="F2077">
        <v>3.81</v>
      </c>
      <c r="G2077">
        <v>4.16</v>
      </c>
      <c r="H2077">
        <v>4.42</v>
      </c>
      <c r="I2077">
        <v>4.51</v>
      </c>
      <c r="K2077">
        <f t="shared" si="259"/>
        <v>-16.999999999999993</v>
      </c>
      <c r="L2077">
        <f t="shared" si="260"/>
        <v>-15.99999999999997</v>
      </c>
      <c r="M2077">
        <f t="shared" si="261"/>
        <v>-14.999999999999991</v>
      </c>
      <c r="N2077">
        <f t="shared" si="262"/>
        <v>-12.000000000000011</v>
      </c>
      <c r="O2077">
        <f t="shared" si="263"/>
        <v>-10.000000000000009</v>
      </c>
      <c r="P2077">
        <f t="shared" si="264"/>
        <v>-10.999999999999943</v>
      </c>
      <c r="Q2077">
        <f t="shared" si="265"/>
        <v>-9.9999999999999645</v>
      </c>
      <c r="R2077">
        <f t="shared" si="266"/>
        <v>4.0000000000000036</v>
      </c>
    </row>
    <row r="2078" spans="1:18">
      <c r="A2078" s="9">
        <v>39742</v>
      </c>
      <c r="B2078">
        <v>2.65</v>
      </c>
      <c r="C2078">
        <v>2.69</v>
      </c>
      <c r="D2078">
        <v>3.1</v>
      </c>
      <c r="E2078">
        <v>3.43</v>
      </c>
      <c r="F2078">
        <v>3.66</v>
      </c>
      <c r="G2078">
        <v>3.98</v>
      </c>
      <c r="H2078">
        <v>4.2</v>
      </c>
      <c r="I2078">
        <v>4.28</v>
      </c>
      <c r="K2078">
        <f t="shared" si="259"/>
        <v>-6.0000000000000053</v>
      </c>
      <c r="L2078">
        <f t="shared" si="260"/>
        <v>-3.0000000000000249</v>
      </c>
      <c r="M2078">
        <f t="shared" si="261"/>
        <v>-8.0000000000000071</v>
      </c>
      <c r="N2078">
        <f t="shared" si="262"/>
        <v>-11.999999999999966</v>
      </c>
      <c r="O2078">
        <f t="shared" si="263"/>
        <v>-14.999999999999991</v>
      </c>
      <c r="P2078">
        <f t="shared" si="264"/>
        <v>-18.000000000000014</v>
      </c>
      <c r="Q2078">
        <f t="shared" si="265"/>
        <v>-21.999999999999975</v>
      </c>
      <c r="R2078">
        <f t="shared" si="266"/>
        <v>-22.999999999999954</v>
      </c>
    </row>
    <row r="2079" spans="1:18">
      <c r="A2079" s="9">
        <v>39743</v>
      </c>
      <c r="B2079">
        <v>2.63</v>
      </c>
      <c r="C2079">
        <v>2.63</v>
      </c>
      <c r="D2079">
        <v>3.01</v>
      </c>
      <c r="E2079">
        <v>3.3</v>
      </c>
      <c r="F2079">
        <v>3.55</v>
      </c>
      <c r="G2079">
        <v>3.85</v>
      </c>
      <c r="H2079">
        <v>4.08</v>
      </c>
      <c r="I2079">
        <v>4.18</v>
      </c>
      <c r="K2079">
        <f t="shared" si="259"/>
        <v>-2.0000000000000018</v>
      </c>
      <c r="L2079">
        <f t="shared" si="260"/>
        <v>-6.0000000000000053</v>
      </c>
      <c r="M2079">
        <f t="shared" si="261"/>
        <v>-9.0000000000000302</v>
      </c>
      <c r="N2079">
        <f t="shared" si="262"/>
        <v>-13.000000000000034</v>
      </c>
      <c r="O2079">
        <f t="shared" si="263"/>
        <v>-11.000000000000032</v>
      </c>
      <c r="P2079">
        <f t="shared" si="264"/>
        <v>-12.999999999999989</v>
      </c>
      <c r="Q2079">
        <f t="shared" si="265"/>
        <v>-12.000000000000011</v>
      </c>
      <c r="R2079">
        <f t="shared" si="266"/>
        <v>-10.000000000000053</v>
      </c>
    </row>
    <row r="2080" spans="1:18">
      <c r="A2080" s="9">
        <v>39744</v>
      </c>
      <c r="B2080">
        <v>2.74</v>
      </c>
      <c r="C2080">
        <v>2.75</v>
      </c>
      <c r="D2080">
        <v>3.1</v>
      </c>
      <c r="E2080">
        <v>3.38</v>
      </c>
      <c r="F2080">
        <v>3.59</v>
      </c>
      <c r="G2080">
        <v>3.86</v>
      </c>
      <c r="H2080">
        <v>4.0599999999999996</v>
      </c>
      <c r="I2080">
        <v>4.05</v>
      </c>
      <c r="K2080">
        <f t="shared" si="259"/>
        <v>11.000000000000032</v>
      </c>
      <c r="L2080">
        <f t="shared" si="260"/>
        <v>12.000000000000011</v>
      </c>
      <c r="M2080">
        <f t="shared" si="261"/>
        <v>9.0000000000000302</v>
      </c>
      <c r="N2080">
        <f t="shared" si="262"/>
        <v>8.0000000000000071</v>
      </c>
      <c r="O2080">
        <f t="shared" si="263"/>
        <v>4.0000000000000036</v>
      </c>
      <c r="P2080">
        <f t="shared" si="264"/>
        <v>0.99999999999997868</v>
      </c>
      <c r="Q2080">
        <f t="shared" si="265"/>
        <v>-2.0000000000000462</v>
      </c>
      <c r="R2080">
        <f t="shared" si="266"/>
        <v>-12.999999999999989</v>
      </c>
    </row>
    <row r="2081" spans="1:18">
      <c r="A2081" s="9">
        <v>39745</v>
      </c>
      <c r="B2081">
        <v>2.72</v>
      </c>
      <c r="C2081">
        <v>2.73</v>
      </c>
      <c r="D2081">
        <v>3.08</v>
      </c>
      <c r="E2081">
        <v>3.39</v>
      </c>
      <c r="F2081">
        <v>3.6</v>
      </c>
      <c r="G2081">
        <v>3.88</v>
      </c>
      <c r="H2081">
        <v>4.09</v>
      </c>
      <c r="I2081">
        <v>4.0199999999999996</v>
      </c>
      <c r="K2081">
        <f t="shared" si="259"/>
        <v>-2.0000000000000018</v>
      </c>
      <c r="L2081">
        <f t="shared" si="260"/>
        <v>-2.0000000000000018</v>
      </c>
      <c r="M2081">
        <f t="shared" si="261"/>
        <v>-2.0000000000000018</v>
      </c>
      <c r="N2081">
        <f t="shared" si="262"/>
        <v>1.0000000000000231</v>
      </c>
      <c r="O2081">
        <f t="shared" si="263"/>
        <v>1.0000000000000231</v>
      </c>
      <c r="P2081">
        <f t="shared" si="264"/>
        <v>2.0000000000000018</v>
      </c>
      <c r="Q2081">
        <f t="shared" si="265"/>
        <v>3.0000000000000249</v>
      </c>
      <c r="R2081">
        <f t="shared" si="266"/>
        <v>-3.0000000000000249</v>
      </c>
    </row>
    <row r="2082" spans="1:18">
      <c r="A2082" s="9">
        <v>39748</v>
      </c>
      <c r="B2082">
        <v>2.68</v>
      </c>
      <c r="C2082">
        <v>2.7</v>
      </c>
      <c r="D2082">
        <v>3.08</v>
      </c>
      <c r="E2082">
        <v>3.41</v>
      </c>
      <c r="F2082">
        <v>3.65</v>
      </c>
      <c r="G2082">
        <v>3.95</v>
      </c>
      <c r="H2082">
        <v>4.1399999999999997</v>
      </c>
      <c r="I2082">
        <v>4.01</v>
      </c>
      <c r="K2082">
        <f t="shared" si="259"/>
        <v>-4.0000000000000036</v>
      </c>
      <c r="L2082">
        <f t="shared" si="260"/>
        <v>-2.9999999999999805</v>
      </c>
      <c r="M2082">
        <f t="shared" si="261"/>
        <v>0</v>
      </c>
      <c r="N2082">
        <f t="shared" si="262"/>
        <v>2.0000000000000018</v>
      </c>
      <c r="O2082">
        <f t="shared" si="263"/>
        <v>4.9999999999999822</v>
      </c>
      <c r="P2082">
        <f t="shared" si="264"/>
        <v>7.0000000000000284</v>
      </c>
      <c r="Q2082">
        <f t="shared" si="265"/>
        <v>4.9999999999999822</v>
      </c>
      <c r="R2082">
        <f t="shared" si="266"/>
        <v>-0.99999999999997868</v>
      </c>
    </row>
    <row r="2083" spans="1:18">
      <c r="A2083" s="9">
        <v>39749</v>
      </c>
      <c r="B2083">
        <v>2.69</v>
      </c>
      <c r="C2083">
        <v>2.77</v>
      </c>
      <c r="D2083">
        <v>3.16</v>
      </c>
      <c r="E2083">
        <v>3.51</v>
      </c>
      <c r="F2083">
        <v>3.75</v>
      </c>
      <c r="G2083">
        <v>4.0599999999999996</v>
      </c>
      <c r="H2083">
        <v>4.26</v>
      </c>
      <c r="I2083">
        <v>4.09</v>
      </c>
      <c r="K2083">
        <f t="shared" si="259"/>
        <v>0.99999999999997868</v>
      </c>
      <c r="L2083">
        <f t="shared" si="260"/>
        <v>6.999999999999984</v>
      </c>
      <c r="M2083">
        <f t="shared" si="261"/>
        <v>8.0000000000000071</v>
      </c>
      <c r="N2083">
        <f t="shared" si="262"/>
        <v>9.9999999999999645</v>
      </c>
      <c r="O2083">
        <f t="shared" si="263"/>
        <v>10.000000000000009</v>
      </c>
      <c r="P2083">
        <f t="shared" si="264"/>
        <v>10.999999999999943</v>
      </c>
      <c r="Q2083">
        <f t="shared" si="265"/>
        <v>12.000000000000011</v>
      </c>
      <c r="R2083">
        <f t="shared" si="266"/>
        <v>8.0000000000000071</v>
      </c>
    </row>
    <row r="2084" spans="1:18">
      <c r="A2084" s="9">
        <v>39750</v>
      </c>
      <c r="B2084">
        <v>2.57</v>
      </c>
      <c r="C2084">
        <v>2.7</v>
      </c>
      <c r="D2084">
        <v>3.14</v>
      </c>
      <c r="E2084">
        <v>3.52</v>
      </c>
      <c r="F2084">
        <v>3.78</v>
      </c>
      <c r="G2084">
        <v>4.12</v>
      </c>
      <c r="H2084">
        <v>4.33</v>
      </c>
      <c r="I2084">
        <v>4.2</v>
      </c>
      <c r="K2084">
        <f t="shared" si="259"/>
        <v>-12.000000000000011</v>
      </c>
      <c r="L2084">
        <f t="shared" si="260"/>
        <v>-6.999999999999984</v>
      </c>
      <c r="M2084">
        <f t="shared" si="261"/>
        <v>-2.0000000000000018</v>
      </c>
      <c r="N2084">
        <f t="shared" si="262"/>
        <v>1.0000000000000231</v>
      </c>
      <c r="O2084">
        <f t="shared" si="263"/>
        <v>2.9999999999999805</v>
      </c>
      <c r="P2084">
        <f t="shared" si="264"/>
        <v>6.0000000000000497</v>
      </c>
      <c r="Q2084">
        <f t="shared" si="265"/>
        <v>7.0000000000000284</v>
      </c>
      <c r="R2084">
        <f t="shared" si="266"/>
        <v>11.000000000000032</v>
      </c>
    </row>
    <row r="2085" spans="1:18">
      <c r="A2085" s="9">
        <v>39751</v>
      </c>
      <c r="B2085">
        <v>2.52</v>
      </c>
      <c r="C2085">
        <v>2.72</v>
      </c>
      <c r="D2085">
        <v>3.19</v>
      </c>
      <c r="E2085">
        <v>3.56</v>
      </c>
      <c r="F2085">
        <v>3.82</v>
      </c>
      <c r="G2085">
        <v>4.16</v>
      </c>
      <c r="H2085">
        <v>4.3899999999999997</v>
      </c>
      <c r="I2085">
        <v>4.34</v>
      </c>
      <c r="K2085">
        <f t="shared" si="259"/>
        <v>-4.9999999999999822</v>
      </c>
      <c r="L2085">
        <f t="shared" si="260"/>
        <v>2.0000000000000018</v>
      </c>
      <c r="M2085">
        <f t="shared" si="261"/>
        <v>4.9999999999999822</v>
      </c>
      <c r="N2085">
        <f t="shared" si="262"/>
        <v>4.0000000000000036</v>
      </c>
      <c r="O2085">
        <f t="shared" si="263"/>
        <v>4.0000000000000036</v>
      </c>
      <c r="P2085">
        <f t="shared" si="264"/>
        <v>4.0000000000000036</v>
      </c>
      <c r="Q2085">
        <f t="shared" si="265"/>
        <v>5.9999999999999609</v>
      </c>
      <c r="R2085">
        <f t="shared" si="266"/>
        <v>13.999999999999968</v>
      </c>
    </row>
    <row r="2086" spans="1:18">
      <c r="A2086" s="9">
        <v>39752</v>
      </c>
      <c r="B2086">
        <v>2.4500000000000002</v>
      </c>
      <c r="C2086">
        <v>2.7</v>
      </c>
      <c r="D2086">
        <v>3.14</v>
      </c>
      <c r="E2086">
        <v>3.51</v>
      </c>
      <c r="F2086">
        <v>3.78</v>
      </c>
      <c r="G2086">
        <v>4.1399999999999997</v>
      </c>
      <c r="H2086">
        <v>4.38</v>
      </c>
      <c r="I2086">
        <v>4.3600000000000003</v>
      </c>
      <c r="K2086">
        <f t="shared" si="259"/>
        <v>-6.999999999999984</v>
      </c>
      <c r="L2086">
        <f t="shared" si="260"/>
        <v>-2.0000000000000018</v>
      </c>
      <c r="M2086">
        <f t="shared" si="261"/>
        <v>-4.9999999999999822</v>
      </c>
      <c r="N2086">
        <f t="shared" si="262"/>
        <v>-5.0000000000000266</v>
      </c>
      <c r="O2086">
        <f t="shared" si="263"/>
        <v>-4.0000000000000036</v>
      </c>
      <c r="P2086">
        <f t="shared" si="264"/>
        <v>-2.0000000000000462</v>
      </c>
      <c r="Q2086">
        <f t="shared" si="265"/>
        <v>-0.99999999999997868</v>
      </c>
      <c r="R2086">
        <f t="shared" si="266"/>
        <v>2.0000000000000462</v>
      </c>
    </row>
    <row r="2087" spans="1:18">
      <c r="A2087" s="9">
        <v>39755</v>
      </c>
      <c r="B2087">
        <v>2.4700000000000002</v>
      </c>
      <c r="C2087">
        <v>2.75</v>
      </c>
      <c r="D2087">
        <v>3.21</v>
      </c>
      <c r="E2087">
        <v>3.59</v>
      </c>
      <c r="F2087">
        <v>3.85</v>
      </c>
      <c r="G2087">
        <v>4.22</v>
      </c>
      <c r="H2087">
        <v>4.4800000000000004</v>
      </c>
      <c r="I2087">
        <v>4.4800000000000004</v>
      </c>
      <c r="K2087">
        <f t="shared" si="259"/>
        <v>2.0000000000000018</v>
      </c>
      <c r="L2087">
        <f t="shared" si="260"/>
        <v>4.9999999999999822</v>
      </c>
      <c r="M2087">
        <f t="shared" si="261"/>
        <v>6.999999999999984</v>
      </c>
      <c r="N2087">
        <f t="shared" si="262"/>
        <v>8.0000000000000071</v>
      </c>
      <c r="O2087">
        <f t="shared" si="263"/>
        <v>7.0000000000000284</v>
      </c>
      <c r="P2087">
        <f t="shared" si="264"/>
        <v>8.0000000000000071</v>
      </c>
      <c r="Q2087">
        <f t="shared" si="265"/>
        <v>10.000000000000053</v>
      </c>
      <c r="R2087">
        <f t="shared" si="266"/>
        <v>12.000000000000011</v>
      </c>
    </row>
    <row r="2088" spans="1:18">
      <c r="A2088" s="9">
        <v>39756</v>
      </c>
      <c r="B2088">
        <v>2.34</v>
      </c>
      <c r="C2088">
        <v>2.65</v>
      </c>
      <c r="D2088">
        <v>3.12</v>
      </c>
      <c r="E2088">
        <v>3.51</v>
      </c>
      <c r="F2088">
        <v>3.79</v>
      </c>
      <c r="G2088">
        <v>4.17</v>
      </c>
      <c r="H2088">
        <v>4.42</v>
      </c>
      <c r="I2088">
        <v>4.45</v>
      </c>
      <c r="K2088">
        <f t="shared" si="259"/>
        <v>-13.000000000000034</v>
      </c>
      <c r="L2088">
        <f t="shared" si="260"/>
        <v>-10.000000000000009</v>
      </c>
      <c r="M2088">
        <f t="shared" si="261"/>
        <v>-8.9999999999999858</v>
      </c>
      <c r="N2088">
        <f t="shared" si="262"/>
        <v>-8.0000000000000071</v>
      </c>
      <c r="O2088">
        <f t="shared" si="263"/>
        <v>-6.0000000000000053</v>
      </c>
      <c r="P2088">
        <f t="shared" si="264"/>
        <v>-4.9999999999999822</v>
      </c>
      <c r="Q2088">
        <f t="shared" si="265"/>
        <v>-6.0000000000000497</v>
      </c>
      <c r="R2088">
        <f t="shared" si="266"/>
        <v>-3.0000000000000249</v>
      </c>
    </row>
    <row r="2089" spans="1:18">
      <c r="A2089" s="9">
        <v>39757</v>
      </c>
      <c r="B2089">
        <v>2.19</v>
      </c>
      <c r="C2089">
        <v>2.42</v>
      </c>
      <c r="D2089">
        <v>2.86</v>
      </c>
      <c r="E2089">
        <v>3.22</v>
      </c>
      <c r="F2089">
        <v>3.5</v>
      </c>
      <c r="G2089">
        <v>3.88</v>
      </c>
      <c r="H2089">
        <v>4.13</v>
      </c>
      <c r="I2089">
        <v>4.1900000000000004</v>
      </c>
      <c r="K2089">
        <f t="shared" si="259"/>
        <v>-14.999999999999991</v>
      </c>
      <c r="L2089">
        <f t="shared" si="260"/>
        <v>-23</v>
      </c>
      <c r="M2089">
        <f t="shared" si="261"/>
        <v>-26.000000000000021</v>
      </c>
      <c r="N2089">
        <f t="shared" si="262"/>
        <v>-28.999999999999957</v>
      </c>
      <c r="O2089">
        <f t="shared" si="263"/>
        <v>-29.000000000000004</v>
      </c>
      <c r="P2089">
        <f t="shared" si="264"/>
        <v>-29.000000000000004</v>
      </c>
      <c r="Q2089">
        <f t="shared" si="265"/>
        <v>-29.000000000000004</v>
      </c>
      <c r="R2089">
        <f t="shared" si="266"/>
        <v>-25.999999999999979</v>
      </c>
    </row>
    <row r="2090" spans="1:18">
      <c r="A2090" s="9">
        <v>39758</v>
      </c>
      <c r="B2090">
        <v>2.16</v>
      </c>
      <c r="C2090">
        <v>2.41</v>
      </c>
      <c r="D2090">
        <v>2.88</v>
      </c>
      <c r="E2090">
        <v>3.28</v>
      </c>
      <c r="F2090">
        <v>3.55</v>
      </c>
      <c r="G2090">
        <v>3.92</v>
      </c>
      <c r="H2090">
        <v>4.18</v>
      </c>
      <c r="I2090">
        <v>4.2300000000000004</v>
      </c>
      <c r="K2090">
        <f t="shared" si="259"/>
        <v>-2.9999999999999805</v>
      </c>
      <c r="L2090">
        <f t="shared" si="260"/>
        <v>-0.99999999999997868</v>
      </c>
      <c r="M2090">
        <f t="shared" si="261"/>
        <v>2.0000000000000018</v>
      </c>
      <c r="N2090">
        <f t="shared" si="262"/>
        <v>5.9999999999999609</v>
      </c>
      <c r="O2090">
        <f t="shared" si="263"/>
        <v>4.9999999999999822</v>
      </c>
      <c r="P2090">
        <f t="shared" si="264"/>
        <v>4.0000000000000036</v>
      </c>
      <c r="Q2090">
        <f t="shared" si="265"/>
        <v>4.9999999999999822</v>
      </c>
      <c r="R2090">
        <f t="shared" si="266"/>
        <v>4.0000000000000036</v>
      </c>
    </row>
    <row r="2091" spans="1:18">
      <c r="A2091" s="9">
        <v>39759</v>
      </c>
      <c r="B2091">
        <v>2.12</v>
      </c>
      <c r="C2091">
        <v>2.39</v>
      </c>
      <c r="D2091">
        <v>2.88</v>
      </c>
      <c r="E2091">
        <v>3.28</v>
      </c>
      <c r="F2091">
        <v>3.56</v>
      </c>
      <c r="G2091">
        <v>3.94</v>
      </c>
      <c r="H2091">
        <v>4.1900000000000004</v>
      </c>
      <c r="I2091">
        <v>4.24</v>
      </c>
      <c r="K2091">
        <f t="shared" si="259"/>
        <v>-4.0000000000000036</v>
      </c>
      <c r="L2091">
        <f t="shared" si="260"/>
        <v>-2.0000000000000018</v>
      </c>
      <c r="M2091">
        <f t="shared" si="261"/>
        <v>0</v>
      </c>
      <c r="N2091">
        <f t="shared" si="262"/>
        <v>0</v>
      </c>
      <c r="O2091">
        <f t="shared" si="263"/>
        <v>1.0000000000000231</v>
      </c>
      <c r="P2091">
        <f t="shared" si="264"/>
        <v>2.0000000000000018</v>
      </c>
      <c r="Q2091">
        <f t="shared" si="265"/>
        <v>1.0000000000000675</v>
      </c>
      <c r="R2091">
        <f t="shared" si="266"/>
        <v>0.99999999999997868</v>
      </c>
    </row>
    <row r="2092" spans="1:18">
      <c r="A2092" s="9">
        <v>39762</v>
      </c>
      <c r="B2092">
        <v>2.0099999999999998</v>
      </c>
      <c r="C2092">
        <v>2.31</v>
      </c>
      <c r="D2092">
        <v>2.82</v>
      </c>
      <c r="E2092">
        <v>3.23</v>
      </c>
      <c r="F2092">
        <v>3.53</v>
      </c>
      <c r="G2092">
        <v>3.92</v>
      </c>
      <c r="H2092">
        <v>4.1900000000000004</v>
      </c>
      <c r="I2092">
        <v>4.22</v>
      </c>
      <c r="K2092">
        <f t="shared" si="259"/>
        <v>-11.000000000000032</v>
      </c>
      <c r="L2092">
        <f t="shared" si="260"/>
        <v>-8.0000000000000071</v>
      </c>
      <c r="M2092">
        <f t="shared" si="261"/>
        <v>-6.0000000000000053</v>
      </c>
      <c r="N2092">
        <f t="shared" si="262"/>
        <v>-4.9999999999999822</v>
      </c>
      <c r="O2092">
        <f t="shared" si="263"/>
        <v>-3.0000000000000249</v>
      </c>
      <c r="P2092">
        <f t="shared" si="264"/>
        <v>-2.0000000000000018</v>
      </c>
      <c r="Q2092">
        <f t="shared" si="265"/>
        <v>0</v>
      </c>
      <c r="R2092">
        <f t="shared" si="266"/>
        <v>-2.0000000000000462</v>
      </c>
    </row>
    <row r="2093" spans="1:18">
      <c r="A2093" s="9">
        <v>39764</v>
      </c>
      <c r="B2093">
        <v>1.99</v>
      </c>
      <c r="C2093">
        <v>2.25</v>
      </c>
      <c r="D2093">
        <v>2.68</v>
      </c>
      <c r="E2093">
        <v>3.09</v>
      </c>
      <c r="F2093">
        <v>3.41</v>
      </c>
      <c r="G2093">
        <v>3.8</v>
      </c>
      <c r="H2093">
        <v>4.08</v>
      </c>
      <c r="I2093">
        <v>4.1399999999999997</v>
      </c>
      <c r="K2093">
        <f t="shared" si="259"/>
        <v>-1.9999999999999796</v>
      </c>
      <c r="L2093">
        <f t="shared" si="260"/>
        <v>-6.0000000000000053</v>
      </c>
      <c r="M2093">
        <f t="shared" si="261"/>
        <v>-13.999999999999968</v>
      </c>
      <c r="N2093">
        <f t="shared" si="262"/>
        <v>-14.000000000000012</v>
      </c>
      <c r="O2093">
        <f t="shared" si="263"/>
        <v>-11.999999999999966</v>
      </c>
      <c r="P2093">
        <f t="shared" si="264"/>
        <v>-12.000000000000011</v>
      </c>
      <c r="Q2093">
        <f t="shared" si="265"/>
        <v>-11.000000000000032</v>
      </c>
      <c r="R2093">
        <f t="shared" si="266"/>
        <v>-8.0000000000000071</v>
      </c>
    </row>
    <row r="2094" spans="1:18">
      <c r="A2094" s="9">
        <v>39765</v>
      </c>
      <c r="B2094">
        <v>2.15</v>
      </c>
      <c r="C2094">
        <v>2.35</v>
      </c>
      <c r="D2094">
        <v>2.77</v>
      </c>
      <c r="E2094">
        <v>3.15</v>
      </c>
      <c r="F2094">
        <v>3.42</v>
      </c>
      <c r="G2094">
        <v>3.81</v>
      </c>
      <c r="H2094">
        <v>4.09</v>
      </c>
      <c r="I2094">
        <v>4.1500000000000004</v>
      </c>
      <c r="K2094">
        <f t="shared" si="259"/>
        <v>15.999999999999993</v>
      </c>
      <c r="L2094">
        <f t="shared" si="260"/>
        <v>10.000000000000009</v>
      </c>
      <c r="M2094">
        <f t="shared" si="261"/>
        <v>8.9999999999999858</v>
      </c>
      <c r="N2094">
        <f t="shared" si="262"/>
        <v>6.0000000000000053</v>
      </c>
      <c r="O2094">
        <f t="shared" si="263"/>
        <v>0.99999999999997868</v>
      </c>
      <c r="P2094">
        <f t="shared" si="264"/>
        <v>1.0000000000000231</v>
      </c>
      <c r="Q2094">
        <f t="shared" si="265"/>
        <v>0.99999999999997868</v>
      </c>
      <c r="R2094">
        <f t="shared" si="266"/>
        <v>1.0000000000000675</v>
      </c>
    </row>
    <row r="2095" spans="1:18">
      <c r="A2095" s="9">
        <v>39766</v>
      </c>
      <c r="B2095">
        <v>2.19</v>
      </c>
      <c r="C2095">
        <v>2.34</v>
      </c>
      <c r="D2095">
        <v>2.74</v>
      </c>
      <c r="E2095">
        <v>3.12</v>
      </c>
      <c r="F2095">
        <v>3.38</v>
      </c>
      <c r="G2095">
        <v>3.77</v>
      </c>
      <c r="H2095">
        <v>4.04</v>
      </c>
      <c r="I2095">
        <v>4.07</v>
      </c>
      <c r="K2095">
        <f t="shared" si="259"/>
        <v>4.0000000000000036</v>
      </c>
      <c r="L2095">
        <f t="shared" si="260"/>
        <v>-1.0000000000000231</v>
      </c>
      <c r="M2095">
        <f t="shared" si="261"/>
        <v>-2.9999999999999805</v>
      </c>
      <c r="N2095">
        <f t="shared" si="262"/>
        <v>-2.9999999999999805</v>
      </c>
      <c r="O2095">
        <f t="shared" si="263"/>
        <v>-4.0000000000000036</v>
      </c>
      <c r="P2095">
        <f t="shared" si="264"/>
        <v>-4.0000000000000036</v>
      </c>
      <c r="Q2095">
        <f t="shared" si="265"/>
        <v>-4.9999999999999822</v>
      </c>
      <c r="R2095">
        <f t="shared" si="266"/>
        <v>-8.0000000000000071</v>
      </c>
    </row>
    <row r="2096" spans="1:18">
      <c r="A2096" s="9">
        <v>39769</v>
      </c>
      <c r="B2096">
        <v>2.12</v>
      </c>
      <c r="C2096">
        <v>2.2799999999999998</v>
      </c>
      <c r="D2096">
        <v>2.68</v>
      </c>
      <c r="E2096">
        <v>3.05</v>
      </c>
      <c r="F2096">
        <v>3.33</v>
      </c>
      <c r="G2096">
        <v>3.71</v>
      </c>
      <c r="H2096">
        <v>3.99</v>
      </c>
      <c r="I2096">
        <v>3.97</v>
      </c>
      <c r="K2096">
        <f t="shared" si="259"/>
        <v>-6.999999999999984</v>
      </c>
      <c r="L2096">
        <f t="shared" si="260"/>
        <v>-6.0000000000000053</v>
      </c>
      <c r="M2096">
        <f t="shared" si="261"/>
        <v>-6.0000000000000053</v>
      </c>
      <c r="N2096">
        <f t="shared" si="262"/>
        <v>-7.0000000000000284</v>
      </c>
      <c r="O2096">
        <f t="shared" si="263"/>
        <v>-4.9999999999999822</v>
      </c>
      <c r="P2096">
        <f t="shared" si="264"/>
        <v>-6.0000000000000053</v>
      </c>
      <c r="Q2096">
        <f t="shared" si="265"/>
        <v>-4.9999999999999822</v>
      </c>
      <c r="R2096">
        <f t="shared" si="266"/>
        <v>-10.000000000000009</v>
      </c>
    </row>
    <row r="2097" spans="1:18">
      <c r="A2097" s="9">
        <v>39770</v>
      </c>
      <c r="B2097">
        <v>2.09</v>
      </c>
      <c r="C2097">
        <v>2.27</v>
      </c>
      <c r="D2097">
        <v>2.64</v>
      </c>
      <c r="E2097">
        <v>3.01</v>
      </c>
      <c r="F2097">
        <v>3.29</v>
      </c>
      <c r="G2097">
        <v>3.67</v>
      </c>
      <c r="H2097">
        <v>3.92</v>
      </c>
      <c r="I2097">
        <v>3.94</v>
      </c>
      <c r="K2097">
        <f t="shared" si="259"/>
        <v>-3.0000000000000249</v>
      </c>
      <c r="L2097">
        <f t="shared" si="260"/>
        <v>-0.99999999999997868</v>
      </c>
      <c r="M2097">
        <f t="shared" si="261"/>
        <v>-4.0000000000000036</v>
      </c>
      <c r="N2097">
        <f t="shared" si="262"/>
        <v>-4.0000000000000036</v>
      </c>
      <c r="O2097">
        <f t="shared" si="263"/>
        <v>-4.0000000000000036</v>
      </c>
      <c r="P2097">
        <f t="shared" si="264"/>
        <v>-4.0000000000000036</v>
      </c>
      <c r="Q2097">
        <f t="shared" si="265"/>
        <v>-7.0000000000000284</v>
      </c>
      <c r="R2097">
        <f t="shared" si="266"/>
        <v>-3.0000000000000249</v>
      </c>
    </row>
    <row r="2098" spans="1:18">
      <c r="A2098" s="9">
        <v>39771</v>
      </c>
      <c r="B2098">
        <v>2.04</v>
      </c>
      <c r="C2098">
        <v>2.2200000000000002</v>
      </c>
      <c r="D2098">
        <v>2.57</v>
      </c>
      <c r="E2098">
        <v>2.91</v>
      </c>
      <c r="F2098">
        <v>3.17</v>
      </c>
      <c r="G2098">
        <v>3.51</v>
      </c>
      <c r="H2098">
        <v>3.74</v>
      </c>
      <c r="I2098">
        <v>3.72</v>
      </c>
      <c r="K2098">
        <f t="shared" si="259"/>
        <v>-4.9999999999999822</v>
      </c>
      <c r="L2098">
        <f t="shared" si="260"/>
        <v>-4.9999999999999822</v>
      </c>
      <c r="M2098">
        <f t="shared" si="261"/>
        <v>-7.0000000000000284</v>
      </c>
      <c r="N2098">
        <f t="shared" si="262"/>
        <v>-9.9999999999999645</v>
      </c>
      <c r="O2098">
        <f t="shared" si="263"/>
        <v>-12.000000000000011</v>
      </c>
      <c r="P2098">
        <f t="shared" si="264"/>
        <v>-16.000000000000014</v>
      </c>
      <c r="Q2098">
        <f t="shared" si="265"/>
        <v>-17.999999999999972</v>
      </c>
      <c r="R2098">
        <f t="shared" si="266"/>
        <v>-21.999999999999975</v>
      </c>
    </row>
    <row r="2099" spans="1:18">
      <c r="A2099" s="9">
        <v>39772</v>
      </c>
      <c r="B2099">
        <v>1.93</v>
      </c>
      <c r="C2099">
        <v>2.04</v>
      </c>
      <c r="D2099">
        <v>2.29</v>
      </c>
      <c r="E2099">
        <v>2.59</v>
      </c>
      <c r="F2099">
        <v>2.83</v>
      </c>
      <c r="G2099">
        <v>3.11</v>
      </c>
      <c r="H2099">
        <v>3.31</v>
      </c>
      <c r="I2099">
        <v>3.23</v>
      </c>
      <c r="K2099">
        <f t="shared" si="259"/>
        <v>-11.000000000000011</v>
      </c>
      <c r="L2099">
        <f t="shared" si="260"/>
        <v>-18.000000000000014</v>
      </c>
      <c r="M2099">
        <f t="shared" si="261"/>
        <v>-27.999999999999979</v>
      </c>
      <c r="N2099">
        <f t="shared" si="262"/>
        <v>-32.000000000000028</v>
      </c>
      <c r="O2099">
        <f t="shared" si="263"/>
        <v>-33.999999999999986</v>
      </c>
      <c r="P2099">
        <f t="shared" si="264"/>
        <v>-39.999999999999993</v>
      </c>
      <c r="Q2099">
        <f t="shared" si="265"/>
        <v>-43.000000000000014</v>
      </c>
      <c r="R2099">
        <f t="shared" si="266"/>
        <v>-49.000000000000021</v>
      </c>
    </row>
    <row r="2100" spans="1:18">
      <c r="A2100" s="9">
        <v>39773</v>
      </c>
      <c r="B2100">
        <v>2</v>
      </c>
      <c r="C2100">
        <v>2.12</v>
      </c>
      <c r="D2100">
        <v>2.44</v>
      </c>
      <c r="E2100">
        <v>2.72</v>
      </c>
      <c r="F2100">
        <v>2.95</v>
      </c>
      <c r="G2100">
        <v>3.2</v>
      </c>
      <c r="H2100">
        <v>3.34</v>
      </c>
      <c r="I2100">
        <v>3.16</v>
      </c>
      <c r="K2100">
        <f t="shared" si="259"/>
        <v>7.0000000000000062</v>
      </c>
      <c r="L2100">
        <f t="shared" si="260"/>
        <v>8.0000000000000071</v>
      </c>
      <c r="M2100">
        <f t="shared" si="261"/>
        <v>14.999999999999991</v>
      </c>
      <c r="N2100">
        <f t="shared" si="262"/>
        <v>13.000000000000034</v>
      </c>
      <c r="O2100">
        <f t="shared" si="263"/>
        <v>12.000000000000011</v>
      </c>
      <c r="P2100">
        <f t="shared" si="264"/>
        <v>9.0000000000000302</v>
      </c>
      <c r="Q2100">
        <f t="shared" si="265"/>
        <v>2.9999999999999805</v>
      </c>
      <c r="R2100">
        <f t="shared" si="266"/>
        <v>-6.999999999999984</v>
      </c>
    </row>
    <row r="2101" spans="1:18">
      <c r="A2101" s="9">
        <v>39776</v>
      </c>
      <c r="B2101">
        <v>2.13</v>
      </c>
      <c r="C2101">
        <v>2.29</v>
      </c>
      <c r="D2101">
        <v>2.61</v>
      </c>
      <c r="E2101">
        <v>2.92</v>
      </c>
      <c r="F2101">
        <v>3.15</v>
      </c>
      <c r="G2101">
        <v>3.41</v>
      </c>
      <c r="H2101">
        <v>3.54</v>
      </c>
      <c r="I2101">
        <v>3.41</v>
      </c>
      <c r="K2101">
        <f t="shared" si="259"/>
        <v>12.999999999999989</v>
      </c>
      <c r="L2101">
        <f t="shared" si="260"/>
        <v>16.999999999999993</v>
      </c>
      <c r="M2101">
        <f t="shared" si="261"/>
        <v>16.999999999999993</v>
      </c>
      <c r="N2101">
        <f t="shared" si="262"/>
        <v>19.999999999999972</v>
      </c>
      <c r="O2101">
        <f t="shared" si="263"/>
        <v>19.999999999999972</v>
      </c>
      <c r="P2101">
        <f t="shared" si="264"/>
        <v>20.999999999999996</v>
      </c>
      <c r="Q2101">
        <f t="shared" si="265"/>
        <v>20.000000000000018</v>
      </c>
      <c r="R2101">
        <f t="shared" si="266"/>
        <v>25</v>
      </c>
    </row>
    <row r="2102" spans="1:18">
      <c r="A2102" s="9">
        <v>39777</v>
      </c>
      <c r="B2102">
        <v>1.98</v>
      </c>
      <c r="C2102">
        <v>2.1</v>
      </c>
      <c r="D2102">
        <v>2.36</v>
      </c>
      <c r="E2102">
        <v>2.65</v>
      </c>
      <c r="F2102">
        <v>2.86</v>
      </c>
      <c r="G2102">
        <v>3.09</v>
      </c>
      <c r="H2102">
        <v>3.21</v>
      </c>
      <c r="I2102">
        <v>3.16</v>
      </c>
      <c r="K2102">
        <f t="shared" si="259"/>
        <v>-14.999999999999991</v>
      </c>
      <c r="L2102">
        <f t="shared" si="260"/>
        <v>-18.999999999999993</v>
      </c>
      <c r="M2102">
        <f t="shared" si="261"/>
        <v>-25</v>
      </c>
      <c r="N2102">
        <f t="shared" si="262"/>
        <v>-27</v>
      </c>
      <c r="O2102">
        <f t="shared" si="263"/>
        <v>-29.000000000000004</v>
      </c>
      <c r="P2102">
        <f t="shared" si="264"/>
        <v>-32.000000000000028</v>
      </c>
      <c r="Q2102">
        <f t="shared" si="265"/>
        <v>-33.000000000000007</v>
      </c>
      <c r="R2102">
        <f t="shared" si="266"/>
        <v>-25</v>
      </c>
    </row>
    <row r="2103" spans="1:18">
      <c r="A2103" s="9">
        <v>39778</v>
      </c>
      <c r="B2103">
        <v>2.04</v>
      </c>
      <c r="C2103">
        <v>2.13</v>
      </c>
      <c r="D2103">
        <v>2.4</v>
      </c>
      <c r="E2103">
        <v>2.68</v>
      </c>
      <c r="F2103">
        <v>2.89</v>
      </c>
      <c r="G2103">
        <v>3.1</v>
      </c>
      <c r="H2103">
        <v>3.22</v>
      </c>
      <c r="I2103">
        <v>3.18</v>
      </c>
      <c r="K2103">
        <f t="shared" si="259"/>
        <v>6.0000000000000053</v>
      </c>
      <c r="L2103">
        <f t="shared" si="260"/>
        <v>2.9999999999999805</v>
      </c>
      <c r="M2103">
        <f t="shared" si="261"/>
        <v>4.0000000000000036</v>
      </c>
      <c r="N2103">
        <f t="shared" si="262"/>
        <v>3.0000000000000249</v>
      </c>
      <c r="O2103">
        <f t="shared" si="263"/>
        <v>3.0000000000000249</v>
      </c>
      <c r="P2103">
        <f t="shared" si="264"/>
        <v>1.0000000000000231</v>
      </c>
      <c r="Q2103">
        <f t="shared" si="265"/>
        <v>1.0000000000000231</v>
      </c>
      <c r="R2103">
        <f t="shared" si="266"/>
        <v>2.0000000000000018</v>
      </c>
    </row>
    <row r="2104" spans="1:18">
      <c r="A2104" s="9">
        <v>39780</v>
      </c>
      <c r="B2104">
        <v>2.1</v>
      </c>
      <c r="C2104">
        <v>2.16</v>
      </c>
      <c r="D2104">
        <v>2.41</v>
      </c>
      <c r="E2104">
        <v>2.64</v>
      </c>
      <c r="F2104">
        <v>2.86</v>
      </c>
      <c r="G2104">
        <v>3.07</v>
      </c>
      <c r="H2104">
        <v>3.18</v>
      </c>
      <c r="I2104">
        <v>3.08</v>
      </c>
      <c r="K2104">
        <f t="shared" si="259"/>
        <v>6.0000000000000053</v>
      </c>
      <c r="L2104">
        <f t="shared" si="260"/>
        <v>3.0000000000000249</v>
      </c>
      <c r="M2104">
        <f t="shared" si="261"/>
        <v>1.0000000000000231</v>
      </c>
      <c r="N2104">
        <f t="shared" si="262"/>
        <v>-4.0000000000000036</v>
      </c>
      <c r="O2104">
        <f t="shared" si="263"/>
        <v>-3.0000000000000249</v>
      </c>
      <c r="P2104">
        <f t="shared" si="264"/>
        <v>-3.0000000000000249</v>
      </c>
      <c r="Q2104">
        <f t="shared" si="265"/>
        <v>-4.0000000000000036</v>
      </c>
      <c r="R2104">
        <f t="shared" si="266"/>
        <v>-10.000000000000009</v>
      </c>
    </row>
    <row r="2105" spans="1:18">
      <c r="A2105" s="9">
        <v>39783</v>
      </c>
      <c r="B2105">
        <v>2.02</v>
      </c>
      <c r="C2105">
        <v>2.04</v>
      </c>
      <c r="D2105">
        <v>2.2599999999999998</v>
      </c>
      <c r="E2105">
        <v>2.5099999999999998</v>
      </c>
      <c r="F2105">
        <v>2.68</v>
      </c>
      <c r="G2105">
        <v>2.9</v>
      </c>
      <c r="H2105">
        <v>3.01</v>
      </c>
      <c r="I2105">
        <v>2.9</v>
      </c>
      <c r="K2105">
        <f t="shared" si="259"/>
        <v>-8.0000000000000071</v>
      </c>
      <c r="L2105">
        <f t="shared" si="260"/>
        <v>-12.000000000000011</v>
      </c>
      <c r="M2105">
        <f t="shared" si="261"/>
        <v>-15.000000000000036</v>
      </c>
      <c r="N2105">
        <f t="shared" si="262"/>
        <v>-13.000000000000034</v>
      </c>
      <c r="O2105">
        <f t="shared" si="263"/>
        <v>-17.999999999999972</v>
      </c>
      <c r="P2105">
        <f t="shared" si="264"/>
        <v>-16.999999999999993</v>
      </c>
      <c r="Q2105">
        <f t="shared" si="265"/>
        <v>-17.000000000000036</v>
      </c>
      <c r="R2105">
        <f t="shared" si="266"/>
        <v>-18.000000000000014</v>
      </c>
    </row>
    <row r="2106" spans="1:18">
      <c r="A2106" s="9">
        <v>39784</v>
      </c>
      <c r="B2106">
        <v>1.96</v>
      </c>
      <c r="C2106">
        <v>1.99</v>
      </c>
      <c r="D2106">
        <v>2.19</v>
      </c>
      <c r="E2106">
        <v>2.4</v>
      </c>
      <c r="F2106">
        <v>2.58</v>
      </c>
      <c r="G2106">
        <v>2.81</v>
      </c>
      <c r="H2106">
        <v>2.94</v>
      </c>
      <c r="I2106">
        <v>2.85</v>
      </c>
      <c r="K2106">
        <f t="shared" si="259"/>
        <v>-6.0000000000000053</v>
      </c>
      <c r="L2106">
        <f t="shared" si="260"/>
        <v>-5.0000000000000044</v>
      </c>
      <c r="M2106">
        <f t="shared" si="261"/>
        <v>-6.999999999999984</v>
      </c>
      <c r="N2106">
        <f t="shared" si="262"/>
        <v>-10.999999999999988</v>
      </c>
      <c r="O2106">
        <f t="shared" si="263"/>
        <v>-10.000000000000009</v>
      </c>
      <c r="P2106">
        <f t="shared" si="264"/>
        <v>-8.9999999999999858</v>
      </c>
      <c r="Q2106">
        <f t="shared" si="265"/>
        <v>-6.999999999999984</v>
      </c>
      <c r="R2106">
        <f t="shared" si="266"/>
        <v>-4.9999999999999822</v>
      </c>
    </row>
    <row r="2107" spans="1:18">
      <c r="A2107" s="9">
        <v>39785</v>
      </c>
      <c r="B2107">
        <v>1.93</v>
      </c>
      <c r="C2107">
        <v>2.0099999999999998</v>
      </c>
      <c r="D2107">
        <v>2.21</v>
      </c>
      <c r="E2107">
        <v>2.4300000000000002</v>
      </c>
      <c r="F2107">
        <v>2.62</v>
      </c>
      <c r="G2107">
        <v>2.85</v>
      </c>
      <c r="H2107">
        <v>3</v>
      </c>
      <c r="I2107">
        <v>2.87</v>
      </c>
      <c r="K2107">
        <f t="shared" si="259"/>
        <v>-3.0000000000000027</v>
      </c>
      <c r="L2107">
        <f t="shared" si="260"/>
        <v>1.9999999999999796</v>
      </c>
      <c r="M2107">
        <f t="shared" si="261"/>
        <v>2.0000000000000018</v>
      </c>
      <c r="N2107">
        <f t="shared" si="262"/>
        <v>3.0000000000000249</v>
      </c>
      <c r="O2107">
        <f t="shared" si="263"/>
        <v>4.0000000000000036</v>
      </c>
      <c r="P2107">
        <f t="shared" si="264"/>
        <v>4.0000000000000036</v>
      </c>
      <c r="Q2107">
        <f t="shared" si="265"/>
        <v>6.0000000000000053</v>
      </c>
      <c r="R2107">
        <f t="shared" si="266"/>
        <v>2.0000000000000018</v>
      </c>
    </row>
    <row r="2108" spans="1:18">
      <c r="A2108" s="9">
        <v>39786</v>
      </c>
      <c r="B2108">
        <v>2</v>
      </c>
      <c r="C2108">
        <v>2.04</v>
      </c>
      <c r="D2108">
        <v>2.23</v>
      </c>
      <c r="E2108">
        <v>2.41</v>
      </c>
      <c r="F2108">
        <v>2.58</v>
      </c>
      <c r="G2108">
        <v>2.8</v>
      </c>
      <c r="H2108">
        <v>2.92</v>
      </c>
      <c r="I2108">
        <v>2.79</v>
      </c>
      <c r="K2108">
        <f t="shared" si="259"/>
        <v>7.0000000000000062</v>
      </c>
      <c r="L2108">
        <f t="shared" si="260"/>
        <v>3.0000000000000249</v>
      </c>
      <c r="M2108">
        <f t="shared" si="261"/>
        <v>2.0000000000000018</v>
      </c>
      <c r="N2108">
        <f t="shared" si="262"/>
        <v>-2.0000000000000018</v>
      </c>
      <c r="O2108">
        <f t="shared" si="263"/>
        <v>-4.0000000000000036</v>
      </c>
      <c r="P2108">
        <f t="shared" si="264"/>
        <v>-5.0000000000000266</v>
      </c>
      <c r="Q2108">
        <f t="shared" si="265"/>
        <v>-8.0000000000000071</v>
      </c>
      <c r="R2108">
        <f t="shared" si="266"/>
        <v>-8.0000000000000071</v>
      </c>
    </row>
    <row r="2109" spans="1:18">
      <c r="A2109" s="9">
        <v>39787</v>
      </c>
      <c r="B2109">
        <v>1.97</v>
      </c>
      <c r="C2109">
        <v>2.02</v>
      </c>
      <c r="D2109">
        <v>2.2200000000000002</v>
      </c>
      <c r="E2109">
        <v>2.4</v>
      </c>
      <c r="F2109">
        <v>2.52</v>
      </c>
      <c r="G2109">
        <v>2.72</v>
      </c>
      <c r="H2109">
        <v>2.86</v>
      </c>
      <c r="I2109">
        <v>2.68</v>
      </c>
      <c r="K2109">
        <f t="shared" si="259"/>
        <v>-3.0000000000000027</v>
      </c>
      <c r="L2109">
        <f t="shared" si="260"/>
        <v>-2.0000000000000018</v>
      </c>
      <c r="M2109">
        <f t="shared" si="261"/>
        <v>-0.99999999999997868</v>
      </c>
      <c r="N2109">
        <f t="shared" si="262"/>
        <v>-1.0000000000000231</v>
      </c>
      <c r="O2109">
        <f t="shared" si="263"/>
        <v>-6.0000000000000053</v>
      </c>
      <c r="P2109">
        <f t="shared" si="264"/>
        <v>-7.9999999999999627</v>
      </c>
      <c r="Q2109">
        <f t="shared" si="265"/>
        <v>-6.0000000000000053</v>
      </c>
      <c r="R2109">
        <f t="shared" si="266"/>
        <v>-10.999999999999988</v>
      </c>
    </row>
    <row r="2110" spans="1:18">
      <c r="A2110" s="9">
        <v>39790</v>
      </c>
      <c r="B2110">
        <v>2.04</v>
      </c>
      <c r="C2110">
        <v>2.15</v>
      </c>
      <c r="D2110">
        <v>2.37</v>
      </c>
      <c r="E2110">
        <v>2.5499999999999998</v>
      </c>
      <c r="F2110">
        <v>2.68</v>
      </c>
      <c r="G2110">
        <v>2.85</v>
      </c>
      <c r="H2110">
        <v>2.98</v>
      </c>
      <c r="I2110">
        <v>2.76</v>
      </c>
      <c r="K2110">
        <f t="shared" si="259"/>
        <v>7.0000000000000062</v>
      </c>
      <c r="L2110">
        <f t="shared" si="260"/>
        <v>12.999999999999989</v>
      </c>
      <c r="M2110">
        <f t="shared" si="261"/>
        <v>14.999999999999991</v>
      </c>
      <c r="N2110">
        <f t="shared" si="262"/>
        <v>14.999999999999991</v>
      </c>
      <c r="O2110">
        <f t="shared" si="263"/>
        <v>16.000000000000014</v>
      </c>
      <c r="P2110">
        <f t="shared" si="264"/>
        <v>12.999999999999989</v>
      </c>
      <c r="Q2110">
        <f t="shared" si="265"/>
        <v>12.000000000000011</v>
      </c>
      <c r="R2110">
        <f t="shared" si="266"/>
        <v>7.9999999999999627</v>
      </c>
    </row>
    <row r="2111" spans="1:18">
      <c r="A2111" s="9">
        <v>39791</v>
      </c>
      <c r="B2111">
        <v>1.9</v>
      </c>
      <c r="C2111">
        <v>2.0499999999999998</v>
      </c>
      <c r="D2111">
        <v>2.2799999999999998</v>
      </c>
      <c r="E2111">
        <v>2.48</v>
      </c>
      <c r="F2111">
        <v>2.62</v>
      </c>
      <c r="G2111">
        <v>2.83</v>
      </c>
      <c r="H2111">
        <v>2.98</v>
      </c>
      <c r="I2111">
        <v>2.73</v>
      </c>
      <c r="K2111">
        <f t="shared" si="259"/>
        <v>-14.000000000000012</v>
      </c>
      <c r="L2111">
        <f t="shared" si="260"/>
        <v>-10.000000000000009</v>
      </c>
      <c r="M2111">
        <f t="shared" si="261"/>
        <v>-9.0000000000000302</v>
      </c>
      <c r="N2111">
        <f t="shared" si="262"/>
        <v>-6.999999999999984</v>
      </c>
      <c r="O2111">
        <f t="shared" si="263"/>
        <v>-6.0000000000000053</v>
      </c>
      <c r="P2111">
        <f t="shared" si="264"/>
        <v>-2.0000000000000018</v>
      </c>
      <c r="Q2111">
        <f t="shared" si="265"/>
        <v>0</v>
      </c>
      <c r="R2111">
        <f t="shared" si="266"/>
        <v>-2.9999999999999805</v>
      </c>
    </row>
    <row r="2112" spans="1:18">
      <c r="A2112" s="9">
        <v>39792</v>
      </c>
      <c r="B2112">
        <v>1.8</v>
      </c>
      <c r="C2112">
        <v>1.96</v>
      </c>
      <c r="D2112">
        <v>2.2200000000000002</v>
      </c>
      <c r="E2112">
        <v>2.44</v>
      </c>
      <c r="F2112">
        <v>2.59</v>
      </c>
      <c r="G2112">
        <v>2.81</v>
      </c>
      <c r="H2112">
        <v>2.97</v>
      </c>
      <c r="I2112">
        <v>2.74</v>
      </c>
      <c r="K2112">
        <f t="shared" si="259"/>
        <v>-9.9999999999999858</v>
      </c>
      <c r="L2112">
        <f t="shared" si="260"/>
        <v>-8.9999999999999858</v>
      </c>
      <c r="M2112">
        <f t="shared" si="261"/>
        <v>-5.9999999999999609</v>
      </c>
      <c r="N2112">
        <f t="shared" si="262"/>
        <v>-4.0000000000000036</v>
      </c>
      <c r="O2112">
        <f t="shared" si="263"/>
        <v>-3.0000000000000249</v>
      </c>
      <c r="P2112">
        <f t="shared" si="264"/>
        <v>-2.0000000000000018</v>
      </c>
      <c r="Q2112">
        <f t="shared" si="265"/>
        <v>-0.99999999999997868</v>
      </c>
      <c r="R2112">
        <f t="shared" si="266"/>
        <v>1.0000000000000231</v>
      </c>
    </row>
    <row r="2113" spans="1:18">
      <c r="A2113" s="9">
        <v>39793</v>
      </c>
      <c r="B2113">
        <v>1.7</v>
      </c>
      <c r="C2113">
        <v>1.87</v>
      </c>
      <c r="D2113">
        <v>2.1</v>
      </c>
      <c r="E2113">
        <v>2.3199999999999998</v>
      </c>
      <c r="F2113">
        <v>2.4700000000000002</v>
      </c>
      <c r="G2113">
        <v>2.69</v>
      </c>
      <c r="H2113">
        <v>2.88</v>
      </c>
      <c r="I2113">
        <v>2.72</v>
      </c>
      <c r="K2113">
        <f t="shared" si="259"/>
        <v>-10.000000000000009</v>
      </c>
      <c r="L2113">
        <f t="shared" si="260"/>
        <v>-8.9999999999999858</v>
      </c>
      <c r="M2113">
        <f t="shared" si="261"/>
        <v>-12.000000000000011</v>
      </c>
      <c r="N2113">
        <f t="shared" si="262"/>
        <v>-12.000000000000011</v>
      </c>
      <c r="O2113">
        <f t="shared" si="263"/>
        <v>-11.999999999999966</v>
      </c>
      <c r="P2113">
        <f t="shared" si="264"/>
        <v>-12.000000000000011</v>
      </c>
      <c r="Q2113">
        <f t="shared" si="265"/>
        <v>-9.0000000000000302</v>
      </c>
      <c r="R2113">
        <f t="shared" si="266"/>
        <v>-2.0000000000000018</v>
      </c>
    </row>
    <row r="2114" spans="1:18">
      <c r="A2114" s="9">
        <v>39794</v>
      </c>
      <c r="B2114">
        <v>1.72</v>
      </c>
      <c r="C2114">
        <v>1.86</v>
      </c>
      <c r="D2114">
        <v>2.13</v>
      </c>
      <c r="E2114">
        <v>2.36</v>
      </c>
      <c r="F2114">
        <v>2.52</v>
      </c>
      <c r="G2114">
        <v>2.74</v>
      </c>
      <c r="H2114">
        <v>2.9</v>
      </c>
      <c r="I2114">
        <v>2.76</v>
      </c>
      <c r="K2114">
        <f t="shared" si="259"/>
        <v>2.0000000000000018</v>
      </c>
      <c r="L2114">
        <f t="shared" si="260"/>
        <v>-1.0000000000000009</v>
      </c>
      <c r="M2114">
        <f t="shared" si="261"/>
        <v>2.9999999999999805</v>
      </c>
      <c r="N2114">
        <f t="shared" si="262"/>
        <v>4.0000000000000036</v>
      </c>
      <c r="O2114">
        <f t="shared" si="263"/>
        <v>4.9999999999999822</v>
      </c>
      <c r="P2114">
        <f t="shared" si="264"/>
        <v>5.0000000000000266</v>
      </c>
      <c r="Q2114">
        <f t="shared" si="265"/>
        <v>2.0000000000000018</v>
      </c>
      <c r="R2114">
        <f t="shared" si="266"/>
        <v>3.9999999999999591</v>
      </c>
    </row>
    <row r="2115" spans="1:18">
      <c r="A2115" s="9">
        <v>39797</v>
      </c>
      <c r="B2115">
        <v>1.7</v>
      </c>
      <c r="C2115">
        <v>1.84</v>
      </c>
      <c r="D2115">
        <v>2.08</v>
      </c>
      <c r="E2115">
        <v>2.2599999999999998</v>
      </c>
      <c r="F2115">
        <v>2.41</v>
      </c>
      <c r="G2115">
        <v>2.61</v>
      </c>
      <c r="H2115">
        <v>2.76</v>
      </c>
      <c r="I2115">
        <v>2.74</v>
      </c>
      <c r="K2115">
        <f t="shared" si="259"/>
        <v>-2.0000000000000018</v>
      </c>
      <c r="L2115">
        <f t="shared" si="260"/>
        <v>-2.0000000000000018</v>
      </c>
      <c r="M2115">
        <f t="shared" si="261"/>
        <v>-4.9999999999999822</v>
      </c>
      <c r="N2115">
        <f t="shared" si="262"/>
        <v>-10.000000000000009</v>
      </c>
      <c r="O2115">
        <f t="shared" si="263"/>
        <v>-10.999999999999988</v>
      </c>
      <c r="P2115">
        <f t="shared" si="264"/>
        <v>-13.000000000000034</v>
      </c>
      <c r="Q2115">
        <f t="shared" si="265"/>
        <v>-14.000000000000012</v>
      </c>
      <c r="R2115">
        <f t="shared" si="266"/>
        <v>-1.9999999999999574</v>
      </c>
    </row>
    <row r="2116" spans="1:18">
      <c r="A2116" s="9">
        <v>39798</v>
      </c>
      <c r="B2116">
        <v>1.65</v>
      </c>
      <c r="C2116">
        <v>1.79</v>
      </c>
      <c r="D2116">
        <v>2.0099999999999998</v>
      </c>
      <c r="E2116">
        <v>2.21</v>
      </c>
      <c r="F2116">
        <v>2.36</v>
      </c>
      <c r="G2116">
        <v>2.56</v>
      </c>
      <c r="H2116">
        <v>2.72</v>
      </c>
      <c r="I2116">
        <v>2.7</v>
      </c>
      <c r="K2116">
        <f t="shared" si="259"/>
        <v>-5.0000000000000044</v>
      </c>
      <c r="L2116">
        <f t="shared" si="260"/>
        <v>-5.0000000000000044</v>
      </c>
      <c r="M2116">
        <f t="shared" si="261"/>
        <v>-7.0000000000000284</v>
      </c>
      <c r="N2116">
        <f t="shared" si="262"/>
        <v>-4.9999999999999822</v>
      </c>
      <c r="O2116">
        <f t="shared" si="263"/>
        <v>-5.0000000000000266</v>
      </c>
      <c r="P2116">
        <f t="shared" si="264"/>
        <v>-4.9999999999999822</v>
      </c>
      <c r="Q2116">
        <f t="shared" si="265"/>
        <v>-3.9999999999999591</v>
      </c>
      <c r="R2116">
        <f t="shared" si="266"/>
        <v>-4.0000000000000036</v>
      </c>
    </row>
    <row r="2117" spans="1:18">
      <c r="A2117" s="9">
        <v>39799</v>
      </c>
      <c r="B2117">
        <v>1.35</v>
      </c>
      <c r="C2117">
        <v>1.47</v>
      </c>
      <c r="D2117">
        <v>1.67</v>
      </c>
      <c r="E2117">
        <v>1.81</v>
      </c>
      <c r="F2117">
        <v>1.92</v>
      </c>
      <c r="G2117">
        <v>2.08</v>
      </c>
      <c r="H2117">
        <v>2.2200000000000002</v>
      </c>
      <c r="I2117">
        <v>2.31</v>
      </c>
      <c r="K2117">
        <f t="shared" ref="K2117:K2180" si="267">(B2117-B2116)*100</f>
        <v>-29.999999999999982</v>
      </c>
      <c r="L2117">
        <f t="shared" ref="L2117:L2180" si="268">(C2117-C2116)*100</f>
        <v>-32.000000000000007</v>
      </c>
      <c r="M2117">
        <f t="shared" ref="M2117:M2180" si="269">(D2117-D2116)*100</f>
        <v>-33.999999999999986</v>
      </c>
      <c r="N2117">
        <f t="shared" ref="N2117:N2180" si="270">(E2117-E2116)*100</f>
        <v>-39.999999999999993</v>
      </c>
      <c r="O2117">
        <f t="shared" ref="O2117:O2180" si="271">(F2117-F2116)*100</f>
        <v>-43.999999999999993</v>
      </c>
      <c r="P2117">
        <f t="shared" ref="P2117:P2180" si="272">(G2117-G2116)*100</f>
        <v>-48</v>
      </c>
      <c r="Q2117">
        <f t="shared" ref="Q2117:Q2180" si="273">(H2117-H2116)*100</f>
        <v>-50</v>
      </c>
      <c r="R2117">
        <f t="shared" ref="R2117:R2180" si="274">(I2117-I2116)*100</f>
        <v>-39.000000000000014</v>
      </c>
    </row>
    <row r="2118" spans="1:18">
      <c r="A2118" s="9">
        <v>39800</v>
      </c>
      <c r="B2118">
        <v>1.34</v>
      </c>
      <c r="C2118">
        <v>1.51</v>
      </c>
      <c r="D2118">
        <v>1.72</v>
      </c>
      <c r="E2118">
        <v>1.87</v>
      </c>
      <c r="F2118">
        <v>1.98</v>
      </c>
      <c r="G2118">
        <v>2.15</v>
      </c>
      <c r="H2118">
        <v>2.29</v>
      </c>
      <c r="I2118">
        <v>2.39</v>
      </c>
      <c r="K2118">
        <f t="shared" si="267"/>
        <v>-1.0000000000000009</v>
      </c>
      <c r="L2118">
        <f t="shared" si="268"/>
        <v>4.0000000000000036</v>
      </c>
      <c r="M2118">
        <f t="shared" si="269"/>
        <v>5.0000000000000044</v>
      </c>
      <c r="N2118">
        <f t="shared" si="270"/>
        <v>6.0000000000000053</v>
      </c>
      <c r="O2118">
        <f t="shared" si="271"/>
        <v>6.0000000000000053</v>
      </c>
      <c r="P2118">
        <f t="shared" si="272"/>
        <v>6.999999999999984</v>
      </c>
      <c r="Q2118">
        <f t="shared" si="273"/>
        <v>6.999999999999984</v>
      </c>
      <c r="R2118">
        <f t="shared" si="274"/>
        <v>8.0000000000000071</v>
      </c>
    </row>
    <row r="2119" spans="1:18">
      <c r="A2119" s="9">
        <v>39801</v>
      </c>
      <c r="B2119">
        <v>1.37</v>
      </c>
      <c r="C2119">
        <v>1.57</v>
      </c>
      <c r="D2119">
        <v>1.8</v>
      </c>
      <c r="E2119">
        <v>1.97</v>
      </c>
      <c r="F2119">
        <v>2.1</v>
      </c>
      <c r="G2119">
        <v>2.29</v>
      </c>
      <c r="H2119">
        <v>2.44</v>
      </c>
      <c r="I2119">
        <v>2.52</v>
      </c>
      <c r="K2119">
        <f t="shared" si="267"/>
        <v>3.0000000000000027</v>
      </c>
      <c r="L2119">
        <f t="shared" si="268"/>
        <v>6.0000000000000053</v>
      </c>
      <c r="M2119">
        <f t="shared" si="269"/>
        <v>8.0000000000000071</v>
      </c>
      <c r="N2119">
        <f t="shared" si="270"/>
        <v>9.9999999999999858</v>
      </c>
      <c r="O2119">
        <f t="shared" si="271"/>
        <v>12.000000000000011</v>
      </c>
      <c r="P2119">
        <f t="shared" si="272"/>
        <v>14.000000000000012</v>
      </c>
      <c r="Q2119">
        <f t="shared" si="273"/>
        <v>14.999999999999991</v>
      </c>
      <c r="R2119">
        <f t="shared" si="274"/>
        <v>12.999999999999989</v>
      </c>
    </row>
    <row r="2120" spans="1:18">
      <c r="A2120" s="9">
        <v>39804</v>
      </c>
      <c r="B2120">
        <v>1.35</v>
      </c>
      <c r="C2120">
        <v>1.57</v>
      </c>
      <c r="D2120">
        <v>1.82</v>
      </c>
      <c r="E2120">
        <v>2</v>
      </c>
      <c r="F2120">
        <v>2.14</v>
      </c>
      <c r="G2120">
        <v>2.3199999999999998</v>
      </c>
      <c r="H2120">
        <v>2.48</v>
      </c>
      <c r="I2120">
        <v>2.61</v>
      </c>
      <c r="K2120">
        <f t="shared" si="267"/>
        <v>-2.0000000000000018</v>
      </c>
      <c r="L2120">
        <f t="shared" si="268"/>
        <v>0</v>
      </c>
      <c r="M2120">
        <f t="shared" si="269"/>
        <v>2.0000000000000018</v>
      </c>
      <c r="N2120">
        <f t="shared" si="270"/>
        <v>3.0000000000000027</v>
      </c>
      <c r="O2120">
        <f t="shared" si="271"/>
        <v>4.0000000000000036</v>
      </c>
      <c r="P2120">
        <f t="shared" si="272"/>
        <v>2.9999999999999805</v>
      </c>
      <c r="Q2120">
        <f t="shared" si="273"/>
        <v>4.0000000000000036</v>
      </c>
      <c r="R2120">
        <f t="shared" si="274"/>
        <v>8.9999999999999858</v>
      </c>
    </row>
    <row r="2121" spans="1:18">
      <c r="A2121" s="9">
        <v>39805</v>
      </c>
      <c r="B2121">
        <v>1.38</v>
      </c>
      <c r="C2121">
        <v>1.59</v>
      </c>
      <c r="D2121">
        <v>1.84</v>
      </c>
      <c r="E2121">
        <v>2.0299999999999998</v>
      </c>
      <c r="F2121">
        <v>2.17</v>
      </c>
      <c r="G2121">
        <v>2.36</v>
      </c>
      <c r="H2121">
        <v>2.5299999999999998</v>
      </c>
      <c r="I2121">
        <v>2.69</v>
      </c>
      <c r="K2121">
        <f t="shared" si="267"/>
        <v>2.9999999999999805</v>
      </c>
      <c r="L2121">
        <f t="shared" si="268"/>
        <v>2.0000000000000018</v>
      </c>
      <c r="M2121">
        <f t="shared" si="269"/>
        <v>2.0000000000000018</v>
      </c>
      <c r="N2121">
        <f t="shared" si="270"/>
        <v>2.9999999999999805</v>
      </c>
      <c r="O2121">
        <f t="shared" si="271"/>
        <v>2.9999999999999805</v>
      </c>
      <c r="P2121">
        <f t="shared" si="272"/>
        <v>4.0000000000000036</v>
      </c>
      <c r="Q2121">
        <f t="shared" si="273"/>
        <v>4.9999999999999822</v>
      </c>
      <c r="R2121">
        <f t="shared" si="274"/>
        <v>8.0000000000000071</v>
      </c>
    </row>
    <row r="2122" spans="1:18">
      <c r="A2122" s="9">
        <v>39806</v>
      </c>
      <c r="B2122">
        <v>1.34</v>
      </c>
      <c r="C2122">
        <v>1.55</v>
      </c>
      <c r="D2122">
        <v>1.8</v>
      </c>
      <c r="E2122">
        <v>1.99</v>
      </c>
      <c r="F2122">
        <v>2.16</v>
      </c>
      <c r="G2122">
        <v>2.36</v>
      </c>
      <c r="H2122">
        <v>2.54</v>
      </c>
      <c r="I2122">
        <v>2.71</v>
      </c>
      <c r="K2122">
        <f t="shared" si="267"/>
        <v>-3.9999999999999813</v>
      </c>
      <c r="L2122">
        <f t="shared" si="268"/>
        <v>-4.0000000000000036</v>
      </c>
      <c r="M2122">
        <f t="shared" si="269"/>
        <v>-4.0000000000000036</v>
      </c>
      <c r="N2122">
        <f t="shared" si="270"/>
        <v>-3.9999999999999813</v>
      </c>
      <c r="O2122">
        <f t="shared" si="271"/>
        <v>-0.99999999999997868</v>
      </c>
      <c r="P2122">
        <f t="shared" si="272"/>
        <v>0</v>
      </c>
      <c r="Q2122">
        <f t="shared" si="273"/>
        <v>1.0000000000000231</v>
      </c>
      <c r="R2122">
        <f t="shared" si="274"/>
        <v>2.0000000000000018</v>
      </c>
    </row>
    <row r="2123" spans="1:18">
      <c r="A2123" s="9">
        <v>39808</v>
      </c>
      <c r="B2123">
        <v>1.34</v>
      </c>
      <c r="C2123">
        <v>1.56</v>
      </c>
      <c r="D2123">
        <v>1.81</v>
      </c>
      <c r="E2123">
        <v>2.0099999999999998</v>
      </c>
      <c r="F2123">
        <v>2.16</v>
      </c>
      <c r="G2123">
        <v>2.36</v>
      </c>
      <c r="H2123">
        <v>2.56</v>
      </c>
      <c r="I2123">
        <v>2.71</v>
      </c>
      <c r="K2123">
        <f t="shared" si="267"/>
        <v>0</v>
      </c>
      <c r="L2123">
        <f t="shared" si="268"/>
        <v>1.0000000000000009</v>
      </c>
      <c r="M2123">
        <f t="shared" si="269"/>
        <v>1.0000000000000009</v>
      </c>
      <c r="N2123">
        <f t="shared" si="270"/>
        <v>1.9999999999999796</v>
      </c>
      <c r="O2123">
        <f t="shared" si="271"/>
        <v>0</v>
      </c>
      <c r="P2123">
        <f t="shared" si="272"/>
        <v>0</v>
      </c>
      <c r="Q2123">
        <f t="shared" si="273"/>
        <v>2.0000000000000018</v>
      </c>
      <c r="R2123">
        <f t="shared" si="274"/>
        <v>0</v>
      </c>
    </row>
    <row r="2124" spans="1:18">
      <c r="A2124" s="9">
        <v>39811</v>
      </c>
      <c r="B2124">
        <v>1.27</v>
      </c>
      <c r="C2124">
        <v>1.45</v>
      </c>
      <c r="D2124">
        <v>1.69</v>
      </c>
      <c r="E2124">
        <v>1.89</v>
      </c>
      <c r="F2124">
        <v>2.0499999999999998</v>
      </c>
      <c r="G2124">
        <v>2.25</v>
      </c>
      <c r="H2124">
        <v>2.44</v>
      </c>
      <c r="I2124">
        <v>2.67</v>
      </c>
      <c r="K2124">
        <f t="shared" si="267"/>
        <v>-7.0000000000000062</v>
      </c>
      <c r="L2124">
        <f t="shared" si="268"/>
        <v>-11.000000000000011</v>
      </c>
      <c r="M2124">
        <f t="shared" si="269"/>
        <v>-12.000000000000011</v>
      </c>
      <c r="N2124">
        <f t="shared" si="270"/>
        <v>-11.999999999999989</v>
      </c>
      <c r="O2124">
        <f t="shared" si="271"/>
        <v>-11.000000000000032</v>
      </c>
      <c r="P2124">
        <f t="shared" si="272"/>
        <v>-10.999999999999988</v>
      </c>
      <c r="Q2124">
        <f t="shared" si="273"/>
        <v>-12.000000000000011</v>
      </c>
      <c r="R2124">
        <f t="shared" si="274"/>
        <v>-4.0000000000000036</v>
      </c>
    </row>
    <row r="2125" spans="1:18">
      <c r="A2125" s="9">
        <v>39812</v>
      </c>
      <c r="B2125">
        <v>1.23</v>
      </c>
      <c r="C2125">
        <v>1.46</v>
      </c>
      <c r="D2125">
        <v>1.73</v>
      </c>
      <c r="E2125">
        <v>1.93</v>
      </c>
      <c r="F2125">
        <v>2.09</v>
      </c>
      <c r="G2125">
        <v>2.2999999999999998</v>
      </c>
      <c r="H2125">
        <v>2.5</v>
      </c>
      <c r="I2125">
        <v>2.71</v>
      </c>
      <c r="K2125">
        <f t="shared" si="267"/>
        <v>-4.0000000000000036</v>
      </c>
      <c r="L2125">
        <f t="shared" si="268"/>
        <v>1.0000000000000009</v>
      </c>
      <c r="M2125">
        <f t="shared" si="269"/>
        <v>4.0000000000000036</v>
      </c>
      <c r="N2125">
        <f t="shared" si="270"/>
        <v>4.0000000000000036</v>
      </c>
      <c r="O2125">
        <f t="shared" si="271"/>
        <v>4.0000000000000036</v>
      </c>
      <c r="P2125">
        <f t="shared" si="272"/>
        <v>4.9999999999999822</v>
      </c>
      <c r="Q2125">
        <f t="shared" si="273"/>
        <v>6.0000000000000053</v>
      </c>
      <c r="R2125">
        <f t="shared" si="274"/>
        <v>4.0000000000000036</v>
      </c>
    </row>
    <row r="2126" spans="1:18">
      <c r="A2126" s="9">
        <v>39813</v>
      </c>
      <c r="B2126">
        <v>1.27</v>
      </c>
      <c r="C2126">
        <v>1.46</v>
      </c>
      <c r="D2126">
        <v>1.75</v>
      </c>
      <c r="E2126">
        <v>1.95</v>
      </c>
      <c r="F2126">
        <v>2.1</v>
      </c>
      <c r="G2126">
        <v>2.2999999999999998</v>
      </c>
      <c r="H2126">
        <v>2.4900000000000002</v>
      </c>
      <c r="I2126">
        <v>2.69</v>
      </c>
      <c r="K2126">
        <f t="shared" si="267"/>
        <v>4.0000000000000036</v>
      </c>
      <c r="L2126">
        <f t="shared" si="268"/>
        <v>0</v>
      </c>
      <c r="M2126">
        <f t="shared" si="269"/>
        <v>2.0000000000000018</v>
      </c>
      <c r="N2126">
        <f t="shared" si="270"/>
        <v>2.0000000000000018</v>
      </c>
      <c r="O2126">
        <f t="shared" si="271"/>
        <v>1.0000000000000231</v>
      </c>
      <c r="P2126">
        <f t="shared" si="272"/>
        <v>0</v>
      </c>
      <c r="Q2126">
        <f t="shared" si="273"/>
        <v>-0.99999999999997868</v>
      </c>
      <c r="R2126">
        <f t="shared" si="274"/>
        <v>-2.0000000000000018</v>
      </c>
    </row>
    <row r="2127" spans="1:18">
      <c r="A2127" s="9">
        <v>39815</v>
      </c>
      <c r="B2127">
        <v>1.26</v>
      </c>
      <c r="C2127">
        <v>1.5</v>
      </c>
      <c r="D2127">
        <v>1.78</v>
      </c>
      <c r="E2127">
        <v>2.02</v>
      </c>
      <c r="F2127">
        <v>2.17</v>
      </c>
      <c r="G2127">
        <v>2.4</v>
      </c>
      <c r="H2127">
        <v>2.61</v>
      </c>
      <c r="I2127">
        <v>2.78</v>
      </c>
      <c r="K2127">
        <f t="shared" si="267"/>
        <v>-1.0000000000000009</v>
      </c>
      <c r="L2127">
        <f t="shared" si="268"/>
        <v>4.0000000000000036</v>
      </c>
      <c r="M2127">
        <f t="shared" si="269"/>
        <v>3.0000000000000027</v>
      </c>
      <c r="N2127">
        <f t="shared" si="270"/>
        <v>7.0000000000000062</v>
      </c>
      <c r="O2127">
        <f t="shared" si="271"/>
        <v>6.999999999999984</v>
      </c>
      <c r="P2127">
        <f t="shared" si="272"/>
        <v>10.000000000000009</v>
      </c>
      <c r="Q2127">
        <f t="shared" si="273"/>
        <v>11.999999999999966</v>
      </c>
      <c r="R2127">
        <f t="shared" si="274"/>
        <v>8.9999999999999858</v>
      </c>
    </row>
    <row r="2128" spans="1:18">
      <c r="A2128" s="9">
        <v>39818</v>
      </c>
      <c r="B2128">
        <v>1.31</v>
      </c>
      <c r="C2128">
        <v>1.6</v>
      </c>
      <c r="D2128">
        <v>1.91</v>
      </c>
      <c r="E2128">
        <v>2.15</v>
      </c>
      <c r="F2128">
        <v>2.31</v>
      </c>
      <c r="G2128">
        <v>2.58</v>
      </c>
      <c r="H2128">
        <v>2.82</v>
      </c>
      <c r="I2128">
        <v>3.03</v>
      </c>
      <c r="K2128">
        <f t="shared" si="267"/>
        <v>5.0000000000000044</v>
      </c>
      <c r="L2128">
        <f t="shared" si="268"/>
        <v>10.000000000000009</v>
      </c>
      <c r="M2128">
        <f t="shared" si="269"/>
        <v>12.999999999999989</v>
      </c>
      <c r="N2128">
        <f t="shared" si="270"/>
        <v>12.999999999999989</v>
      </c>
      <c r="O2128">
        <f t="shared" si="271"/>
        <v>14.000000000000012</v>
      </c>
      <c r="P2128">
        <f t="shared" si="272"/>
        <v>18.000000000000014</v>
      </c>
      <c r="Q2128">
        <f t="shared" si="273"/>
        <v>20.999999999999996</v>
      </c>
      <c r="R2128">
        <f t="shared" si="274"/>
        <v>25</v>
      </c>
    </row>
    <row r="2129" spans="1:18">
      <c r="A2129" s="9">
        <v>39819</v>
      </c>
      <c r="B2129">
        <v>1.29</v>
      </c>
      <c r="C2129">
        <v>1.55</v>
      </c>
      <c r="D2129">
        <v>1.89</v>
      </c>
      <c r="E2129">
        <v>2.16</v>
      </c>
      <c r="F2129">
        <v>2.34</v>
      </c>
      <c r="G2129">
        <v>2.62</v>
      </c>
      <c r="H2129">
        <v>2.88</v>
      </c>
      <c r="I2129">
        <v>3.18</v>
      </c>
      <c r="K2129">
        <f t="shared" si="267"/>
        <v>-2.0000000000000018</v>
      </c>
      <c r="L2129">
        <f t="shared" si="268"/>
        <v>-5.0000000000000044</v>
      </c>
      <c r="M2129">
        <f t="shared" si="269"/>
        <v>-2.0000000000000018</v>
      </c>
      <c r="N2129">
        <f t="shared" si="270"/>
        <v>1.0000000000000231</v>
      </c>
      <c r="O2129">
        <f t="shared" si="271"/>
        <v>2.9999999999999805</v>
      </c>
      <c r="P2129">
        <f t="shared" si="272"/>
        <v>4.0000000000000036</v>
      </c>
      <c r="Q2129">
        <f t="shared" si="273"/>
        <v>6.0000000000000053</v>
      </c>
      <c r="R2129">
        <f t="shared" si="274"/>
        <v>15.000000000000036</v>
      </c>
    </row>
    <row r="2130" spans="1:18">
      <c r="A2130" s="9">
        <v>39820</v>
      </c>
      <c r="B2130">
        <v>1.2</v>
      </c>
      <c r="C2130">
        <v>1.44</v>
      </c>
      <c r="D2130">
        <v>1.74</v>
      </c>
      <c r="E2130">
        <v>1.99</v>
      </c>
      <c r="F2130">
        <v>2.16</v>
      </c>
      <c r="G2130">
        <v>2.44</v>
      </c>
      <c r="H2130">
        <v>2.69</v>
      </c>
      <c r="I2130">
        <v>2.99</v>
      </c>
      <c r="K2130">
        <f t="shared" si="267"/>
        <v>-9.0000000000000071</v>
      </c>
      <c r="L2130">
        <f t="shared" si="268"/>
        <v>-11.000000000000011</v>
      </c>
      <c r="M2130">
        <f t="shared" si="269"/>
        <v>-14.999999999999991</v>
      </c>
      <c r="N2130">
        <f t="shared" si="270"/>
        <v>-17.000000000000014</v>
      </c>
      <c r="O2130">
        <f t="shared" si="271"/>
        <v>-17.999999999999972</v>
      </c>
      <c r="P2130">
        <f t="shared" si="272"/>
        <v>-18.000000000000014</v>
      </c>
      <c r="Q2130">
        <f t="shared" si="273"/>
        <v>-18.999999999999993</v>
      </c>
      <c r="R2130">
        <f t="shared" si="274"/>
        <v>-18.999999999999993</v>
      </c>
    </row>
    <row r="2131" spans="1:18">
      <c r="A2131" s="9">
        <v>39821</v>
      </c>
      <c r="B2131">
        <v>1.1499999999999999</v>
      </c>
      <c r="C2131">
        <v>1.39</v>
      </c>
      <c r="D2131">
        <v>1.7</v>
      </c>
      <c r="E2131">
        <v>1.93</v>
      </c>
      <c r="F2131">
        <v>2.11</v>
      </c>
      <c r="G2131">
        <v>2.38</v>
      </c>
      <c r="H2131">
        <v>2.62</v>
      </c>
      <c r="I2131">
        <v>2.92</v>
      </c>
      <c r="K2131">
        <f t="shared" si="267"/>
        <v>-5.0000000000000044</v>
      </c>
      <c r="L2131">
        <f t="shared" si="268"/>
        <v>-5.0000000000000044</v>
      </c>
      <c r="M2131">
        <f t="shared" si="269"/>
        <v>-4.0000000000000036</v>
      </c>
      <c r="N2131">
        <f t="shared" si="270"/>
        <v>-6.0000000000000053</v>
      </c>
      <c r="O2131">
        <f t="shared" si="271"/>
        <v>-5.0000000000000266</v>
      </c>
      <c r="P2131">
        <f t="shared" si="272"/>
        <v>-6.0000000000000053</v>
      </c>
      <c r="Q2131">
        <f t="shared" si="273"/>
        <v>-6.999999999999984</v>
      </c>
      <c r="R2131">
        <f t="shared" si="274"/>
        <v>-7.0000000000000284</v>
      </c>
    </row>
    <row r="2132" spans="1:18">
      <c r="A2132" s="9">
        <v>39822</v>
      </c>
      <c r="B2132">
        <v>1.03</v>
      </c>
      <c r="C2132">
        <v>1.28</v>
      </c>
      <c r="D2132">
        <v>1.61</v>
      </c>
      <c r="E2132">
        <v>1.84</v>
      </c>
      <c r="F2132">
        <v>2</v>
      </c>
      <c r="G2132">
        <v>2.2599999999999998</v>
      </c>
      <c r="H2132">
        <v>2.5099999999999998</v>
      </c>
      <c r="I2132">
        <v>2.82</v>
      </c>
      <c r="K2132">
        <f t="shared" si="267"/>
        <v>-11.999999999999989</v>
      </c>
      <c r="L2132">
        <f t="shared" si="268"/>
        <v>-10.999999999999988</v>
      </c>
      <c r="M2132">
        <f t="shared" si="269"/>
        <v>-8.9999999999999858</v>
      </c>
      <c r="N2132">
        <f t="shared" si="270"/>
        <v>-8.9999999999999858</v>
      </c>
      <c r="O2132">
        <f t="shared" si="271"/>
        <v>-10.999999999999988</v>
      </c>
      <c r="P2132">
        <f t="shared" si="272"/>
        <v>-12.000000000000011</v>
      </c>
      <c r="Q2132">
        <f t="shared" si="273"/>
        <v>-11.000000000000032</v>
      </c>
      <c r="R2132">
        <f t="shared" si="274"/>
        <v>-10.000000000000009</v>
      </c>
    </row>
    <row r="2133" spans="1:18">
      <c r="A2133" s="9">
        <v>39825</v>
      </c>
      <c r="B2133">
        <v>1</v>
      </c>
      <c r="C2133">
        <v>1.28</v>
      </c>
      <c r="D2133">
        <v>1.62</v>
      </c>
      <c r="E2133">
        <v>1.85</v>
      </c>
      <c r="F2133">
        <v>2.0099999999999998</v>
      </c>
      <c r="G2133">
        <v>2.2599999999999998</v>
      </c>
      <c r="H2133">
        <v>2.48</v>
      </c>
      <c r="I2133">
        <v>2.81</v>
      </c>
      <c r="K2133">
        <f t="shared" si="267"/>
        <v>-3.0000000000000027</v>
      </c>
      <c r="L2133">
        <f t="shared" si="268"/>
        <v>0</v>
      </c>
      <c r="M2133">
        <f t="shared" si="269"/>
        <v>1.0000000000000009</v>
      </c>
      <c r="N2133">
        <f t="shared" si="270"/>
        <v>1.0000000000000009</v>
      </c>
      <c r="O2133">
        <f t="shared" si="271"/>
        <v>0.99999999999997868</v>
      </c>
      <c r="P2133">
        <f t="shared" si="272"/>
        <v>0</v>
      </c>
      <c r="Q2133">
        <f t="shared" si="273"/>
        <v>-2.9999999999999805</v>
      </c>
      <c r="R2133">
        <f t="shared" si="274"/>
        <v>-0.99999999999997868</v>
      </c>
    </row>
    <row r="2134" spans="1:18">
      <c r="A2134" s="9">
        <v>39826</v>
      </c>
      <c r="B2134">
        <v>1</v>
      </c>
      <c r="C2134">
        <v>1.3</v>
      </c>
      <c r="D2134">
        <v>1.63</v>
      </c>
      <c r="E2134">
        <v>1.85</v>
      </c>
      <c r="F2134">
        <v>2</v>
      </c>
      <c r="G2134">
        <v>2.25</v>
      </c>
      <c r="H2134">
        <v>2.4700000000000002</v>
      </c>
      <c r="I2134">
        <v>2.77</v>
      </c>
      <c r="K2134">
        <f t="shared" si="267"/>
        <v>0</v>
      </c>
      <c r="L2134">
        <f t="shared" si="268"/>
        <v>2.0000000000000018</v>
      </c>
      <c r="M2134">
        <f t="shared" si="269"/>
        <v>0.99999999999997868</v>
      </c>
      <c r="N2134">
        <f t="shared" si="270"/>
        <v>0</v>
      </c>
      <c r="O2134">
        <f t="shared" si="271"/>
        <v>-0.99999999999997868</v>
      </c>
      <c r="P2134">
        <f t="shared" si="272"/>
        <v>-0.99999999999997868</v>
      </c>
      <c r="Q2134">
        <f t="shared" si="273"/>
        <v>-0.99999999999997868</v>
      </c>
      <c r="R2134">
        <f t="shared" si="274"/>
        <v>-4.0000000000000036</v>
      </c>
    </row>
    <row r="2135" spans="1:18">
      <c r="A2135" s="9">
        <v>39827</v>
      </c>
      <c r="B2135">
        <v>1.02</v>
      </c>
      <c r="C2135">
        <v>1.3</v>
      </c>
      <c r="D2135">
        <v>1.6</v>
      </c>
      <c r="E2135">
        <v>1.8</v>
      </c>
      <c r="F2135">
        <v>1.94</v>
      </c>
      <c r="G2135">
        <v>2.16</v>
      </c>
      <c r="H2135">
        <v>2.36</v>
      </c>
      <c r="I2135">
        <v>2.67</v>
      </c>
      <c r="K2135">
        <f t="shared" si="267"/>
        <v>2.0000000000000018</v>
      </c>
      <c r="L2135">
        <f t="shared" si="268"/>
        <v>0</v>
      </c>
      <c r="M2135">
        <f t="shared" si="269"/>
        <v>-2.9999999999999805</v>
      </c>
      <c r="N2135">
        <f t="shared" si="270"/>
        <v>-5.0000000000000044</v>
      </c>
      <c r="O2135">
        <f t="shared" si="271"/>
        <v>-6.0000000000000053</v>
      </c>
      <c r="P2135">
        <f t="shared" si="272"/>
        <v>-8.9999999999999858</v>
      </c>
      <c r="Q2135">
        <f t="shared" si="273"/>
        <v>-11.000000000000032</v>
      </c>
      <c r="R2135">
        <f t="shared" si="274"/>
        <v>-10.000000000000009</v>
      </c>
    </row>
    <row r="2136" spans="1:18">
      <c r="A2136" s="9">
        <v>39828</v>
      </c>
      <c r="B2136">
        <v>1.08</v>
      </c>
      <c r="C2136">
        <v>1.33</v>
      </c>
      <c r="D2136">
        <v>1.61</v>
      </c>
      <c r="E2136">
        <v>1.81</v>
      </c>
      <c r="F2136">
        <v>1.96</v>
      </c>
      <c r="G2136">
        <v>2.16</v>
      </c>
      <c r="H2136">
        <v>2.35</v>
      </c>
      <c r="I2136">
        <v>2.64</v>
      </c>
      <c r="K2136">
        <f t="shared" si="267"/>
        <v>6.0000000000000053</v>
      </c>
      <c r="L2136">
        <f t="shared" si="268"/>
        <v>3.0000000000000027</v>
      </c>
      <c r="M2136">
        <f t="shared" si="269"/>
        <v>1.0000000000000009</v>
      </c>
      <c r="N2136">
        <f t="shared" si="270"/>
        <v>1.0000000000000009</v>
      </c>
      <c r="O2136">
        <f t="shared" si="271"/>
        <v>2.0000000000000018</v>
      </c>
      <c r="P2136">
        <f t="shared" si="272"/>
        <v>0</v>
      </c>
      <c r="Q2136">
        <f t="shared" si="273"/>
        <v>-0.99999999999997868</v>
      </c>
      <c r="R2136">
        <f t="shared" si="274"/>
        <v>-2.9999999999999805</v>
      </c>
    </row>
    <row r="2137" spans="1:18">
      <c r="A2137" s="9">
        <v>39829</v>
      </c>
      <c r="B2137">
        <v>1.06</v>
      </c>
      <c r="C2137">
        <v>1.31</v>
      </c>
      <c r="D2137">
        <v>1.61</v>
      </c>
      <c r="E2137">
        <v>1.82</v>
      </c>
      <c r="F2137">
        <v>1.97</v>
      </c>
      <c r="G2137">
        <v>2.21</v>
      </c>
      <c r="H2137">
        <v>2.44</v>
      </c>
      <c r="I2137">
        <v>2.72</v>
      </c>
      <c r="K2137">
        <f t="shared" si="267"/>
        <v>-2.0000000000000018</v>
      </c>
      <c r="L2137">
        <f t="shared" si="268"/>
        <v>-2.0000000000000018</v>
      </c>
      <c r="M2137">
        <f t="shared" si="269"/>
        <v>0</v>
      </c>
      <c r="N2137">
        <f t="shared" si="270"/>
        <v>1.0000000000000009</v>
      </c>
      <c r="O2137">
        <f t="shared" si="271"/>
        <v>1.0000000000000009</v>
      </c>
      <c r="P2137">
        <f t="shared" si="272"/>
        <v>4.9999999999999822</v>
      </c>
      <c r="Q2137">
        <f t="shared" si="273"/>
        <v>8.9999999999999858</v>
      </c>
      <c r="R2137">
        <f t="shared" si="274"/>
        <v>8.0000000000000071</v>
      </c>
    </row>
    <row r="2138" spans="1:18">
      <c r="A2138" s="9">
        <v>39833</v>
      </c>
      <c r="B2138">
        <v>1.07</v>
      </c>
      <c r="C2138">
        <v>1.37</v>
      </c>
      <c r="D2138">
        <v>1.71</v>
      </c>
      <c r="E2138">
        <v>1.94</v>
      </c>
      <c r="F2138">
        <v>2.12</v>
      </c>
      <c r="G2138">
        <v>2.36</v>
      </c>
      <c r="H2138">
        <v>2.59</v>
      </c>
      <c r="I2138">
        <v>2.86</v>
      </c>
      <c r="K2138">
        <f t="shared" si="267"/>
        <v>1.0000000000000009</v>
      </c>
      <c r="L2138">
        <f t="shared" si="268"/>
        <v>6.0000000000000053</v>
      </c>
      <c r="M2138">
        <f t="shared" si="269"/>
        <v>9.9999999999999858</v>
      </c>
      <c r="N2138">
        <f t="shared" si="270"/>
        <v>11.999999999999989</v>
      </c>
      <c r="O2138">
        <f t="shared" si="271"/>
        <v>15.000000000000014</v>
      </c>
      <c r="P2138">
        <f t="shared" si="272"/>
        <v>14.999999999999991</v>
      </c>
      <c r="Q2138">
        <f t="shared" si="273"/>
        <v>14.999999999999991</v>
      </c>
      <c r="R2138">
        <f t="shared" si="274"/>
        <v>13.999999999999968</v>
      </c>
    </row>
    <row r="2139" spans="1:18">
      <c r="A2139" s="9">
        <v>39834</v>
      </c>
      <c r="B2139">
        <v>1.1100000000000001</v>
      </c>
      <c r="C2139">
        <v>1.37</v>
      </c>
      <c r="D2139">
        <v>1.68</v>
      </c>
      <c r="E2139">
        <v>1.91</v>
      </c>
      <c r="F2139">
        <v>2.06</v>
      </c>
      <c r="G2139">
        <v>2.2999999999999998</v>
      </c>
      <c r="H2139">
        <v>2.52</v>
      </c>
      <c r="I2139">
        <v>2.81</v>
      </c>
      <c r="K2139">
        <f t="shared" si="267"/>
        <v>4.0000000000000036</v>
      </c>
      <c r="L2139">
        <f t="shared" si="268"/>
        <v>0</v>
      </c>
      <c r="M2139">
        <f t="shared" si="269"/>
        <v>-3.0000000000000027</v>
      </c>
      <c r="N2139">
        <f t="shared" si="270"/>
        <v>-3.0000000000000027</v>
      </c>
      <c r="O2139">
        <f t="shared" si="271"/>
        <v>-6.0000000000000053</v>
      </c>
      <c r="P2139">
        <f t="shared" si="272"/>
        <v>-6.0000000000000053</v>
      </c>
      <c r="Q2139">
        <f t="shared" si="273"/>
        <v>-6.999999999999984</v>
      </c>
      <c r="R2139">
        <f t="shared" si="274"/>
        <v>-4.9999999999999822</v>
      </c>
    </row>
    <row r="2140" spans="1:18">
      <c r="A2140" s="9">
        <v>39835</v>
      </c>
      <c r="B2140">
        <v>1.1599999999999999</v>
      </c>
      <c r="C2140">
        <v>1.42</v>
      </c>
      <c r="D2140">
        <v>1.76</v>
      </c>
      <c r="E2140">
        <v>2.0099999999999998</v>
      </c>
      <c r="F2140">
        <v>2.17</v>
      </c>
      <c r="G2140">
        <v>2.4300000000000002</v>
      </c>
      <c r="H2140">
        <v>2.69</v>
      </c>
      <c r="I2140">
        <v>3.01</v>
      </c>
      <c r="K2140">
        <f t="shared" si="267"/>
        <v>4.9999999999999822</v>
      </c>
      <c r="L2140">
        <f t="shared" si="268"/>
        <v>4.9999999999999822</v>
      </c>
      <c r="M2140">
        <f t="shared" si="269"/>
        <v>8.0000000000000071</v>
      </c>
      <c r="N2140">
        <f t="shared" si="270"/>
        <v>9.9999999999999858</v>
      </c>
      <c r="O2140">
        <f t="shared" si="271"/>
        <v>10.999999999999988</v>
      </c>
      <c r="P2140">
        <f t="shared" si="272"/>
        <v>13.000000000000034</v>
      </c>
      <c r="Q2140">
        <f t="shared" si="273"/>
        <v>16.999999999999993</v>
      </c>
      <c r="R2140">
        <f t="shared" si="274"/>
        <v>19.999999999999972</v>
      </c>
    </row>
    <row r="2141" spans="1:18">
      <c r="A2141" s="9">
        <v>39836</v>
      </c>
      <c r="B2141">
        <v>1.22</v>
      </c>
      <c r="C2141">
        <v>1.47</v>
      </c>
      <c r="D2141">
        <v>1.8</v>
      </c>
      <c r="E2141">
        <v>2.06</v>
      </c>
      <c r="F2141">
        <v>2.2400000000000002</v>
      </c>
      <c r="G2141">
        <v>2.52</v>
      </c>
      <c r="H2141">
        <v>2.79</v>
      </c>
      <c r="I2141">
        <v>3.17</v>
      </c>
      <c r="K2141">
        <f t="shared" si="267"/>
        <v>6.0000000000000053</v>
      </c>
      <c r="L2141">
        <f t="shared" si="268"/>
        <v>5.0000000000000044</v>
      </c>
      <c r="M2141">
        <f t="shared" si="269"/>
        <v>4.0000000000000036</v>
      </c>
      <c r="N2141">
        <f t="shared" si="270"/>
        <v>5.0000000000000266</v>
      </c>
      <c r="O2141">
        <f t="shared" si="271"/>
        <v>7.0000000000000284</v>
      </c>
      <c r="P2141">
        <f t="shared" si="272"/>
        <v>8.9999999999999858</v>
      </c>
      <c r="Q2141">
        <f t="shared" si="273"/>
        <v>10.000000000000009</v>
      </c>
      <c r="R2141">
        <f t="shared" si="274"/>
        <v>16.000000000000014</v>
      </c>
    </row>
    <row r="2142" spans="1:18">
      <c r="A2142" s="9">
        <v>39839</v>
      </c>
      <c r="B2142">
        <v>1.24</v>
      </c>
      <c r="C2142">
        <v>1.51</v>
      </c>
      <c r="D2142">
        <v>1.86</v>
      </c>
      <c r="E2142">
        <v>2.12</v>
      </c>
      <c r="F2142">
        <v>2.31</v>
      </c>
      <c r="G2142">
        <v>2.59</v>
      </c>
      <c r="H2142">
        <v>2.85</v>
      </c>
      <c r="I2142">
        <v>3.21</v>
      </c>
      <c r="K2142">
        <f t="shared" si="267"/>
        <v>2.0000000000000018</v>
      </c>
      <c r="L2142">
        <f t="shared" si="268"/>
        <v>4.0000000000000036</v>
      </c>
      <c r="M2142">
        <f t="shared" si="269"/>
        <v>6.0000000000000053</v>
      </c>
      <c r="N2142">
        <f t="shared" si="270"/>
        <v>6.0000000000000053</v>
      </c>
      <c r="O2142">
        <f t="shared" si="271"/>
        <v>6.999999999999984</v>
      </c>
      <c r="P2142">
        <f t="shared" si="272"/>
        <v>6.999999999999984</v>
      </c>
      <c r="Q2142">
        <f t="shared" si="273"/>
        <v>6.0000000000000053</v>
      </c>
      <c r="R2142">
        <f t="shared" si="274"/>
        <v>4.0000000000000036</v>
      </c>
    </row>
    <row r="2143" spans="1:18">
      <c r="A2143" s="9">
        <v>39840</v>
      </c>
      <c r="B2143">
        <v>1.21</v>
      </c>
      <c r="C2143">
        <v>1.51</v>
      </c>
      <c r="D2143">
        <v>1.86</v>
      </c>
      <c r="E2143">
        <v>2.13</v>
      </c>
      <c r="F2143">
        <v>2.3199999999999998</v>
      </c>
      <c r="G2143">
        <v>2.59</v>
      </c>
      <c r="H2143">
        <v>2.84</v>
      </c>
      <c r="I2143">
        <v>3.19</v>
      </c>
      <c r="K2143">
        <f t="shared" si="267"/>
        <v>-3.0000000000000027</v>
      </c>
      <c r="L2143">
        <f t="shared" si="268"/>
        <v>0</v>
      </c>
      <c r="M2143">
        <f t="shared" si="269"/>
        <v>0</v>
      </c>
      <c r="N2143">
        <f t="shared" si="270"/>
        <v>0.99999999999997868</v>
      </c>
      <c r="O2143">
        <f t="shared" si="271"/>
        <v>0.99999999999997868</v>
      </c>
      <c r="P2143">
        <f t="shared" si="272"/>
        <v>0</v>
      </c>
      <c r="Q2143">
        <f t="shared" si="273"/>
        <v>-1.0000000000000231</v>
      </c>
      <c r="R2143">
        <f t="shared" si="274"/>
        <v>-2.0000000000000018</v>
      </c>
    </row>
    <row r="2144" spans="1:18">
      <c r="A2144" s="9">
        <v>39841</v>
      </c>
      <c r="B2144">
        <v>1.1499999999999999</v>
      </c>
      <c r="C2144">
        <v>1.45</v>
      </c>
      <c r="D2144">
        <v>1.79</v>
      </c>
      <c r="E2144">
        <v>2.0499999999999998</v>
      </c>
      <c r="F2144">
        <v>2.2400000000000002</v>
      </c>
      <c r="G2144">
        <v>2.5</v>
      </c>
      <c r="H2144">
        <v>2.75</v>
      </c>
      <c r="I2144">
        <v>3.08</v>
      </c>
      <c r="K2144">
        <f t="shared" si="267"/>
        <v>-6.0000000000000053</v>
      </c>
      <c r="L2144">
        <f t="shared" si="268"/>
        <v>-6.0000000000000053</v>
      </c>
      <c r="M2144">
        <f t="shared" si="269"/>
        <v>-7.0000000000000062</v>
      </c>
      <c r="N2144">
        <f t="shared" si="270"/>
        <v>-8.0000000000000071</v>
      </c>
      <c r="O2144">
        <f t="shared" si="271"/>
        <v>-7.9999999999999627</v>
      </c>
      <c r="P2144">
        <f t="shared" si="272"/>
        <v>-8.9999999999999858</v>
      </c>
      <c r="Q2144">
        <f t="shared" si="273"/>
        <v>-8.9999999999999858</v>
      </c>
      <c r="R2144">
        <f t="shared" si="274"/>
        <v>-10.999999999999988</v>
      </c>
    </row>
    <row r="2145" spans="1:18">
      <c r="A2145" s="9">
        <v>39842</v>
      </c>
      <c r="B2145">
        <v>1.1599999999999999</v>
      </c>
      <c r="C2145">
        <v>1.48</v>
      </c>
      <c r="D2145">
        <v>1.84</v>
      </c>
      <c r="E2145">
        <v>2.14</v>
      </c>
      <c r="F2145">
        <v>2.33</v>
      </c>
      <c r="G2145">
        <v>2.62</v>
      </c>
      <c r="H2145">
        <v>2.89</v>
      </c>
      <c r="I2145">
        <v>3.25</v>
      </c>
      <c r="K2145">
        <f t="shared" si="267"/>
        <v>1.0000000000000009</v>
      </c>
      <c r="L2145">
        <f t="shared" si="268"/>
        <v>3.0000000000000027</v>
      </c>
      <c r="M2145">
        <f t="shared" si="269"/>
        <v>5.0000000000000044</v>
      </c>
      <c r="N2145">
        <f t="shared" si="270"/>
        <v>9.0000000000000302</v>
      </c>
      <c r="O2145">
        <f t="shared" si="271"/>
        <v>8.9999999999999858</v>
      </c>
      <c r="P2145">
        <f t="shared" si="272"/>
        <v>12.000000000000011</v>
      </c>
      <c r="Q2145">
        <f t="shared" si="273"/>
        <v>14.000000000000012</v>
      </c>
      <c r="R2145">
        <f t="shared" si="274"/>
        <v>16.999999999999993</v>
      </c>
    </row>
    <row r="2146" spans="1:18">
      <c r="A2146" s="9">
        <v>39843</v>
      </c>
      <c r="B2146">
        <v>1.25</v>
      </c>
      <c r="C2146">
        <v>1.55</v>
      </c>
      <c r="D2146">
        <v>1.94</v>
      </c>
      <c r="E2146">
        <v>2.21</v>
      </c>
      <c r="F2146">
        <v>2.42</v>
      </c>
      <c r="G2146">
        <v>2.7</v>
      </c>
      <c r="H2146">
        <v>2.98</v>
      </c>
      <c r="I2146">
        <v>3.32</v>
      </c>
      <c r="K2146">
        <f t="shared" si="267"/>
        <v>9.0000000000000071</v>
      </c>
      <c r="L2146">
        <f t="shared" si="268"/>
        <v>7.0000000000000062</v>
      </c>
      <c r="M2146">
        <f t="shared" si="269"/>
        <v>9.9999999999999858</v>
      </c>
      <c r="N2146">
        <f t="shared" si="270"/>
        <v>6.999999999999984</v>
      </c>
      <c r="O2146">
        <f t="shared" si="271"/>
        <v>8.9999999999999858</v>
      </c>
      <c r="P2146">
        <f t="shared" si="272"/>
        <v>8.0000000000000071</v>
      </c>
      <c r="Q2146">
        <f t="shared" si="273"/>
        <v>8.9999999999999858</v>
      </c>
      <c r="R2146">
        <f t="shared" si="274"/>
        <v>6.999999999999984</v>
      </c>
    </row>
    <row r="2147" spans="1:18">
      <c r="A2147" s="9">
        <v>39846</v>
      </c>
      <c r="B2147">
        <v>1.36</v>
      </c>
      <c r="C2147">
        <v>1.64</v>
      </c>
      <c r="D2147">
        <v>1.96</v>
      </c>
      <c r="E2147">
        <v>2.25</v>
      </c>
      <c r="F2147">
        <v>2.4300000000000002</v>
      </c>
      <c r="G2147">
        <v>2.73</v>
      </c>
      <c r="H2147">
        <v>3.01</v>
      </c>
      <c r="I2147">
        <v>3.31</v>
      </c>
      <c r="K2147">
        <f t="shared" si="267"/>
        <v>11.000000000000011</v>
      </c>
      <c r="L2147">
        <f t="shared" si="268"/>
        <v>8.9999999999999858</v>
      </c>
      <c r="M2147">
        <f t="shared" si="269"/>
        <v>2.0000000000000018</v>
      </c>
      <c r="N2147">
        <f t="shared" si="270"/>
        <v>4.0000000000000036</v>
      </c>
      <c r="O2147">
        <f t="shared" si="271"/>
        <v>1.0000000000000231</v>
      </c>
      <c r="P2147">
        <f t="shared" si="272"/>
        <v>2.9999999999999805</v>
      </c>
      <c r="Q2147">
        <f t="shared" si="273"/>
        <v>2.9999999999999805</v>
      </c>
      <c r="R2147">
        <f t="shared" si="274"/>
        <v>-0.99999999999997868</v>
      </c>
    </row>
    <row r="2148" spans="1:18">
      <c r="A2148" s="9">
        <v>39847</v>
      </c>
      <c r="B2148">
        <v>1.32</v>
      </c>
      <c r="C2148">
        <v>1.61</v>
      </c>
      <c r="D2148">
        <v>1.96</v>
      </c>
      <c r="E2148">
        <v>2.25</v>
      </c>
      <c r="F2148">
        <v>2.46</v>
      </c>
      <c r="G2148">
        <v>2.76</v>
      </c>
      <c r="H2148">
        <v>3.03</v>
      </c>
      <c r="I2148">
        <v>3.33</v>
      </c>
      <c r="K2148">
        <f t="shared" si="267"/>
        <v>-4.0000000000000036</v>
      </c>
      <c r="L2148">
        <f t="shared" si="268"/>
        <v>-2.9999999999999805</v>
      </c>
      <c r="M2148">
        <f t="shared" si="269"/>
        <v>0</v>
      </c>
      <c r="N2148">
        <f t="shared" si="270"/>
        <v>0</v>
      </c>
      <c r="O2148">
        <f t="shared" si="271"/>
        <v>2.9999999999999805</v>
      </c>
      <c r="P2148">
        <f t="shared" si="272"/>
        <v>2.9999999999999805</v>
      </c>
      <c r="Q2148">
        <f t="shared" si="273"/>
        <v>2.0000000000000018</v>
      </c>
      <c r="R2148">
        <f t="shared" si="274"/>
        <v>2.0000000000000018</v>
      </c>
    </row>
    <row r="2149" spans="1:18">
      <c r="A2149" s="9">
        <v>39848</v>
      </c>
      <c r="B2149">
        <v>1.35</v>
      </c>
      <c r="C2149">
        <v>1.66</v>
      </c>
      <c r="D2149">
        <v>2.04</v>
      </c>
      <c r="E2149">
        <v>2.34</v>
      </c>
      <c r="F2149">
        <v>2.5499999999999998</v>
      </c>
      <c r="G2149">
        <v>2.86</v>
      </c>
      <c r="H2149">
        <v>3.13</v>
      </c>
      <c r="I2149">
        <v>3.42</v>
      </c>
      <c r="K2149">
        <f t="shared" si="267"/>
        <v>3.0000000000000027</v>
      </c>
      <c r="L2149">
        <f t="shared" si="268"/>
        <v>4.9999999999999822</v>
      </c>
      <c r="M2149">
        <f t="shared" si="269"/>
        <v>8.0000000000000071</v>
      </c>
      <c r="N2149">
        <f t="shared" si="270"/>
        <v>8.9999999999999858</v>
      </c>
      <c r="O2149">
        <f t="shared" si="271"/>
        <v>8.9999999999999858</v>
      </c>
      <c r="P2149">
        <f t="shared" si="272"/>
        <v>10.000000000000009</v>
      </c>
      <c r="Q2149">
        <f t="shared" si="273"/>
        <v>10.000000000000009</v>
      </c>
      <c r="R2149">
        <f t="shared" si="274"/>
        <v>8.9999999999999858</v>
      </c>
    </row>
    <row r="2150" spans="1:18">
      <c r="A2150" s="9">
        <v>39849</v>
      </c>
      <c r="B2150">
        <v>1.32</v>
      </c>
      <c r="C2150">
        <v>1.62</v>
      </c>
      <c r="D2150">
        <v>1.99</v>
      </c>
      <c r="E2150">
        <v>2.2999999999999998</v>
      </c>
      <c r="F2150">
        <v>2.52</v>
      </c>
      <c r="G2150">
        <v>2.84</v>
      </c>
      <c r="H2150">
        <v>3.12</v>
      </c>
      <c r="I2150">
        <v>3.38</v>
      </c>
      <c r="K2150">
        <f t="shared" si="267"/>
        <v>-3.0000000000000027</v>
      </c>
      <c r="L2150">
        <f t="shared" si="268"/>
        <v>-3.9999999999999813</v>
      </c>
      <c r="M2150">
        <f t="shared" si="269"/>
        <v>-5.0000000000000044</v>
      </c>
      <c r="N2150">
        <f t="shared" si="270"/>
        <v>-4.0000000000000036</v>
      </c>
      <c r="O2150">
        <f t="shared" si="271"/>
        <v>-2.9999999999999805</v>
      </c>
      <c r="P2150">
        <f t="shared" si="272"/>
        <v>-2.0000000000000018</v>
      </c>
      <c r="Q2150">
        <f t="shared" si="273"/>
        <v>-0.99999999999997868</v>
      </c>
      <c r="R2150">
        <f t="shared" si="274"/>
        <v>-4.0000000000000036</v>
      </c>
    </row>
    <row r="2151" spans="1:18">
      <c r="A2151" s="9">
        <v>39850</v>
      </c>
      <c r="B2151">
        <v>1.32</v>
      </c>
      <c r="C2151">
        <v>1.64</v>
      </c>
      <c r="D2151">
        <v>2.0099999999999998</v>
      </c>
      <c r="E2151">
        <v>2.34</v>
      </c>
      <c r="F2151">
        <v>2.58</v>
      </c>
      <c r="G2151">
        <v>2.91</v>
      </c>
      <c r="H2151">
        <v>3.19</v>
      </c>
      <c r="I2151">
        <v>3.44</v>
      </c>
      <c r="K2151">
        <f t="shared" si="267"/>
        <v>0</v>
      </c>
      <c r="L2151">
        <f t="shared" si="268"/>
        <v>1.9999999999999796</v>
      </c>
      <c r="M2151">
        <f t="shared" si="269"/>
        <v>1.9999999999999796</v>
      </c>
      <c r="N2151">
        <f t="shared" si="270"/>
        <v>4.0000000000000036</v>
      </c>
      <c r="O2151">
        <f t="shared" si="271"/>
        <v>6.0000000000000053</v>
      </c>
      <c r="P2151">
        <f t="shared" si="272"/>
        <v>7.0000000000000284</v>
      </c>
      <c r="Q2151">
        <f t="shared" si="273"/>
        <v>6.999999999999984</v>
      </c>
      <c r="R2151">
        <f t="shared" si="274"/>
        <v>6.0000000000000053</v>
      </c>
    </row>
    <row r="2152" spans="1:18">
      <c r="A2152" s="9">
        <v>39853</v>
      </c>
      <c r="B2152">
        <v>1.31</v>
      </c>
      <c r="C2152">
        <v>1.65</v>
      </c>
      <c r="D2152">
        <v>2.06</v>
      </c>
      <c r="E2152">
        <v>2.39</v>
      </c>
      <c r="F2152">
        <v>2.65</v>
      </c>
      <c r="G2152">
        <v>3</v>
      </c>
      <c r="H2152">
        <v>3.29</v>
      </c>
      <c r="I2152">
        <v>3.52</v>
      </c>
      <c r="K2152">
        <f t="shared" si="267"/>
        <v>-1.0000000000000009</v>
      </c>
      <c r="L2152">
        <f t="shared" si="268"/>
        <v>1.0000000000000009</v>
      </c>
      <c r="M2152">
        <f t="shared" si="269"/>
        <v>5.0000000000000266</v>
      </c>
      <c r="N2152">
        <f t="shared" si="270"/>
        <v>5.0000000000000266</v>
      </c>
      <c r="O2152">
        <f t="shared" si="271"/>
        <v>6.999999999999984</v>
      </c>
      <c r="P2152">
        <f t="shared" si="272"/>
        <v>8.9999999999999858</v>
      </c>
      <c r="Q2152">
        <f t="shared" si="273"/>
        <v>10.000000000000009</v>
      </c>
      <c r="R2152">
        <f t="shared" si="274"/>
        <v>8.0000000000000071</v>
      </c>
    </row>
    <row r="2153" spans="1:18">
      <c r="A2153" s="9">
        <v>39854</v>
      </c>
      <c r="B2153">
        <v>1.29</v>
      </c>
      <c r="C2153">
        <v>1.63</v>
      </c>
      <c r="D2153">
        <v>2.0099999999999998</v>
      </c>
      <c r="E2153">
        <v>2.31</v>
      </c>
      <c r="F2153">
        <v>2.5499999999999998</v>
      </c>
      <c r="G2153">
        <v>2.88</v>
      </c>
      <c r="H2153">
        <v>3.14</v>
      </c>
      <c r="I2153">
        <v>3.33</v>
      </c>
      <c r="K2153">
        <f t="shared" si="267"/>
        <v>-2.0000000000000018</v>
      </c>
      <c r="L2153">
        <f t="shared" si="268"/>
        <v>-2.0000000000000018</v>
      </c>
      <c r="M2153">
        <f t="shared" si="269"/>
        <v>-5.0000000000000266</v>
      </c>
      <c r="N2153">
        <f t="shared" si="270"/>
        <v>-8.0000000000000071</v>
      </c>
      <c r="O2153">
        <f t="shared" si="271"/>
        <v>-10.000000000000009</v>
      </c>
      <c r="P2153">
        <f t="shared" si="272"/>
        <v>-12.000000000000011</v>
      </c>
      <c r="Q2153">
        <f t="shared" si="273"/>
        <v>-14.999999999999991</v>
      </c>
      <c r="R2153">
        <f t="shared" si="274"/>
        <v>-18.999999999999993</v>
      </c>
    </row>
    <row r="2154" spans="1:18">
      <c r="A2154" s="9">
        <v>39855</v>
      </c>
      <c r="B2154">
        <v>1.28</v>
      </c>
      <c r="C2154">
        <v>1.56</v>
      </c>
      <c r="D2154">
        <v>1.91</v>
      </c>
      <c r="E2154">
        <v>2.21</v>
      </c>
      <c r="F2154">
        <v>2.4300000000000002</v>
      </c>
      <c r="G2154">
        <v>2.77</v>
      </c>
      <c r="H2154">
        <v>3.02</v>
      </c>
      <c r="I2154">
        <v>3.2</v>
      </c>
      <c r="K2154">
        <f t="shared" si="267"/>
        <v>-1.0000000000000009</v>
      </c>
      <c r="L2154">
        <f t="shared" si="268"/>
        <v>-6.999999999999984</v>
      </c>
      <c r="M2154">
        <f t="shared" si="269"/>
        <v>-9.9999999999999858</v>
      </c>
      <c r="N2154">
        <f t="shared" si="270"/>
        <v>-10.000000000000009</v>
      </c>
      <c r="O2154">
        <f t="shared" si="271"/>
        <v>-11.999999999999966</v>
      </c>
      <c r="P2154">
        <f t="shared" si="272"/>
        <v>-10.999999999999988</v>
      </c>
      <c r="Q2154">
        <f t="shared" si="273"/>
        <v>-12.000000000000011</v>
      </c>
      <c r="R2154">
        <f t="shared" si="274"/>
        <v>-12.999999999999989</v>
      </c>
    </row>
    <row r="2155" spans="1:18">
      <c r="A2155" s="9">
        <v>39856</v>
      </c>
      <c r="B2155">
        <v>1.29</v>
      </c>
      <c r="C2155">
        <v>1.51</v>
      </c>
      <c r="D2155">
        <v>1.86</v>
      </c>
      <c r="E2155">
        <v>2.17</v>
      </c>
      <c r="F2155">
        <v>2.41</v>
      </c>
      <c r="G2155">
        <v>2.74</v>
      </c>
      <c r="H2155">
        <v>3</v>
      </c>
      <c r="I2155">
        <v>3.21</v>
      </c>
      <c r="K2155">
        <f t="shared" si="267"/>
        <v>1.0000000000000009</v>
      </c>
      <c r="L2155">
        <f t="shared" si="268"/>
        <v>-5.0000000000000044</v>
      </c>
      <c r="M2155">
        <f t="shared" si="269"/>
        <v>-4.9999999999999822</v>
      </c>
      <c r="N2155">
        <f t="shared" si="270"/>
        <v>-4.0000000000000036</v>
      </c>
      <c r="O2155">
        <f t="shared" si="271"/>
        <v>-2.0000000000000018</v>
      </c>
      <c r="P2155">
        <f t="shared" si="272"/>
        <v>-2.9999999999999805</v>
      </c>
      <c r="Q2155">
        <f t="shared" si="273"/>
        <v>-2.0000000000000018</v>
      </c>
      <c r="R2155">
        <f t="shared" si="274"/>
        <v>0.99999999999997868</v>
      </c>
    </row>
    <row r="2156" spans="1:18">
      <c r="A2156" s="9">
        <v>39857</v>
      </c>
      <c r="B2156">
        <v>1.33</v>
      </c>
      <c r="C2156">
        <v>1.59</v>
      </c>
      <c r="D2156">
        <v>1.97</v>
      </c>
      <c r="E2156">
        <v>2.29</v>
      </c>
      <c r="F2156">
        <v>2.54</v>
      </c>
      <c r="G2156">
        <v>2.85</v>
      </c>
      <c r="H2156">
        <v>3.1</v>
      </c>
      <c r="I2156">
        <v>3.31</v>
      </c>
      <c r="K2156">
        <f t="shared" si="267"/>
        <v>4.0000000000000036</v>
      </c>
      <c r="L2156">
        <f t="shared" si="268"/>
        <v>8.0000000000000071</v>
      </c>
      <c r="M2156">
        <f t="shared" si="269"/>
        <v>10.999999999999988</v>
      </c>
      <c r="N2156">
        <f t="shared" si="270"/>
        <v>12.000000000000011</v>
      </c>
      <c r="O2156">
        <f t="shared" si="271"/>
        <v>12.999999999999989</v>
      </c>
      <c r="P2156">
        <f t="shared" si="272"/>
        <v>10.999999999999988</v>
      </c>
      <c r="Q2156">
        <f t="shared" si="273"/>
        <v>10.000000000000009</v>
      </c>
      <c r="R2156">
        <f t="shared" si="274"/>
        <v>10.000000000000009</v>
      </c>
    </row>
    <row r="2157" spans="1:18">
      <c r="A2157" s="9">
        <v>39861</v>
      </c>
      <c r="B2157">
        <v>1.36</v>
      </c>
      <c r="C2157">
        <v>1.6</v>
      </c>
      <c r="D2157">
        <v>1.93</v>
      </c>
      <c r="E2157">
        <v>2.21</v>
      </c>
      <c r="F2157">
        <v>2.4300000000000002</v>
      </c>
      <c r="G2157">
        <v>2.73</v>
      </c>
      <c r="H2157">
        <v>2.97</v>
      </c>
      <c r="I2157">
        <v>3.21</v>
      </c>
      <c r="K2157">
        <f t="shared" si="267"/>
        <v>3.0000000000000027</v>
      </c>
      <c r="L2157">
        <f t="shared" si="268"/>
        <v>1.0000000000000009</v>
      </c>
      <c r="M2157">
        <f t="shared" si="269"/>
        <v>-4.0000000000000036</v>
      </c>
      <c r="N2157">
        <f t="shared" si="270"/>
        <v>-8.0000000000000071</v>
      </c>
      <c r="O2157">
        <f t="shared" si="271"/>
        <v>-10.999999999999988</v>
      </c>
      <c r="P2157">
        <f t="shared" si="272"/>
        <v>-12.000000000000011</v>
      </c>
      <c r="Q2157">
        <f t="shared" si="273"/>
        <v>-12.999999999999989</v>
      </c>
      <c r="R2157">
        <f t="shared" si="274"/>
        <v>-10.000000000000009</v>
      </c>
    </row>
    <row r="2158" spans="1:18">
      <c r="A2158" s="9">
        <v>39862</v>
      </c>
      <c r="B2158">
        <v>1.36</v>
      </c>
      <c r="C2158">
        <v>1.59</v>
      </c>
      <c r="D2158">
        <v>1.91</v>
      </c>
      <c r="E2158">
        <v>2.2200000000000002</v>
      </c>
      <c r="F2158">
        <v>2.44</v>
      </c>
      <c r="G2158">
        <v>2.73</v>
      </c>
      <c r="H2158">
        <v>2.96</v>
      </c>
      <c r="I2158">
        <v>3.16</v>
      </c>
      <c r="K2158">
        <f t="shared" si="267"/>
        <v>0</v>
      </c>
      <c r="L2158">
        <f t="shared" si="268"/>
        <v>-1.0000000000000009</v>
      </c>
      <c r="M2158">
        <f t="shared" si="269"/>
        <v>-2.0000000000000018</v>
      </c>
      <c r="N2158">
        <f t="shared" si="270"/>
        <v>1.0000000000000231</v>
      </c>
      <c r="O2158">
        <f t="shared" si="271"/>
        <v>0.99999999999997868</v>
      </c>
      <c r="P2158">
        <f t="shared" si="272"/>
        <v>0</v>
      </c>
      <c r="Q2158">
        <f t="shared" si="273"/>
        <v>-1.0000000000000231</v>
      </c>
      <c r="R2158">
        <f t="shared" si="274"/>
        <v>-4.9999999999999822</v>
      </c>
    </row>
    <row r="2159" spans="1:18">
      <c r="A2159" s="9">
        <v>39863</v>
      </c>
      <c r="B2159">
        <v>1.36</v>
      </c>
      <c r="C2159">
        <v>1.64</v>
      </c>
      <c r="D2159">
        <v>1.98</v>
      </c>
      <c r="E2159">
        <v>2.29</v>
      </c>
      <c r="F2159">
        <v>2.52</v>
      </c>
      <c r="G2159">
        <v>2.84</v>
      </c>
      <c r="H2159">
        <v>3.09</v>
      </c>
      <c r="I2159">
        <v>3.31</v>
      </c>
      <c r="K2159">
        <f t="shared" si="267"/>
        <v>0</v>
      </c>
      <c r="L2159">
        <f t="shared" si="268"/>
        <v>4.9999999999999822</v>
      </c>
      <c r="M2159">
        <f t="shared" si="269"/>
        <v>7.0000000000000062</v>
      </c>
      <c r="N2159">
        <f t="shared" si="270"/>
        <v>6.999999999999984</v>
      </c>
      <c r="O2159">
        <f t="shared" si="271"/>
        <v>8.0000000000000071</v>
      </c>
      <c r="P2159">
        <f t="shared" si="272"/>
        <v>10.999999999999988</v>
      </c>
      <c r="Q2159">
        <f t="shared" si="273"/>
        <v>12.999999999999989</v>
      </c>
      <c r="R2159">
        <f t="shared" si="274"/>
        <v>14.999999999999991</v>
      </c>
    </row>
    <row r="2160" spans="1:18">
      <c r="A2160" s="9">
        <v>39864</v>
      </c>
      <c r="B2160">
        <v>1.3</v>
      </c>
      <c r="C2160">
        <v>1.55</v>
      </c>
      <c r="D2160">
        <v>1.89</v>
      </c>
      <c r="E2160">
        <v>2.19</v>
      </c>
      <c r="F2160">
        <v>2.42</v>
      </c>
      <c r="G2160">
        <v>2.75</v>
      </c>
      <c r="H2160">
        <v>3.01</v>
      </c>
      <c r="I2160">
        <v>3.25</v>
      </c>
      <c r="K2160">
        <f t="shared" si="267"/>
        <v>-6.0000000000000053</v>
      </c>
      <c r="L2160">
        <f t="shared" si="268"/>
        <v>-8.9999999999999858</v>
      </c>
      <c r="M2160">
        <f t="shared" si="269"/>
        <v>-9.0000000000000071</v>
      </c>
      <c r="N2160">
        <f t="shared" si="270"/>
        <v>-10.000000000000009</v>
      </c>
      <c r="O2160">
        <f t="shared" si="271"/>
        <v>-10.000000000000009</v>
      </c>
      <c r="P2160">
        <f t="shared" si="272"/>
        <v>-8.9999999999999858</v>
      </c>
      <c r="Q2160">
        <f t="shared" si="273"/>
        <v>-8.0000000000000071</v>
      </c>
      <c r="R2160">
        <f t="shared" si="274"/>
        <v>-6.0000000000000053</v>
      </c>
    </row>
    <row r="2161" spans="1:18">
      <c r="A2161" s="9">
        <v>39867</v>
      </c>
      <c r="B2161">
        <v>1.31</v>
      </c>
      <c r="C2161">
        <v>1.59</v>
      </c>
      <c r="D2161">
        <v>1.93</v>
      </c>
      <c r="E2161">
        <v>2.23</v>
      </c>
      <c r="F2161">
        <v>2.4500000000000002</v>
      </c>
      <c r="G2161">
        <v>2.76</v>
      </c>
      <c r="H2161">
        <v>3</v>
      </c>
      <c r="I2161">
        <v>3.19</v>
      </c>
      <c r="K2161">
        <f t="shared" si="267"/>
        <v>1.0000000000000009</v>
      </c>
      <c r="L2161">
        <f t="shared" si="268"/>
        <v>4.0000000000000036</v>
      </c>
      <c r="M2161">
        <f t="shared" si="269"/>
        <v>4.0000000000000036</v>
      </c>
      <c r="N2161">
        <f t="shared" si="270"/>
        <v>4.0000000000000036</v>
      </c>
      <c r="O2161">
        <f t="shared" si="271"/>
        <v>3.0000000000000249</v>
      </c>
      <c r="P2161">
        <f t="shared" si="272"/>
        <v>0.99999999999997868</v>
      </c>
      <c r="Q2161">
        <f t="shared" si="273"/>
        <v>-0.99999999999997868</v>
      </c>
      <c r="R2161">
        <f t="shared" si="274"/>
        <v>-6.0000000000000053</v>
      </c>
    </row>
    <row r="2162" spans="1:18">
      <c r="A2162" s="9">
        <v>39868</v>
      </c>
      <c r="B2162">
        <v>1.32</v>
      </c>
      <c r="C2162">
        <v>1.58</v>
      </c>
      <c r="D2162">
        <v>1.91</v>
      </c>
      <c r="E2162">
        <v>2.2000000000000002</v>
      </c>
      <c r="F2162">
        <v>2.44</v>
      </c>
      <c r="G2162">
        <v>2.75</v>
      </c>
      <c r="H2162">
        <v>2.99</v>
      </c>
      <c r="I2162">
        <v>3.14</v>
      </c>
      <c r="K2162">
        <f t="shared" si="267"/>
        <v>1.0000000000000009</v>
      </c>
      <c r="L2162">
        <f t="shared" si="268"/>
        <v>-1.0000000000000009</v>
      </c>
      <c r="M2162">
        <f t="shared" si="269"/>
        <v>-2.0000000000000018</v>
      </c>
      <c r="N2162">
        <f t="shared" si="270"/>
        <v>-2.9999999999999805</v>
      </c>
      <c r="O2162">
        <f t="shared" si="271"/>
        <v>-1.0000000000000231</v>
      </c>
      <c r="P2162">
        <f t="shared" si="272"/>
        <v>-0.99999999999997868</v>
      </c>
      <c r="Q2162">
        <f t="shared" si="273"/>
        <v>-0.99999999999997868</v>
      </c>
      <c r="R2162">
        <f t="shared" si="274"/>
        <v>-4.9999999999999822</v>
      </c>
    </row>
    <row r="2163" spans="1:18">
      <c r="A2163" s="9">
        <v>39869</v>
      </c>
      <c r="B2163">
        <v>1.36</v>
      </c>
      <c r="C2163">
        <v>1.66</v>
      </c>
      <c r="D2163">
        <v>2.0099999999999998</v>
      </c>
      <c r="E2163">
        <v>2.33</v>
      </c>
      <c r="F2163">
        <v>2.57</v>
      </c>
      <c r="G2163">
        <v>2.87</v>
      </c>
      <c r="H2163">
        <v>3.11</v>
      </c>
      <c r="I2163">
        <v>3.22</v>
      </c>
      <c r="K2163">
        <f t="shared" si="267"/>
        <v>4.0000000000000036</v>
      </c>
      <c r="L2163">
        <f t="shared" si="268"/>
        <v>7.9999999999999849</v>
      </c>
      <c r="M2163">
        <f t="shared" si="269"/>
        <v>9.9999999999999858</v>
      </c>
      <c r="N2163">
        <f t="shared" si="270"/>
        <v>12.999999999999989</v>
      </c>
      <c r="O2163">
        <f t="shared" si="271"/>
        <v>12.999999999999989</v>
      </c>
      <c r="P2163">
        <f t="shared" si="272"/>
        <v>12.000000000000011</v>
      </c>
      <c r="Q2163">
        <f t="shared" si="273"/>
        <v>11.999999999999966</v>
      </c>
      <c r="R2163">
        <f t="shared" si="274"/>
        <v>8.0000000000000071</v>
      </c>
    </row>
    <row r="2164" spans="1:18">
      <c r="A2164" s="9">
        <v>39870</v>
      </c>
      <c r="B2164">
        <v>1.4</v>
      </c>
      <c r="C2164">
        <v>1.73</v>
      </c>
      <c r="D2164">
        <v>2.12</v>
      </c>
      <c r="E2164">
        <v>2.4500000000000002</v>
      </c>
      <c r="F2164">
        <v>2.71</v>
      </c>
      <c r="G2164">
        <v>3.06</v>
      </c>
      <c r="H2164">
        <v>3.32</v>
      </c>
      <c r="I2164">
        <v>3.45</v>
      </c>
      <c r="K2164">
        <f t="shared" si="267"/>
        <v>3.9999999999999813</v>
      </c>
      <c r="L2164">
        <f t="shared" si="268"/>
        <v>7.0000000000000062</v>
      </c>
      <c r="M2164">
        <f t="shared" si="269"/>
        <v>11.000000000000032</v>
      </c>
      <c r="N2164">
        <f t="shared" si="270"/>
        <v>12.000000000000011</v>
      </c>
      <c r="O2164">
        <f t="shared" si="271"/>
        <v>14.000000000000012</v>
      </c>
      <c r="P2164">
        <f t="shared" si="272"/>
        <v>18.999999999999993</v>
      </c>
      <c r="Q2164">
        <f t="shared" si="273"/>
        <v>20.999999999999996</v>
      </c>
      <c r="R2164">
        <f t="shared" si="274"/>
        <v>23</v>
      </c>
    </row>
    <row r="2165" spans="1:18">
      <c r="A2165" s="9">
        <v>39871</v>
      </c>
      <c r="B2165">
        <v>1.4</v>
      </c>
      <c r="C2165">
        <v>1.7</v>
      </c>
      <c r="D2165">
        <v>2.1</v>
      </c>
      <c r="E2165">
        <v>2.44</v>
      </c>
      <c r="F2165">
        <v>2.71</v>
      </c>
      <c r="G2165">
        <v>3.07</v>
      </c>
      <c r="H2165">
        <v>3.34</v>
      </c>
      <c r="I2165">
        <v>3.46</v>
      </c>
      <c r="K2165">
        <f t="shared" si="267"/>
        <v>0</v>
      </c>
      <c r="L2165">
        <f t="shared" si="268"/>
        <v>-3.0000000000000027</v>
      </c>
      <c r="M2165">
        <f t="shared" si="269"/>
        <v>-2.0000000000000018</v>
      </c>
      <c r="N2165">
        <f t="shared" si="270"/>
        <v>-1.0000000000000231</v>
      </c>
      <c r="O2165">
        <f t="shared" si="271"/>
        <v>0</v>
      </c>
      <c r="P2165">
        <f t="shared" si="272"/>
        <v>0.99999999999997868</v>
      </c>
      <c r="Q2165">
        <f t="shared" si="273"/>
        <v>2.0000000000000018</v>
      </c>
      <c r="R2165">
        <f t="shared" si="274"/>
        <v>0.99999999999997868</v>
      </c>
    </row>
    <row r="2166" spans="1:18">
      <c r="A2166" s="9">
        <v>39874</v>
      </c>
      <c r="B2166">
        <v>1.36</v>
      </c>
      <c r="C2166">
        <v>1.6</v>
      </c>
      <c r="D2166">
        <v>1.96</v>
      </c>
      <c r="E2166">
        <v>2.2999999999999998</v>
      </c>
      <c r="F2166">
        <v>2.56</v>
      </c>
      <c r="G2166">
        <v>2.93</v>
      </c>
      <c r="H2166">
        <v>3.24</v>
      </c>
      <c r="I2166">
        <v>3.38</v>
      </c>
      <c r="K2166">
        <f t="shared" si="267"/>
        <v>-3.9999999999999813</v>
      </c>
      <c r="L2166">
        <f t="shared" si="268"/>
        <v>-9.9999999999999858</v>
      </c>
      <c r="M2166">
        <f t="shared" si="269"/>
        <v>-14.000000000000012</v>
      </c>
      <c r="N2166">
        <f t="shared" si="270"/>
        <v>-14.000000000000012</v>
      </c>
      <c r="O2166">
        <f t="shared" si="271"/>
        <v>-14.999999999999991</v>
      </c>
      <c r="P2166">
        <f t="shared" si="272"/>
        <v>-13.999999999999968</v>
      </c>
      <c r="Q2166">
        <f t="shared" si="273"/>
        <v>-9.9999999999999645</v>
      </c>
      <c r="R2166">
        <f t="shared" si="274"/>
        <v>-8.0000000000000071</v>
      </c>
    </row>
    <row r="2167" spans="1:18">
      <c r="A2167" s="9">
        <v>39875</v>
      </c>
      <c r="B2167">
        <v>1.33</v>
      </c>
      <c r="C2167">
        <v>1.59</v>
      </c>
      <c r="D2167">
        <v>1.97</v>
      </c>
      <c r="E2167">
        <v>2.3199999999999998</v>
      </c>
      <c r="F2167">
        <v>2.58</v>
      </c>
      <c r="G2167">
        <v>2.95</v>
      </c>
      <c r="H2167">
        <v>3.24</v>
      </c>
      <c r="I2167">
        <v>3.43</v>
      </c>
      <c r="K2167">
        <f t="shared" si="267"/>
        <v>-3.0000000000000027</v>
      </c>
      <c r="L2167">
        <f t="shared" si="268"/>
        <v>-1.0000000000000009</v>
      </c>
      <c r="M2167">
        <f t="shared" si="269"/>
        <v>1.0000000000000009</v>
      </c>
      <c r="N2167">
        <f t="shared" si="270"/>
        <v>2.0000000000000018</v>
      </c>
      <c r="O2167">
        <f t="shared" si="271"/>
        <v>2.0000000000000018</v>
      </c>
      <c r="P2167">
        <f t="shared" si="272"/>
        <v>2.0000000000000018</v>
      </c>
      <c r="Q2167">
        <f t="shared" si="273"/>
        <v>0</v>
      </c>
      <c r="R2167">
        <f t="shared" si="274"/>
        <v>5.0000000000000266</v>
      </c>
    </row>
    <row r="2168" spans="1:18">
      <c r="A2168" s="9">
        <v>39876</v>
      </c>
      <c r="B2168">
        <v>1.38</v>
      </c>
      <c r="C2168">
        <v>1.67</v>
      </c>
      <c r="D2168">
        <v>2.0499999999999998</v>
      </c>
      <c r="E2168">
        <v>2.39</v>
      </c>
      <c r="F2168">
        <v>2.66</v>
      </c>
      <c r="G2168">
        <v>3.03</v>
      </c>
      <c r="H2168">
        <v>3.31</v>
      </c>
      <c r="I2168">
        <v>3.44</v>
      </c>
      <c r="K2168">
        <f t="shared" si="267"/>
        <v>4.9999999999999822</v>
      </c>
      <c r="L2168">
        <f t="shared" si="268"/>
        <v>7.9999999999999849</v>
      </c>
      <c r="M2168">
        <f t="shared" si="269"/>
        <v>7.9999999999999849</v>
      </c>
      <c r="N2168">
        <f t="shared" si="270"/>
        <v>7.0000000000000284</v>
      </c>
      <c r="O2168">
        <f t="shared" si="271"/>
        <v>8.0000000000000071</v>
      </c>
      <c r="P2168">
        <f t="shared" si="272"/>
        <v>7.9999999999999627</v>
      </c>
      <c r="Q2168">
        <f t="shared" si="273"/>
        <v>6.999999999999984</v>
      </c>
      <c r="R2168">
        <f t="shared" si="274"/>
        <v>0.99999999999997868</v>
      </c>
    </row>
    <row r="2169" spans="1:18">
      <c r="A2169" s="9">
        <v>39877</v>
      </c>
      <c r="B2169">
        <v>1.4</v>
      </c>
      <c r="C2169">
        <v>1.67</v>
      </c>
      <c r="D2169">
        <v>2.0299999999999998</v>
      </c>
      <c r="E2169">
        <v>2.34</v>
      </c>
      <c r="F2169">
        <v>2.58</v>
      </c>
      <c r="G2169">
        <v>2.92</v>
      </c>
      <c r="H2169">
        <v>3.18</v>
      </c>
      <c r="I2169">
        <v>3.3</v>
      </c>
      <c r="K2169">
        <f t="shared" si="267"/>
        <v>2.0000000000000018</v>
      </c>
      <c r="L2169">
        <f t="shared" si="268"/>
        <v>0</v>
      </c>
      <c r="M2169">
        <f t="shared" si="269"/>
        <v>-2.0000000000000018</v>
      </c>
      <c r="N2169">
        <f t="shared" si="270"/>
        <v>-5.0000000000000266</v>
      </c>
      <c r="O2169">
        <f t="shared" si="271"/>
        <v>-8.0000000000000071</v>
      </c>
      <c r="P2169">
        <f t="shared" si="272"/>
        <v>-10.999999999999988</v>
      </c>
      <c r="Q2169">
        <f t="shared" si="273"/>
        <v>-12.999999999999989</v>
      </c>
      <c r="R2169">
        <f t="shared" si="274"/>
        <v>-14.000000000000012</v>
      </c>
    </row>
    <row r="2170" spans="1:18">
      <c r="A2170" s="9">
        <v>39878</v>
      </c>
      <c r="B2170">
        <v>1.44</v>
      </c>
      <c r="C2170">
        <v>1.67</v>
      </c>
      <c r="D2170">
        <v>2</v>
      </c>
      <c r="E2170">
        <v>2.29</v>
      </c>
      <c r="F2170">
        <v>2.5099999999999998</v>
      </c>
      <c r="G2170">
        <v>2.82</v>
      </c>
      <c r="H2170">
        <v>3.06</v>
      </c>
      <c r="I2170">
        <v>3.18</v>
      </c>
      <c r="K2170">
        <f t="shared" si="267"/>
        <v>4.0000000000000036</v>
      </c>
      <c r="L2170">
        <f t="shared" si="268"/>
        <v>0</v>
      </c>
      <c r="M2170">
        <f t="shared" si="269"/>
        <v>-2.9999999999999805</v>
      </c>
      <c r="N2170">
        <f t="shared" si="270"/>
        <v>-4.9999999999999822</v>
      </c>
      <c r="O2170">
        <f t="shared" si="271"/>
        <v>-7.0000000000000284</v>
      </c>
      <c r="P2170">
        <f t="shared" si="272"/>
        <v>-10.000000000000009</v>
      </c>
      <c r="Q2170">
        <f t="shared" si="273"/>
        <v>-12.000000000000011</v>
      </c>
      <c r="R2170">
        <f t="shared" si="274"/>
        <v>-11.999999999999966</v>
      </c>
    </row>
    <row r="2171" spans="1:18">
      <c r="A2171" s="9">
        <v>39881</v>
      </c>
      <c r="B2171">
        <v>1.54</v>
      </c>
      <c r="C2171">
        <v>1.78</v>
      </c>
      <c r="D2171">
        <v>2.12</v>
      </c>
      <c r="E2171">
        <v>2.41</v>
      </c>
      <c r="F2171">
        <v>2.63</v>
      </c>
      <c r="G2171">
        <v>2.94</v>
      </c>
      <c r="H2171">
        <v>3.16</v>
      </c>
      <c r="I2171">
        <v>3.29</v>
      </c>
      <c r="K2171">
        <f t="shared" si="267"/>
        <v>10.000000000000009</v>
      </c>
      <c r="L2171">
        <f t="shared" si="268"/>
        <v>11.000000000000011</v>
      </c>
      <c r="M2171">
        <f t="shared" si="269"/>
        <v>12.000000000000011</v>
      </c>
      <c r="N2171">
        <f t="shared" si="270"/>
        <v>12.000000000000011</v>
      </c>
      <c r="O2171">
        <f t="shared" si="271"/>
        <v>12.000000000000011</v>
      </c>
      <c r="P2171">
        <f t="shared" si="272"/>
        <v>12.000000000000011</v>
      </c>
      <c r="Q2171">
        <f t="shared" si="273"/>
        <v>10.000000000000009</v>
      </c>
      <c r="R2171">
        <f t="shared" si="274"/>
        <v>10.999999999999988</v>
      </c>
    </row>
    <row r="2172" spans="1:18">
      <c r="A2172" s="9">
        <v>39882</v>
      </c>
      <c r="B2172">
        <v>1.54</v>
      </c>
      <c r="C2172">
        <v>1.78</v>
      </c>
      <c r="D2172">
        <v>2.11</v>
      </c>
      <c r="E2172">
        <v>2.41</v>
      </c>
      <c r="F2172">
        <v>2.64</v>
      </c>
      <c r="G2172">
        <v>2.95</v>
      </c>
      <c r="H2172">
        <v>3.19</v>
      </c>
      <c r="I2172">
        <v>3.34</v>
      </c>
      <c r="K2172">
        <f t="shared" si="267"/>
        <v>0</v>
      </c>
      <c r="L2172">
        <f t="shared" si="268"/>
        <v>0</v>
      </c>
      <c r="M2172">
        <f t="shared" si="269"/>
        <v>-1.0000000000000231</v>
      </c>
      <c r="N2172">
        <f t="shared" si="270"/>
        <v>0</v>
      </c>
      <c r="O2172">
        <f t="shared" si="271"/>
        <v>1.0000000000000231</v>
      </c>
      <c r="P2172">
        <f t="shared" si="272"/>
        <v>1.0000000000000231</v>
      </c>
      <c r="Q2172">
        <f t="shared" si="273"/>
        <v>2.9999999999999805</v>
      </c>
      <c r="R2172">
        <f t="shared" si="274"/>
        <v>4.9999999999999822</v>
      </c>
    </row>
    <row r="2173" spans="1:18">
      <c r="A2173" s="9">
        <v>39883</v>
      </c>
      <c r="B2173">
        <v>1.5</v>
      </c>
      <c r="C2173">
        <v>1.77</v>
      </c>
      <c r="D2173">
        <v>2.13</v>
      </c>
      <c r="E2173">
        <v>2.44</v>
      </c>
      <c r="F2173">
        <v>2.68</v>
      </c>
      <c r="G2173">
        <v>3.01</v>
      </c>
      <c r="H2173">
        <v>3.25</v>
      </c>
      <c r="I2173">
        <v>3.4</v>
      </c>
      <c r="K2173">
        <f t="shared" si="267"/>
        <v>-4.0000000000000036</v>
      </c>
      <c r="L2173">
        <f t="shared" si="268"/>
        <v>-1.0000000000000009</v>
      </c>
      <c r="M2173">
        <f t="shared" si="269"/>
        <v>2.0000000000000018</v>
      </c>
      <c r="N2173">
        <f t="shared" si="270"/>
        <v>2.9999999999999805</v>
      </c>
      <c r="O2173">
        <f t="shared" si="271"/>
        <v>4.0000000000000036</v>
      </c>
      <c r="P2173">
        <f t="shared" si="272"/>
        <v>5.9999999999999609</v>
      </c>
      <c r="Q2173">
        <f t="shared" si="273"/>
        <v>6.0000000000000053</v>
      </c>
      <c r="R2173">
        <f t="shared" si="274"/>
        <v>6.0000000000000053</v>
      </c>
    </row>
    <row r="2174" spans="1:18">
      <c r="A2174" s="9">
        <v>39884</v>
      </c>
      <c r="B2174">
        <v>1.46</v>
      </c>
      <c r="C2174">
        <v>1.68</v>
      </c>
      <c r="D2174">
        <v>2</v>
      </c>
      <c r="E2174">
        <v>2.31</v>
      </c>
      <c r="F2174">
        <v>2.5299999999999998</v>
      </c>
      <c r="G2174">
        <v>2.85</v>
      </c>
      <c r="H2174">
        <v>3.1</v>
      </c>
      <c r="I2174">
        <v>3.28</v>
      </c>
      <c r="K2174">
        <f t="shared" si="267"/>
        <v>-4.0000000000000036</v>
      </c>
      <c r="L2174">
        <f t="shared" si="268"/>
        <v>-9.0000000000000071</v>
      </c>
      <c r="M2174">
        <f t="shared" si="269"/>
        <v>-12.999999999999989</v>
      </c>
      <c r="N2174">
        <f t="shared" si="270"/>
        <v>-12.999999999999989</v>
      </c>
      <c r="O2174">
        <f t="shared" si="271"/>
        <v>-15.000000000000036</v>
      </c>
      <c r="P2174">
        <f t="shared" si="272"/>
        <v>-15.99999999999997</v>
      </c>
      <c r="Q2174">
        <f t="shared" si="273"/>
        <v>-14.999999999999991</v>
      </c>
      <c r="R2174">
        <f t="shared" si="274"/>
        <v>-12.000000000000011</v>
      </c>
    </row>
    <row r="2175" spans="1:18">
      <c r="A2175" s="9">
        <v>39885</v>
      </c>
      <c r="B2175">
        <v>1.45</v>
      </c>
      <c r="C2175">
        <v>1.67</v>
      </c>
      <c r="D2175">
        <v>2</v>
      </c>
      <c r="E2175">
        <v>2.2799999999999998</v>
      </c>
      <c r="F2175">
        <v>2.5099999999999998</v>
      </c>
      <c r="G2175">
        <v>2.82</v>
      </c>
      <c r="H2175">
        <v>3.08</v>
      </c>
      <c r="I2175">
        <v>3.27</v>
      </c>
      <c r="K2175">
        <f t="shared" si="267"/>
        <v>-1.0000000000000009</v>
      </c>
      <c r="L2175">
        <f t="shared" si="268"/>
        <v>-1.0000000000000009</v>
      </c>
      <c r="M2175">
        <f t="shared" si="269"/>
        <v>0</v>
      </c>
      <c r="N2175">
        <f t="shared" si="270"/>
        <v>-3.0000000000000249</v>
      </c>
      <c r="O2175">
        <f t="shared" si="271"/>
        <v>-2.0000000000000018</v>
      </c>
      <c r="P2175">
        <f t="shared" si="272"/>
        <v>-3.0000000000000249</v>
      </c>
      <c r="Q2175">
        <f t="shared" si="273"/>
        <v>-2.0000000000000018</v>
      </c>
      <c r="R2175">
        <f t="shared" si="274"/>
        <v>-0.99999999999997868</v>
      </c>
    </row>
    <row r="2176" spans="1:18">
      <c r="A2176" s="9">
        <v>39888</v>
      </c>
      <c r="B2176">
        <v>1.45</v>
      </c>
      <c r="C2176">
        <v>1.67</v>
      </c>
      <c r="D2176">
        <v>2</v>
      </c>
      <c r="E2176">
        <v>2.2999999999999998</v>
      </c>
      <c r="F2176">
        <v>2.54</v>
      </c>
      <c r="G2176">
        <v>2.87</v>
      </c>
      <c r="H2176">
        <v>3.17</v>
      </c>
      <c r="I2176">
        <v>3.42</v>
      </c>
      <c r="K2176">
        <f t="shared" si="267"/>
        <v>0</v>
      </c>
      <c r="L2176">
        <f t="shared" si="268"/>
        <v>0</v>
      </c>
      <c r="M2176">
        <f t="shared" si="269"/>
        <v>0</v>
      </c>
      <c r="N2176">
        <f t="shared" si="270"/>
        <v>2.0000000000000018</v>
      </c>
      <c r="O2176">
        <f t="shared" si="271"/>
        <v>3.0000000000000249</v>
      </c>
      <c r="P2176">
        <f t="shared" si="272"/>
        <v>5.0000000000000266</v>
      </c>
      <c r="Q2176">
        <f t="shared" si="273"/>
        <v>8.9999999999999858</v>
      </c>
      <c r="R2176">
        <f t="shared" si="274"/>
        <v>14.999999999999991</v>
      </c>
    </row>
    <row r="2177" spans="1:18">
      <c r="A2177" s="9">
        <v>39889</v>
      </c>
      <c r="B2177">
        <v>1.41</v>
      </c>
      <c r="C2177">
        <v>1.65</v>
      </c>
      <c r="D2177">
        <v>1.98</v>
      </c>
      <c r="E2177">
        <v>2.2799999999999998</v>
      </c>
      <c r="F2177">
        <v>2.52</v>
      </c>
      <c r="G2177">
        <v>2.86</v>
      </c>
      <c r="H2177">
        <v>3.14</v>
      </c>
      <c r="I2177">
        <v>3.36</v>
      </c>
      <c r="K2177">
        <f t="shared" si="267"/>
        <v>-4.0000000000000036</v>
      </c>
      <c r="L2177">
        <f t="shared" si="268"/>
        <v>-2.0000000000000018</v>
      </c>
      <c r="M2177">
        <f t="shared" si="269"/>
        <v>-2.0000000000000018</v>
      </c>
      <c r="N2177">
        <f t="shared" si="270"/>
        <v>-2.0000000000000018</v>
      </c>
      <c r="O2177">
        <f t="shared" si="271"/>
        <v>-2.0000000000000018</v>
      </c>
      <c r="P2177">
        <f t="shared" si="272"/>
        <v>-1.0000000000000231</v>
      </c>
      <c r="Q2177">
        <f t="shared" si="273"/>
        <v>-2.9999999999999805</v>
      </c>
      <c r="R2177">
        <f t="shared" si="274"/>
        <v>-6.0000000000000053</v>
      </c>
    </row>
    <row r="2178" spans="1:18">
      <c r="A2178" s="9">
        <v>39890</v>
      </c>
      <c r="B2178">
        <v>1.41</v>
      </c>
      <c r="C2178">
        <v>1.67</v>
      </c>
      <c r="D2178">
        <v>2.0099999999999998</v>
      </c>
      <c r="E2178">
        <v>2.3199999999999998</v>
      </c>
      <c r="F2178">
        <v>2.57</v>
      </c>
      <c r="G2178">
        <v>2.92</v>
      </c>
      <c r="H2178">
        <v>3.2</v>
      </c>
      <c r="I2178">
        <v>3.46</v>
      </c>
      <c r="K2178">
        <f t="shared" si="267"/>
        <v>0</v>
      </c>
      <c r="L2178">
        <f t="shared" si="268"/>
        <v>2.0000000000000018</v>
      </c>
      <c r="M2178">
        <f t="shared" si="269"/>
        <v>2.9999999999999805</v>
      </c>
      <c r="N2178">
        <f t="shared" si="270"/>
        <v>4.0000000000000036</v>
      </c>
      <c r="O2178">
        <f t="shared" si="271"/>
        <v>4.9999999999999822</v>
      </c>
      <c r="P2178">
        <f t="shared" si="272"/>
        <v>6.0000000000000053</v>
      </c>
      <c r="Q2178">
        <f t="shared" si="273"/>
        <v>6.0000000000000053</v>
      </c>
      <c r="R2178">
        <f t="shared" si="274"/>
        <v>10.000000000000009</v>
      </c>
    </row>
    <row r="2179" spans="1:18">
      <c r="A2179" s="9">
        <v>39891</v>
      </c>
      <c r="B2179">
        <v>1.23</v>
      </c>
      <c r="C2179">
        <v>1.43</v>
      </c>
      <c r="D2179">
        <v>1.73</v>
      </c>
      <c r="E2179">
        <v>2.0099999999999998</v>
      </c>
      <c r="F2179">
        <v>2.21</v>
      </c>
      <c r="G2179">
        <v>2.5299999999999998</v>
      </c>
      <c r="H2179">
        <v>2.79</v>
      </c>
      <c r="I2179">
        <v>3.19</v>
      </c>
      <c r="K2179">
        <f t="shared" si="267"/>
        <v>-17.999999999999993</v>
      </c>
      <c r="L2179">
        <f t="shared" si="268"/>
        <v>-24</v>
      </c>
      <c r="M2179">
        <f t="shared" si="269"/>
        <v>-27.999999999999979</v>
      </c>
      <c r="N2179">
        <f t="shared" si="270"/>
        <v>-31.000000000000007</v>
      </c>
      <c r="O2179">
        <f t="shared" si="271"/>
        <v>-35.999999999999986</v>
      </c>
      <c r="P2179">
        <f t="shared" si="272"/>
        <v>-39.000000000000014</v>
      </c>
      <c r="Q2179">
        <f t="shared" si="273"/>
        <v>-41.000000000000014</v>
      </c>
      <c r="R2179">
        <f t="shared" si="274"/>
        <v>-27</v>
      </c>
    </row>
    <row r="2180" spans="1:18">
      <c r="A2180" s="9">
        <v>39892</v>
      </c>
      <c r="B2180">
        <v>1.27</v>
      </c>
      <c r="C2180">
        <v>1.48</v>
      </c>
      <c r="D2180">
        <v>1.8</v>
      </c>
      <c r="E2180">
        <v>2.08</v>
      </c>
      <c r="F2180">
        <v>2.29</v>
      </c>
      <c r="G2180">
        <v>2.64</v>
      </c>
      <c r="H2180">
        <v>2.93</v>
      </c>
      <c r="I2180">
        <v>3.35</v>
      </c>
      <c r="K2180">
        <f t="shared" si="267"/>
        <v>4.0000000000000036</v>
      </c>
      <c r="L2180">
        <f t="shared" si="268"/>
        <v>5.0000000000000044</v>
      </c>
      <c r="M2180">
        <f t="shared" si="269"/>
        <v>7.0000000000000062</v>
      </c>
      <c r="N2180">
        <f t="shared" si="270"/>
        <v>7.0000000000000284</v>
      </c>
      <c r="O2180">
        <f t="shared" si="271"/>
        <v>8.0000000000000071</v>
      </c>
      <c r="P2180">
        <f t="shared" si="272"/>
        <v>11.000000000000032</v>
      </c>
      <c r="Q2180">
        <f t="shared" si="273"/>
        <v>14.000000000000012</v>
      </c>
      <c r="R2180">
        <f t="shared" si="274"/>
        <v>16.000000000000014</v>
      </c>
    </row>
    <row r="2181" spans="1:18">
      <c r="A2181" s="9">
        <v>39895</v>
      </c>
      <c r="B2181">
        <v>1.28</v>
      </c>
      <c r="C2181">
        <v>1.49</v>
      </c>
      <c r="D2181">
        <v>1.81</v>
      </c>
      <c r="E2181">
        <v>2.1</v>
      </c>
      <c r="F2181">
        <v>2.31</v>
      </c>
      <c r="G2181">
        <v>2.64</v>
      </c>
      <c r="H2181">
        <v>2.94</v>
      </c>
      <c r="I2181">
        <v>3.38</v>
      </c>
      <c r="K2181">
        <f t="shared" ref="K2181:K2244" si="275">(B2181-B2180)*100</f>
        <v>1.0000000000000009</v>
      </c>
      <c r="L2181">
        <f t="shared" ref="L2181:L2244" si="276">(C2181-C2180)*100</f>
        <v>1.0000000000000009</v>
      </c>
      <c r="M2181">
        <f t="shared" ref="M2181:M2244" si="277">(D2181-D2180)*100</f>
        <v>1.0000000000000009</v>
      </c>
      <c r="N2181">
        <f t="shared" ref="N2181:N2244" si="278">(E2181-E2180)*100</f>
        <v>2.0000000000000018</v>
      </c>
      <c r="O2181">
        <f t="shared" ref="O2181:O2244" si="279">(F2181-F2180)*100</f>
        <v>2.0000000000000018</v>
      </c>
      <c r="P2181">
        <f t="shared" ref="P2181:P2244" si="280">(G2181-G2180)*100</f>
        <v>0</v>
      </c>
      <c r="Q2181">
        <f t="shared" ref="Q2181:Q2244" si="281">(H2181-H2180)*100</f>
        <v>0.99999999999997868</v>
      </c>
      <c r="R2181">
        <f t="shared" ref="R2181:R2244" si="282">(I2181-I2180)*100</f>
        <v>2.9999999999999805</v>
      </c>
    </row>
    <row r="2182" spans="1:18">
      <c r="A2182" s="9">
        <v>39896</v>
      </c>
      <c r="B2182">
        <v>1.3</v>
      </c>
      <c r="C2182">
        <v>1.53</v>
      </c>
      <c r="D2182">
        <v>1.84</v>
      </c>
      <c r="E2182">
        <v>2.13</v>
      </c>
      <c r="F2182">
        <v>2.34</v>
      </c>
      <c r="G2182">
        <v>2.67</v>
      </c>
      <c r="H2182">
        <v>2.97</v>
      </c>
      <c r="I2182">
        <v>3.43</v>
      </c>
      <c r="K2182">
        <f t="shared" si="275"/>
        <v>2.0000000000000018</v>
      </c>
      <c r="L2182">
        <f t="shared" si="276"/>
        <v>4.0000000000000036</v>
      </c>
      <c r="M2182">
        <f t="shared" si="277"/>
        <v>3.0000000000000027</v>
      </c>
      <c r="N2182">
        <f t="shared" si="278"/>
        <v>2.9999999999999805</v>
      </c>
      <c r="O2182">
        <f t="shared" si="279"/>
        <v>2.9999999999999805</v>
      </c>
      <c r="P2182">
        <f t="shared" si="280"/>
        <v>2.9999999999999805</v>
      </c>
      <c r="Q2182">
        <f t="shared" si="281"/>
        <v>3.0000000000000249</v>
      </c>
      <c r="R2182">
        <f t="shared" si="282"/>
        <v>5.0000000000000266</v>
      </c>
    </row>
    <row r="2183" spans="1:18">
      <c r="A2183" s="9">
        <v>39897</v>
      </c>
      <c r="B2183">
        <v>1.32</v>
      </c>
      <c r="C2183">
        <v>1.53</v>
      </c>
      <c r="D2183">
        <v>1.84</v>
      </c>
      <c r="E2183">
        <v>2.13</v>
      </c>
      <c r="F2183">
        <v>2.34</v>
      </c>
      <c r="G2183">
        <v>2.68</v>
      </c>
      <c r="H2183">
        <v>2.96</v>
      </c>
      <c r="I2183">
        <v>3.38</v>
      </c>
      <c r="K2183">
        <f t="shared" si="275"/>
        <v>2.0000000000000018</v>
      </c>
      <c r="L2183">
        <f t="shared" si="276"/>
        <v>0</v>
      </c>
      <c r="M2183">
        <f t="shared" si="277"/>
        <v>0</v>
      </c>
      <c r="N2183">
        <f t="shared" si="278"/>
        <v>0</v>
      </c>
      <c r="O2183">
        <f t="shared" si="279"/>
        <v>0</v>
      </c>
      <c r="P2183">
        <f t="shared" si="280"/>
        <v>1.0000000000000231</v>
      </c>
      <c r="Q2183">
        <f t="shared" si="281"/>
        <v>-1.0000000000000231</v>
      </c>
      <c r="R2183">
        <f t="shared" si="282"/>
        <v>-5.0000000000000266</v>
      </c>
    </row>
    <row r="2184" spans="1:18">
      <c r="A2184" s="9">
        <v>39898</v>
      </c>
      <c r="B2184">
        <v>1.3</v>
      </c>
      <c r="C2184">
        <v>1.52</v>
      </c>
      <c r="D2184">
        <v>1.83</v>
      </c>
      <c r="E2184">
        <v>2.12</v>
      </c>
      <c r="F2184">
        <v>2.36</v>
      </c>
      <c r="G2184">
        <v>2.7</v>
      </c>
      <c r="H2184">
        <v>2.99</v>
      </c>
      <c r="I2184">
        <v>3.41</v>
      </c>
      <c r="K2184">
        <f t="shared" si="275"/>
        <v>-2.0000000000000018</v>
      </c>
      <c r="L2184">
        <f t="shared" si="276"/>
        <v>-1.0000000000000009</v>
      </c>
      <c r="M2184">
        <f t="shared" si="277"/>
        <v>-1.0000000000000009</v>
      </c>
      <c r="N2184">
        <f t="shared" si="278"/>
        <v>-0.99999999999997868</v>
      </c>
      <c r="O2184">
        <f t="shared" si="279"/>
        <v>2.0000000000000018</v>
      </c>
      <c r="P2184">
        <f t="shared" si="280"/>
        <v>2.0000000000000018</v>
      </c>
      <c r="Q2184">
        <f t="shared" si="281"/>
        <v>3.0000000000000249</v>
      </c>
      <c r="R2184">
        <f t="shared" si="282"/>
        <v>3.0000000000000249</v>
      </c>
    </row>
    <row r="2185" spans="1:18">
      <c r="A2185" s="9">
        <v>39899</v>
      </c>
      <c r="B2185">
        <v>1.24</v>
      </c>
      <c r="C2185">
        <v>1.44</v>
      </c>
      <c r="D2185">
        <v>1.76</v>
      </c>
      <c r="E2185">
        <v>2.06</v>
      </c>
      <c r="F2185">
        <v>2.29</v>
      </c>
      <c r="G2185">
        <v>2.64</v>
      </c>
      <c r="H2185">
        <v>2.92</v>
      </c>
      <c r="I2185">
        <v>3.29</v>
      </c>
      <c r="K2185">
        <f t="shared" si="275"/>
        <v>-6.0000000000000053</v>
      </c>
      <c r="L2185">
        <f t="shared" si="276"/>
        <v>-8.0000000000000071</v>
      </c>
      <c r="M2185">
        <f t="shared" si="277"/>
        <v>-7.0000000000000062</v>
      </c>
      <c r="N2185">
        <f t="shared" si="278"/>
        <v>-6.0000000000000053</v>
      </c>
      <c r="O2185">
        <f t="shared" si="279"/>
        <v>-6.999999999999984</v>
      </c>
      <c r="P2185">
        <f t="shared" si="280"/>
        <v>-6.0000000000000053</v>
      </c>
      <c r="Q2185">
        <f t="shared" si="281"/>
        <v>-7.0000000000000284</v>
      </c>
      <c r="R2185">
        <f t="shared" si="282"/>
        <v>-12.000000000000011</v>
      </c>
    </row>
    <row r="2186" spans="1:18">
      <c r="A2186" s="9">
        <v>39902</v>
      </c>
      <c r="B2186">
        <v>1.22</v>
      </c>
      <c r="C2186">
        <v>1.43</v>
      </c>
      <c r="D2186">
        <v>1.72</v>
      </c>
      <c r="E2186">
        <v>2.0099999999999998</v>
      </c>
      <c r="F2186">
        <v>2.2599999999999998</v>
      </c>
      <c r="G2186">
        <v>2.6</v>
      </c>
      <c r="H2186">
        <v>2.89</v>
      </c>
      <c r="I2186">
        <v>3.24</v>
      </c>
      <c r="K2186">
        <f t="shared" si="275"/>
        <v>-2.0000000000000018</v>
      </c>
      <c r="L2186">
        <f t="shared" si="276"/>
        <v>-1.0000000000000009</v>
      </c>
      <c r="M2186">
        <f t="shared" si="277"/>
        <v>-4.0000000000000036</v>
      </c>
      <c r="N2186">
        <f t="shared" si="278"/>
        <v>-5.0000000000000266</v>
      </c>
      <c r="O2186">
        <f t="shared" si="279"/>
        <v>-3.0000000000000249</v>
      </c>
      <c r="P2186">
        <f t="shared" si="280"/>
        <v>-4.0000000000000036</v>
      </c>
      <c r="Q2186">
        <f t="shared" si="281"/>
        <v>-2.9999999999999805</v>
      </c>
      <c r="R2186">
        <f t="shared" si="282"/>
        <v>-4.9999999999999822</v>
      </c>
    </row>
    <row r="2187" spans="1:18">
      <c r="A2187" s="9">
        <v>39903</v>
      </c>
      <c r="B2187">
        <v>1.19</v>
      </c>
      <c r="C2187">
        <v>1.38</v>
      </c>
      <c r="D2187">
        <v>1.68</v>
      </c>
      <c r="E2187">
        <v>1.98</v>
      </c>
      <c r="F2187">
        <v>2.2200000000000002</v>
      </c>
      <c r="G2187">
        <v>2.57</v>
      </c>
      <c r="H2187">
        <v>2.88</v>
      </c>
      <c r="I2187">
        <v>3.25</v>
      </c>
      <c r="K2187">
        <f t="shared" si="275"/>
        <v>-3.0000000000000027</v>
      </c>
      <c r="L2187">
        <f t="shared" si="276"/>
        <v>-5.0000000000000044</v>
      </c>
      <c r="M2187">
        <f t="shared" si="277"/>
        <v>-4.0000000000000036</v>
      </c>
      <c r="N2187">
        <f t="shared" si="278"/>
        <v>-2.9999999999999805</v>
      </c>
      <c r="O2187">
        <f t="shared" si="279"/>
        <v>-3.9999999999999591</v>
      </c>
      <c r="P2187">
        <f t="shared" si="280"/>
        <v>-3.0000000000000249</v>
      </c>
      <c r="Q2187">
        <f t="shared" si="281"/>
        <v>-1.0000000000000231</v>
      </c>
      <c r="R2187">
        <f t="shared" si="282"/>
        <v>0.99999999999997868</v>
      </c>
    </row>
    <row r="2188" spans="1:18">
      <c r="A2188" s="9">
        <v>39904</v>
      </c>
      <c r="B2188">
        <v>1.18</v>
      </c>
      <c r="C2188">
        <v>1.37</v>
      </c>
      <c r="D2188">
        <v>1.68</v>
      </c>
      <c r="E2188">
        <v>1.97</v>
      </c>
      <c r="F2188">
        <v>2.21</v>
      </c>
      <c r="G2188">
        <v>2.58</v>
      </c>
      <c r="H2188">
        <v>2.89</v>
      </c>
      <c r="I2188">
        <v>3.25</v>
      </c>
      <c r="K2188">
        <f t="shared" si="275"/>
        <v>-1.0000000000000009</v>
      </c>
      <c r="L2188">
        <f t="shared" si="276"/>
        <v>-0.99999999999997868</v>
      </c>
      <c r="M2188">
        <f t="shared" si="277"/>
        <v>0</v>
      </c>
      <c r="N2188">
        <f t="shared" si="278"/>
        <v>-1.0000000000000009</v>
      </c>
      <c r="O2188">
        <f t="shared" si="279"/>
        <v>-1.0000000000000231</v>
      </c>
      <c r="P2188">
        <f t="shared" si="280"/>
        <v>1.0000000000000231</v>
      </c>
      <c r="Q2188">
        <f t="shared" si="281"/>
        <v>1.0000000000000231</v>
      </c>
      <c r="R2188">
        <f t="shared" si="282"/>
        <v>0</v>
      </c>
    </row>
    <row r="2189" spans="1:18">
      <c r="A2189" s="9">
        <v>39905</v>
      </c>
      <c r="B2189">
        <v>1.21</v>
      </c>
      <c r="C2189">
        <v>1.42</v>
      </c>
      <c r="D2189">
        <v>1.74</v>
      </c>
      <c r="E2189">
        <v>2.04</v>
      </c>
      <c r="F2189">
        <v>2.27</v>
      </c>
      <c r="G2189">
        <v>2.61</v>
      </c>
      <c r="H2189">
        <v>2.9</v>
      </c>
      <c r="I2189">
        <v>3.24</v>
      </c>
      <c r="K2189">
        <f t="shared" si="275"/>
        <v>3.0000000000000027</v>
      </c>
      <c r="L2189">
        <f t="shared" si="276"/>
        <v>4.9999999999999822</v>
      </c>
      <c r="M2189">
        <f t="shared" si="277"/>
        <v>6.0000000000000053</v>
      </c>
      <c r="N2189">
        <f t="shared" si="278"/>
        <v>7.0000000000000062</v>
      </c>
      <c r="O2189">
        <f t="shared" si="279"/>
        <v>6.0000000000000053</v>
      </c>
      <c r="P2189">
        <f t="shared" si="280"/>
        <v>2.9999999999999805</v>
      </c>
      <c r="Q2189">
        <f t="shared" si="281"/>
        <v>0.99999999999997868</v>
      </c>
      <c r="R2189">
        <f t="shared" si="282"/>
        <v>-0.99999999999997868</v>
      </c>
    </row>
    <row r="2190" spans="1:18">
      <c r="A2190" s="9">
        <v>39906</v>
      </c>
      <c r="B2190">
        <v>1.24</v>
      </c>
      <c r="C2190">
        <v>1.49</v>
      </c>
      <c r="D2190">
        <v>1.81</v>
      </c>
      <c r="E2190">
        <v>2.12</v>
      </c>
      <c r="F2190">
        <v>2.36</v>
      </c>
      <c r="G2190">
        <v>2.71</v>
      </c>
      <c r="H2190">
        <v>3</v>
      </c>
      <c r="I2190">
        <v>3.34</v>
      </c>
      <c r="K2190">
        <f t="shared" si="275"/>
        <v>3.0000000000000027</v>
      </c>
      <c r="L2190">
        <f t="shared" si="276"/>
        <v>7.0000000000000062</v>
      </c>
      <c r="M2190">
        <f t="shared" si="277"/>
        <v>7.0000000000000062</v>
      </c>
      <c r="N2190">
        <f t="shared" si="278"/>
        <v>8.0000000000000071</v>
      </c>
      <c r="O2190">
        <f t="shared" si="279"/>
        <v>8.9999999999999858</v>
      </c>
      <c r="P2190">
        <f t="shared" si="280"/>
        <v>10.000000000000009</v>
      </c>
      <c r="Q2190">
        <f t="shared" si="281"/>
        <v>10.000000000000009</v>
      </c>
      <c r="R2190">
        <f t="shared" si="282"/>
        <v>9.9999999999999645</v>
      </c>
    </row>
    <row r="2191" spans="1:18">
      <c r="A2191" s="9">
        <v>39909</v>
      </c>
      <c r="B2191">
        <v>1.24</v>
      </c>
      <c r="C2191">
        <v>1.52</v>
      </c>
      <c r="D2191">
        <v>1.86</v>
      </c>
      <c r="E2191">
        <v>2.17</v>
      </c>
      <c r="F2191">
        <v>2.42</v>
      </c>
      <c r="G2191">
        <v>2.77</v>
      </c>
      <c r="H2191">
        <v>3.07</v>
      </c>
      <c r="I2191">
        <v>3.41</v>
      </c>
      <c r="K2191">
        <f t="shared" si="275"/>
        <v>0</v>
      </c>
      <c r="L2191">
        <f t="shared" si="276"/>
        <v>3.0000000000000027</v>
      </c>
      <c r="M2191">
        <f t="shared" si="277"/>
        <v>5.0000000000000044</v>
      </c>
      <c r="N2191">
        <f t="shared" si="278"/>
        <v>4.9999999999999822</v>
      </c>
      <c r="O2191">
        <f t="shared" si="279"/>
        <v>6.0000000000000053</v>
      </c>
      <c r="P2191">
        <f t="shared" si="280"/>
        <v>6.0000000000000053</v>
      </c>
      <c r="Q2191">
        <f t="shared" si="281"/>
        <v>6.999999999999984</v>
      </c>
      <c r="R2191">
        <f t="shared" si="282"/>
        <v>7.0000000000000284</v>
      </c>
    </row>
    <row r="2192" spans="1:18">
      <c r="A2192" s="9">
        <v>39910</v>
      </c>
      <c r="B2192">
        <v>1.23</v>
      </c>
      <c r="C2192">
        <v>1.53</v>
      </c>
      <c r="D2192">
        <v>1.88</v>
      </c>
      <c r="E2192">
        <v>2.2000000000000002</v>
      </c>
      <c r="F2192">
        <v>2.46</v>
      </c>
      <c r="G2192">
        <v>2.81</v>
      </c>
      <c r="H2192">
        <v>3.11</v>
      </c>
      <c r="I2192">
        <v>3.45</v>
      </c>
      <c r="K2192">
        <f t="shared" si="275"/>
        <v>-1.0000000000000009</v>
      </c>
      <c r="L2192">
        <f t="shared" si="276"/>
        <v>1.0000000000000009</v>
      </c>
      <c r="M2192">
        <f t="shared" si="277"/>
        <v>1.9999999999999796</v>
      </c>
      <c r="N2192">
        <f t="shared" si="278"/>
        <v>3.0000000000000249</v>
      </c>
      <c r="O2192">
        <f t="shared" si="279"/>
        <v>4.0000000000000036</v>
      </c>
      <c r="P2192">
        <f t="shared" si="280"/>
        <v>4.0000000000000036</v>
      </c>
      <c r="Q2192">
        <f t="shared" si="281"/>
        <v>4.0000000000000036</v>
      </c>
      <c r="R2192">
        <f t="shared" si="282"/>
        <v>4.0000000000000036</v>
      </c>
    </row>
    <row r="2193" spans="1:18">
      <c r="A2193" s="9">
        <v>39911</v>
      </c>
      <c r="B2193">
        <v>1.2</v>
      </c>
      <c r="C2193">
        <v>1.49</v>
      </c>
      <c r="D2193">
        <v>1.84</v>
      </c>
      <c r="E2193">
        <v>2.16</v>
      </c>
      <c r="F2193">
        <v>2.42</v>
      </c>
      <c r="G2193">
        <v>2.77</v>
      </c>
      <c r="H2193">
        <v>3.07</v>
      </c>
      <c r="I2193">
        <v>3.43</v>
      </c>
      <c r="K2193">
        <f t="shared" si="275"/>
        <v>-3.0000000000000027</v>
      </c>
      <c r="L2193">
        <f t="shared" si="276"/>
        <v>-4.0000000000000036</v>
      </c>
      <c r="M2193">
        <f t="shared" si="277"/>
        <v>-3.9999999999999813</v>
      </c>
      <c r="N2193">
        <f t="shared" si="278"/>
        <v>-4.0000000000000036</v>
      </c>
      <c r="O2193">
        <f t="shared" si="279"/>
        <v>-4.0000000000000036</v>
      </c>
      <c r="P2193">
        <f t="shared" si="280"/>
        <v>-4.0000000000000036</v>
      </c>
      <c r="Q2193">
        <f t="shared" si="281"/>
        <v>-4.0000000000000036</v>
      </c>
      <c r="R2193">
        <f t="shared" si="282"/>
        <v>-2.0000000000000018</v>
      </c>
    </row>
    <row r="2194" spans="1:18">
      <c r="A2194" s="9">
        <v>39912</v>
      </c>
      <c r="B2194">
        <v>1.22</v>
      </c>
      <c r="C2194">
        <v>1.53</v>
      </c>
      <c r="D2194">
        <v>1.89</v>
      </c>
      <c r="E2194">
        <v>2.2200000000000002</v>
      </c>
      <c r="F2194">
        <v>2.48</v>
      </c>
      <c r="G2194">
        <v>2.82</v>
      </c>
      <c r="H2194">
        <v>3.12</v>
      </c>
      <c r="I2194">
        <v>3.48</v>
      </c>
      <c r="K2194">
        <f t="shared" si="275"/>
        <v>2.0000000000000018</v>
      </c>
      <c r="L2194">
        <f t="shared" si="276"/>
        <v>4.0000000000000036</v>
      </c>
      <c r="M2194">
        <f t="shared" si="277"/>
        <v>4.9999999999999822</v>
      </c>
      <c r="N2194">
        <f t="shared" si="278"/>
        <v>6.0000000000000053</v>
      </c>
      <c r="O2194">
        <f t="shared" si="279"/>
        <v>6.0000000000000053</v>
      </c>
      <c r="P2194">
        <f t="shared" si="280"/>
        <v>4.9999999999999822</v>
      </c>
      <c r="Q2194">
        <f t="shared" si="281"/>
        <v>5.0000000000000266</v>
      </c>
      <c r="R2194">
        <f t="shared" si="282"/>
        <v>4.9999999999999822</v>
      </c>
    </row>
    <row r="2195" spans="1:18">
      <c r="A2195" s="9">
        <v>39916</v>
      </c>
      <c r="B2195">
        <v>1.2</v>
      </c>
      <c r="C2195">
        <v>1.47</v>
      </c>
      <c r="D2195">
        <v>1.82</v>
      </c>
      <c r="E2195">
        <v>2.14</v>
      </c>
      <c r="F2195">
        <v>2.4</v>
      </c>
      <c r="G2195">
        <v>2.75</v>
      </c>
      <c r="H2195">
        <v>3.05</v>
      </c>
      <c r="I2195">
        <v>3.42</v>
      </c>
      <c r="K2195">
        <f t="shared" si="275"/>
        <v>-2.0000000000000018</v>
      </c>
      <c r="L2195">
        <f t="shared" si="276"/>
        <v>-6.0000000000000053</v>
      </c>
      <c r="M2195">
        <f t="shared" si="277"/>
        <v>-6.999999999999984</v>
      </c>
      <c r="N2195">
        <f t="shared" si="278"/>
        <v>-8.0000000000000071</v>
      </c>
      <c r="O2195">
        <f t="shared" si="279"/>
        <v>-8.0000000000000071</v>
      </c>
      <c r="P2195">
        <f t="shared" si="280"/>
        <v>-6.999999999999984</v>
      </c>
      <c r="Q2195">
        <f t="shared" si="281"/>
        <v>-7.0000000000000284</v>
      </c>
      <c r="R2195">
        <f t="shared" si="282"/>
        <v>-6.0000000000000053</v>
      </c>
    </row>
    <row r="2196" spans="1:18">
      <c r="A2196" s="9">
        <v>39917</v>
      </c>
      <c r="B2196">
        <v>1.17</v>
      </c>
      <c r="C2196">
        <v>1.44</v>
      </c>
      <c r="D2196">
        <v>1.78</v>
      </c>
      <c r="E2196">
        <v>2.1</v>
      </c>
      <c r="F2196">
        <v>2.36</v>
      </c>
      <c r="G2196">
        <v>2.71</v>
      </c>
      <c r="H2196">
        <v>3.01</v>
      </c>
      <c r="I2196">
        <v>3.39</v>
      </c>
      <c r="K2196">
        <f t="shared" si="275"/>
        <v>-3.0000000000000027</v>
      </c>
      <c r="L2196">
        <f t="shared" si="276"/>
        <v>-3.0000000000000027</v>
      </c>
      <c r="M2196">
        <f t="shared" si="277"/>
        <v>-4.0000000000000036</v>
      </c>
      <c r="N2196">
        <f t="shared" si="278"/>
        <v>-4.0000000000000036</v>
      </c>
      <c r="O2196">
        <f t="shared" si="279"/>
        <v>-4.0000000000000036</v>
      </c>
      <c r="P2196">
        <f t="shared" si="280"/>
        <v>-4.0000000000000036</v>
      </c>
      <c r="Q2196">
        <f t="shared" si="281"/>
        <v>-4.0000000000000036</v>
      </c>
      <c r="R2196">
        <f t="shared" si="282"/>
        <v>-2.9999999999999805</v>
      </c>
    </row>
    <row r="2197" spans="1:18">
      <c r="A2197" s="9">
        <v>39918</v>
      </c>
      <c r="B2197">
        <v>1.1499999999999999</v>
      </c>
      <c r="C2197">
        <v>1.41</v>
      </c>
      <c r="D2197">
        <v>1.75</v>
      </c>
      <c r="E2197">
        <v>2.06</v>
      </c>
      <c r="F2197">
        <v>2.31</v>
      </c>
      <c r="G2197">
        <v>2.67</v>
      </c>
      <c r="H2197">
        <v>2.96</v>
      </c>
      <c r="I2197">
        <v>3.34</v>
      </c>
      <c r="K2197">
        <f t="shared" si="275"/>
        <v>-2.0000000000000018</v>
      </c>
      <c r="L2197">
        <f t="shared" si="276"/>
        <v>-3.0000000000000027</v>
      </c>
      <c r="M2197">
        <f t="shared" si="277"/>
        <v>-3.0000000000000027</v>
      </c>
      <c r="N2197">
        <f t="shared" si="278"/>
        <v>-4.0000000000000036</v>
      </c>
      <c r="O2197">
        <f t="shared" si="279"/>
        <v>-4.9999999999999822</v>
      </c>
      <c r="P2197">
        <f t="shared" si="280"/>
        <v>-4.0000000000000036</v>
      </c>
      <c r="Q2197">
        <f t="shared" si="281"/>
        <v>-4.9999999999999822</v>
      </c>
      <c r="R2197">
        <f t="shared" si="282"/>
        <v>-5.0000000000000266</v>
      </c>
    </row>
    <row r="2198" spans="1:18">
      <c r="A2198" s="9">
        <v>39919</v>
      </c>
      <c r="B2198">
        <v>1.1499999999999999</v>
      </c>
      <c r="C2198">
        <v>1.42</v>
      </c>
      <c r="D2198">
        <v>1.75</v>
      </c>
      <c r="E2198">
        <v>2.0499999999999998</v>
      </c>
      <c r="F2198">
        <v>2.2999999999999998</v>
      </c>
      <c r="G2198">
        <v>2.64</v>
      </c>
      <c r="H2198">
        <v>2.94</v>
      </c>
      <c r="I2198">
        <v>3.32</v>
      </c>
      <c r="K2198">
        <f t="shared" si="275"/>
        <v>0</v>
      </c>
      <c r="L2198">
        <f t="shared" si="276"/>
        <v>1.0000000000000009</v>
      </c>
      <c r="M2198">
        <f t="shared" si="277"/>
        <v>0</v>
      </c>
      <c r="N2198">
        <f t="shared" si="278"/>
        <v>-1.0000000000000231</v>
      </c>
      <c r="O2198">
        <f t="shared" si="279"/>
        <v>-1.0000000000000231</v>
      </c>
      <c r="P2198">
        <f t="shared" si="280"/>
        <v>-2.9999999999999805</v>
      </c>
      <c r="Q2198">
        <f t="shared" si="281"/>
        <v>-2.0000000000000018</v>
      </c>
      <c r="R2198">
        <f t="shared" si="282"/>
        <v>-2.0000000000000018</v>
      </c>
    </row>
    <row r="2199" spans="1:18">
      <c r="A2199" s="9">
        <v>39920</v>
      </c>
      <c r="B2199">
        <v>1.22</v>
      </c>
      <c r="C2199">
        <v>1.54</v>
      </c>
      <c r="D2199">
        <v>1.89</v>
      </c>
      <c r="E2199">
        <v>2.2000000000000002</v>
      </c>
      <c r="F2199">
        <v>2.44</v>
      </c>
      <c r="G2199">
        <v>2.78</v>
      </c>
      <c r="H2199">
        <v>3.06</v>
      </c>
      <c r="I2199">
        <v>3.43</v>
      </c>
      <c r="K2199">
        <f t="shared" si="275"/>
        <v>7.0000000000000062</v>
      </c>
      <c r="L2199">
        <f t="shared" si="276"/>
        <v>12.000000000000011</v>
      </c>
      <c r="M2199">
        <f t="shared" si="277"/>
        <v>13.999999999999989</v>
      </c>
      <c r="N2199">
        <f t="shared" si="278"/>
        <v>15.000000000000036</v>
      </c>
      <c r="O2199">
        <f t="shared" si="279"/>
        <v>14.000000000000012</v>
      </c>
      <c r="P2199">
        <f t="shared" si="280"/>
        <v>13.999999999999968</v>
      </c>
      <c r="Q2199">
        <f t="shared" si="281"/>
        <v>12.000000000000011</v>
      </c>
      <c r="R2199">
        <f t="shared" si="282"/>
        <v>11.000000000000032</v>
      </c>
    </row>
    <row r="2200" spans="1:18">
      <c r="A2200" s="9">
        <v>39923</v>
      </c>
      <c r="B2200">
        <v>1.21</v>
      </c>
      <c r="C2200">
        <v>1.52</v>
      </c>
      <c r="D2200">
        <v>1.87</v>
      </c>
      <c r="E2200">
        <v>2.16</v>
      </c>
      <c r="F2200">
        <v>2.4</v>
      </c>
      <c r="G2200">
        <v>2.73</v>
      </c>
      <c r="H2200">
        <v>3.01</v>
      </c>
      <c r="I2200">
        <v>3.38</v>
      </c>
      <c r="K2200">
        <f t="shared" si="275"/>
        <v>-1.0000000000000009</v>
      </c>
      <c r="L2200">
        <f t="shared" si="276"/>
        <v>-2.0000000000000018</v>
      </c>
      <c r="M2200">
        <f t="shared" si="277"/>
        <v>-1.9999999999999796</v>
      </c>
      <c r="N2200">
        <f t="shared" si="278"/>
        <v>-4.0000000000000036</v>
      </c>
      <c r="O2200">
        <f t="shared" si="279"/>
        <v>-4.0000000000000036</v>
      </c>
      <c r="P2200">
        <f t="shared" si="280"/>
        <v>-4.9999999999999822</v>
      </c>
      <c r="Q2200">
        <f t="shared" si="281"/>
        <v>-5.0000000000000266</v>
      </c>
      <c r="R2200">
        <f t="shared" si="282"/>
        <v>-5.0000000000000266</v>
      </c>
    </row>
    <row r="2201" spans="1:18">
      <c r="A2201" s="9">
        <v>39924</v>
      </c>
      <c r="B2201">
        <v>1.24</v>
      </c>
      <c r="C2201">
        <v>1.55</v>
      </c>
      <c r="D2201">
        <v>1.89</v>
      </c>
      <c r="E2201">
        <v>2.1800000000000002</v>
      </c>
      <c r="F2201">
        <v>2.41</v>
      </c>
      <c r="G2201">
        <v>2.73</v>
      </c>
      <c r="H2201">
        <v>2.99</v>
      </c>
      <c r="I2201">
        <v>3.33</v>
      </c>
      <c r="K2201">
        <f t="shared" si="275"/>
        <v>3.0000000000000027</v>
      </c>
      <c r="L2201">
        <f t="shared" si="276"/>
        <v>3.0000000000000027</v>
      </c>
      <c r="M2201">
        <f t="shared" si="277"/>
        <v>1.9999999999999796</v>
      </c>
      <c r="N2201">
        <f t="shared" si="278"/>
        <v>2.0000000000000018</v>
      </c>
      <c r="O2201">
        <f t="shared" si="279"/>
        <v>1.0000000000000231</v>
      </c>
      <c r="P2201">
        <f t="shared" si="280"/>
        <v>0</v>
      </c>
      <c r="Q2201">
        <f t="shared" si="281"/>
        <v>-1.9999999999999574</v>
      </c>
      <c r="R2201">
        <f t="shared" si="282"/>
        <v>-4.9999999999999822</v>
      </c>
    </row>
    <row r="2202" spans="1:18">
      <c r="A2202" s="9">
        <v>39925</v>
      </c>
      <c r="B2202">
        <v>1.26</v>
      </c>
      <c r="C2202">
        <v>1.6</v>
      </c>
      <c r="D2202">
        <v>1.98</v>
      </c>
      <c r="E2202">
        <v>2.2799999999999998</v>
      </c>
      <c r="F2202">
        <v>2.52</v>
      </c>
      <c r="G2202">
        <v>2.84</v>
      </c>
      <c r="H2202">
        <v>3.09</v>
      </c>
      <c r="I2202">
        <v>3.43</v>
      </c>
      <c r="K2202">
        <f t="shared" si="275"/>
        <v>2.0000000000000018</v>
      </c>
      <c r="L2202">
        <f t="shared" si="276"/>
        <v>5.0000000000000044</v>
      </c>
      <c r="M2202">
        <f t="shared" si="277"/>
        <v>9.0000000000000071</v>
      </c>
      <c r="N2202">
        <f t="shared" si="278"/>
        <v>9.9999999999999645</v>
      </c>
      <c r="O2202">
        <f t="shared" si="279"/>
        <v>10.999999999999988</v>
      </c>
      <c r="P2202">
        <f t="shared" si="280"/>
        <v>10.999999999999988</v>
      </c>
      <c r="Q2202">
        <f t="shared" si="281"/>
        <v>9.9999999999999645</v>
      </c>
      <c r="R2202">
        <f t="shared" si="282"/>
        <v>10.000000000000009</v>
      </c>
    </row>
    <row r="2203" spans="1:18">
      <c r="A2203" s="9">
        <v>39926</v>
      </c>
      <c r="B2203">
        <v>1.23</v>
      </c>
      <c r="C2203">
        <v>1.59</v>
      </c>
      <c r="D2203">
        <v>1.98</v>
      </c>
      <c r="E2203">
        <v>2.2999999999999998</v>
      </c>
      <c r="F2203">
        <v>2.52</v>
      </c>
      <c r="G2203">
        <v>2.85</v>
      </c>
      <c r="H2203">
        <v>3.11</v>
      </c>
      <c r="I2203">
        <v>3.45</v>
      </c>
      <c r="K2203">
        <f t="shared" si="275"/>
        <v>-3.0000000000000027</v>
      </c>
      <c r="L2203">
        <f t="shared" si="276"/>
        <v>-1.0000000000000009</v>
      </c>
      <c r="M2203">
        <f t="shared" si="277"/>
        <v>0</v>
      </c>
      <c r="N2203">
        <f t="shared" si="278"/>
        <v>2.0000000000000018</v>
      </c>
      <c r="O2203">
        <f t="shared" si="279"/>
        <v>0</v>
      </c>
      <c r="P2203">
        <f t="shared" si="280"/>
        <v>1.0000000000000231</v>
      </c>
      <c r="Q2203">
        <f t="shared" si="281"/>
        <v>2.0000000000000018</v>
      </c>
      <c r="R2203">
        <f t="shared" si="282"/>
        <v>2.0000000000000018</v>
      </c>
    </row>
    <row r="2204" spans="1:18">
      <c r="A2204" s="9">
        <v>39927</v>
      </c>
      <c r="B2204">
        <v>1.19</v>
      </c>
      <c r="C2204">
        <v>1.57</v>
      </c>
      <c r="D2204">
        <v>1.97</v>
      </c>
      <c r="E2204">
        <v>2.29</v>
      </c>
      <c r="F2204">
        <v>2.5299999999999998</v>
      </c>
      <c r="G2204">
        <v>2.86</v>
      </c>
      <c r="H2204">
        <v>3.13</v>
      </c>
      <c r="I2204">
        <v>3.51</v>
      </c>
      <c r="K2204">
        <f t="shared" si="275"/>
        <v>-4.0000000000000036</v>
      </c>
      <c r="L2204">
        <f t="shared" si="276"/>
        <v>-2.0000000000000018</v>
      </c>
      <c r="M2204">
        <f t="shared" si="277"/>
        <v>-1.0000000000000009</v>
      </c>
      <c r="N2204">
        <f t="shared" si="278"/>
        <v>-0.99999999999997868</v>
      </c>
      <c r="O2204">
        <f t="shared" si="279"/>
        <v>0.99999999999997868</v>
      </c>
      <c r="P2204">
        <f t="shared" si="280"/>
        <v>0.99999999999997868</v>
      </c>
      <c r="Q2204">
        <f t="shared" si="281"/>
        <v>2.0000000000000018</v>
      </c>
      <c r="R2204">
        <f t="shared" si="282"/>
        <v>5.9999999999999609</v>
      </c>
    </row>
    <row r="2205" spans="1:18">
      <c r="A2205" s="9">
        <v>39930</v>
      </c>
      <c r="B2205">
        <v>1.1399999999999999</v>
      </c>
      <c r="C2205">
        <v>1.51</v>
      </c>
      <c r="D2205">
        <v>1.92</v>
      </c>
      <c r="E2205">
        <v>2.2599999999999998</v>
      </c>
      <c r="F2205">
        <v>2.5</v>
      </c>
      <c r="G2205">
        <v>2.84</v>
      </c>
      <c r="H2205">
        <v>3.12</v>
      </c>
      <c r="I2205">
        <v>3.51</v>
      </c>
      <c r="K2205">
        <f t="shared" si="275"/>
        <v>-5.0000000000000044</v>
      </c>
      <c r="L2205">
        <f t="shared" si="276"/>
        <v>-6.0000000000000053</v>
      </c>
      <c r="M2205">
        <f t="shared" si="277"/>
        <v>-5.0000000000000044</v>
      </c>
      <c r="N2205">
        <f t="shared" si="278"/>
        <v>-3.0000000000000249</v>
      </c>
      <c r="O2205">
        <f t="shared" si="279"/>
        <v>-2.9999999999999805</v>
      </c>
      <c r="P2205">
        <f t="shared" si="280"/>
        <v>-2.0000000000000018</v>
      </c>
      <c r="Q2205">
        <f t="shared" si="281"/>
        <v>-0.99999999999997868</v>
      </c>
      <c r="R2205">
        <f t="shared" si="282"/>
        <v>0</v>
      </c>
    </row>
    <row r="2206" spans="1:18">
      <c r="A2206" s="9">
        <v>39931</v>
      </c>
      <c r="B2206">
        <v>1.1499999999999999</v>
      </c>
      <c r="C2206">
        <v>1.48</v>
      </c>
      <c r="D2206">
        <v>1.88</v>
      </c>
      <c r="E2206">
        <v>2.21</v>
      </c>
      <c r="F2206">
        <v>2.4500000000000002</v>
      </c>
      <c r="G2206">
        <v>2.79</v>
      </c>
      <c r="H2206">
        <v>3.07</v>
      </c>
      <c r="I2206">
        <v>3.45</v>
      </c>
      <c r="K2206">
        <f t="shared" si="275"/>
        <v>1.0000000000000009</v>
      </c>
      <c r="L2206">
        <f t="shared" si="276"/>
        <v>-3.0000000000000027</v>
      </c>
      <c r="M2206">
        <f t="shared" si="277"/>
        <v>-4.0000000000000036</v>
      </c>
      <c r="N2206">
        <f t="shared" si="278"/>
        <v>-4.9999999999999822</v>
      </c>
      <c r="O2206">
        <f t="shared" si="279"/>
        <v>-4.9999999999999822</v>
      </c>
      <c r="P2206">
        <f t="shared" si="280"/>
        <v>-4.9999999999999822</v>
      </c>
      <c r="Q2206">
        <f t="shared" si="281"/>
        <v>-5.0000000000000266</v>
      </c>
      <c r="R2206">
        <f t="shared" si="282"/>
        <v>-5.9999999999999609</v>
      </c>
    </row>
    <row r="2207" spans="1:18">
      <c r="A2207" s="9">
        <v>39932</v>
      </c>
      <c r="B2207">
        <v>1.1299999999999999</v>
      </c>
      <c r="C2207">
        <v>1.47</v>
      </c>
      <c r="D2207">
        <v>1.88</v>
      </c>
      <c r="E2207">
        <v>2.2200000000000002</v>
      </c>
      <c r="F2207">
        <v>2.48</v>
      </c>
      <c r="G2207">
        <v>2.82</v>
      </c>
      <c r="H2207">
        <v>3.11</v>
      </c>
      <c r="I2207">
        <v>3.49</v>
      </c>
      <c r="K2207">
        <f t="shared" si="275"/>
        <v>-2.0000000000000018</v>
      </c>
      <c r="L2207">
        <f t="shared" si="276"/>
        <v>-1.0000000000000009</v>
      </c>
      <c r="M2207">
        <f t="shared" si="277"/>
        <v>0</v>
      </c>
      <c r="N2207">
        <f t="shared" si="278"/>
        <v>1.0000000000000231</v>
      </c>
      <c r="O2207">
        <f t="shared" si="279"/>
        <v>2.9999999999999805</v>
      </c>
      <c r="P2207">
        <f t="shared" si="280"/>
        <v>2.9999999999999805</v>
      </c>
      <c r="Q2207">
        <f t="shared" si="281"/>
        <v>4.0000000000000036</v>
      </c>
      <c r="R2207">
        <f t="shared" si="282"/>
        <v>4.0000000000000036</v>
      </c>
    </row>
    <row r="2208" spans="1:18">
      <c r="A2208" s="9">
        <v>39933</v>
      </c>
      <c r="B2208">
        <v>1.1200000000000001</v>
      </c>
      <c r="C2208">
        <v>1.51</v>
      </c>
      <c r="D2208">
        <v>1.96</v>
      </c>
      <c r="E2208">
        <v>2.3199999999999998</v>
      </c>
      <c r="F2208">
        <v>2.6</v>
      </c>
      <c r="G2208">
        <v>2.94</v>
      </c>
      <c r="H2208">
        <v>3.23</v>
      </c>
      <c r="I2208">
        <v>3.61</v>
      </c>
      <c r="K2208">
        <f t="shared" si="275"/>
        <v>-0.99999999999997868</v>
      </c>
      <c r="L2208">
        <f t="shared" si="276"/>
        <v>4.0000000000000036</v>
      </c>
      <c r="M2208">
        <f t="shared" si="277"/>
        <v>8.0000000000000071</v>
      </c>
      <c r="N2208">
        <f t="shared" si="278"/>
        <v>9.9999999999999645</v>
      </c>
      <c r="O2208">
        <f t="shared" si="279"/>
        <v>12.000000000000011</v>
      </c>
      <c r="P2208">
        <f t="shared" si="280"/>
        <v>12.000000000000011</v>
      </c>
      <c r="Q2208">
        <f t="shared" si="281"/>
        <v>12.000000000000011</v>
      </c>
      <c r="R2208">
        <f t="shared" si="282"/>
        <v>11.999999999999966</v>
      </c>
    </row>
    <row r="2209" spans="1:18">
      <c r="A2209" s="9">
        <v>39934</v>
      </c>
      <c r="B2209">
        <v>1.1100000000000001</v>
      </c>
      <c r="C2209">
        <v>1.5</v>
      </c>
      <c r="D2209">
        <v>1.97</v>
      </c>
      <c r="E2209">
        <v>2.3199999999999998</v>
      </c>
      <c r="F2209">
        <v>2.61</v>
      </c>
      <c r="G2209">
        <v>3</v>
      </c>
      <c r="H2209">
        <v>3.31</v>
      </c>
      <c r="I2209">
        <v>3.71</v>
      </c>
      <c r="K2209">
        <f t="shared" si="275"/>
        <v>-1.0000000000000009</v>
      </c>
      <c r="L2209">
        <f t="shared" si="276"/>
        <v>-1.0000000000000009</v>
      </c>
      <c r="M2209">
        <f t="shared" si="277"/>
        <v>1.0000000000000009</v>
      </c>
      <c r="N2209">
        <f t="shared" si="278"/>
        <v>0</v>
      </c>
      <c r="O2209">
        <f t="shared" si="279"/>
        <v>0.99999999999997868</v>
      </c>
      <c r="P2209">
        <f t="shared" si="280"/>
        <v>6.0000000000000053</v>
      </c>
      <c r="Q2209">
        <f t="shared" si="281"/>
        <v>8.0000000000000071</v>
      </c>
      <c r="R2209">
        <f t="shared" si="282"/>
        <v>10.000000000000009</v>
      </c>
    </row>
    <row r="2210" spans="1:18">
      <c r="A2210" s="9">
        <v>39937</v>
      </c>
      <c r="B2210">
        <v>1.1299999999999999</v>
      </c>
      <c r="C2210">
        <v>1.53</v>
      </c>
      <c r="D2210">
        <v>1.98</v>
      </c>
      <c r="E2210">
        <v>2.35</v>
      </c>
      <c r="F2210">
        <v>2.64</v>
      </c>
      <c r="G2210">
        <v>3.02</v>
      </c>
      <c r="H2210">
        <v>3.34</v>
      </c>
      <c r="I2210">
        <v>3.73</v>
      </c>
      <c r="K2210">
        <f t="shared" si="275"/>
        <v>1.9999999999999796</v>
      </c>
      <c r="L2210">
        <f t="shared" si="276"/>
        <v>3.0000000000000027</v>
      </c>
      <c r="M2210">
        <f t="shared" si="277"/>
        <v>1.0000000000000009</v>
      </c>
      <c r="N2210">
        <f t="shared" si="278"/>
        <v>3.0000000000000249</v>
      </c>
      <c r="O2210">
        <f t="shared" si="279"/>
        <v>3.0000000000000249</v>
      </c>
      <c r="P2210">
        <f t="shared" si="280"/>
        <v>2.0000000000000018</v>
      </c>
      <c r="Q2210">
        <f t="shared" si="281"/>
        <v>2.9999999999999805</v>
      </c>
      <c r="R2210">
        <f t="shared" si="282"/>
        <v>2.0000000000000018</v>
      </c>
    </row>
    <row r="2211" spans="1:18">
      <c r="A2211" s="9">
        <v>39938</v>
      </c>
      <c r="B2211">
        <v>1.08</v>
      </c>
      <c r="C2211">
        <v>1.48</v>
      </c>
      <c r="D2211">
        <v>1.94</v>
      </c>
      <c r="E2211">
        <v>2.31</v>
      </c>
      <c r="F2211">
        <v>2.6</v>
      </c>
      <c r="G2211">
        <v>2.97</v>
      </c>
      <c r="H2211">
        <v>3.29</v>
      </c>
      <c r="I2211">
        <v>3.67</v>
      </c>
      <c r="K2211">
        <f t="shared" si="275"/>
        <v>-4.9999999999999822</v>
      </c>
      <c r="L2211">
        <f t="shared" si="276"/>
        <v>-5.0000000000000044</v>
      </c>
      <c r="M2211">
        <f t="shared" si="277"/>
        <v>-4.0000000000000036</v>
      </c>
      <c r="N2211">
        <f t="shared" si="278"/>
        <v>-4.0000000000000036</v>
      </c>
      <c r="O2211">
        <f t="shared" si="279"/>
        <v>-4.0000000000000036</v>
      </c>
      <c r="P2211">
        <f t="shared" si="280"/>
        <v>-4.9999999999999822</v>
      </c>
      <c r="Q2211">
        <f t="shared" si="281"/>
        <v>-4.9999999999999822</v>
      </c>
      <c r="R2211">
        <f t="shared" si="282"/>
        <v>-6.0000000000000053</v>
      </c>
    </row>
    <row r="2212" spans="1:18">
      <c r="A2212" s="9">
        <v>39939</v>
      </c>
      <c r="B2212">
        <v>1.06</v>
      </c>
      <c r="C2212">
        <v>1.45</v>
      </c>
      <c r="D2212">
        <v>1.91</v>
      </c>
      <c r="E2212">
        <v>2.29</v>
      </c>
      <c r="F2212">
        <v>2.58</v>
      </c>
      <c r="G2212">
        <v>2.97</v>
      </c>
      <c r="H2212">
        <v>3.27</v>
      </c>
      <c r="I2212">
        <v>3.65</v>
      </c>
      <c r="K2212">
        <f t="shared" si="275"/>
        <v>-2.0000000000000018</v>
      </c>
      <c r="L2212">
        <f t="shared" si="276"/>
        <v>-3.0000000000000027</v>
      </c>
      <c r="M2212">
        <f t="shared" si="277"/>
        <v>-3.0000000000000027</v>
      </c>
      <c r="N2212">
        <f t="shared" si="278"/>
        <v>-2.0000000000000018</v>
      </c>
      <c r="O2212">
        <f t="shared" si="279"/>
        <v>-2.0000000000000018</v>
      </c>
      <c r="P2212">
        <f t="shared" si="280"/>
        <v>0</v>
      </c>
      <c r="Q2212">
        <f t="shared" si="281"/>
        <v>-2.0000000000000018</v>
      </c>
      <c r="R2212">
        <f t="shared" si="282"/>
        <v>-2.0000000000000018</v>
      </c>
    </row>
    <row r="2213" spans="1:18">
      <c r="A2213" s="9">
        <v>39940</v>
      </c>
      <c r="B2213">
        <v>1.04</v>
      </c>
      <c r="C2213">
        <v>1.44</v>
      </c>
      <c r="D2213">
        <v>1.92</v>
      </c>
      <c r="E2213">
        <v>2.3199999999999998</v>
      </c>
      <c r="F2213">
        <v>2.61</v>
      </c>
      <c r="G2213">
        <v>3.01</v>
      </c>
      <c r="H2213">
        <v>3.35</v>
      </c>
      <c r="I2213">
        <v>3.74</v>
      </c>
      <c r="K2213">
        <f t="shared" si="275"/>
        <v>-2.0000000000000018</v>
      </c>
      <c r="L2213">
        <f t="shared" si="276"/>
        <v>-1.0000000000000009</v>
      </c>
      <c r="M2213">
        <f t="shared" si="277"/>
        <v>1.0000000000000009</v>
      </c>
      <c r="N2213">
        <f t="shared" si="278"/>
        <v>2.9999999999999805</v>
      </c>
      <c r="O2213">
        <f t="shared" si="279"/>
        <v>2.9999999999999805</v>
      </c>
      <c r="P2213">
        <f t="shared" si="280"/>
        <v>3.9999999999999591</v>
      </c>
      <c r="Q2213">
        <f t="shared" si="281"/>
        <v>8.0000000000000071</v>
      </c>
      <c r="R2213">
        <f t="shared" si="282"/>
        <v>9.0000000000000302</v>
      </c>
    </row>
    <row r="2214" spans="1:18">
      <c r="A2214" s="9">
        <v>39941</v>
      </c>
      <c r="B2214">
        <v>1</v>
      </c>
      <c r="C2214">
        <v>1.41</v>
      </c>
      <c r="D2214">
        <v>1.91</v>
      </c>
      <c r="E2214">
        <v>2.2999999999999998</v>
      </c>
      <c r="F2214">
        <v>2.6</v>
      </c>
      <c r="G2214">
        <v>3.01</v>
      </c>
      <c r="H2214">
        <v>3.38</v>
      </c>
      <c r="I2214">
        <v>3.82</v>
      </c>
      <c r="K2214">
        <f t="shared" si="275"/>
        <v>-4.0000000000000036</v>
      </c>
      <c r="L2214">
        <f t="shared" si="276"/>
        <v>-3.0000000000000027</v>
      </c>
      <c r="M2214">
        <f t="shared" si="277"/>
        <v>-1.0000000000000009</v>
      </c>
      <c r="N2214">
        <f t="shared" si="278"/>
        <v>-2.0000000000000018</v>
      </c>
      <c r="O2214">
        <f t="shared" si="279"/>
        <v>-0.99999999999997868</v>
      </c>
      <c r="P2214">
        <f t="shared" si="280"/>
        <v>0</v>
      </c>
      <c r="Q2214">
        <f t="shared" si="281"/>
        <v>2.9999999999999805</v>
      </c>
      <c r="R2214">
        <f t="shared" si="282"/>
        <v>7.9999999999999627</v>
      </c>
    </row>
    <row r="2215" spans="1:18">
      <c r="A2215" s="9">
        <v>39944</v>
      </c>
      <c r="B2215">
        <v>0.98</v>
      </c>
      <c r="C2215">
        <v>1.37</v>
      </c>
      <c r="D2215">
        <v>1.85</v>
      </c>
      <c r="E2215">
        <v>2.25</v>
      </c>
      <c r="F2215">
        <v>2.57</v>
      </c>
      <c r="G2215">
        <v>2.99</v>
      </c>
      <c r="H2215">
        <v>3.34</v>
      </c>
      <c r="I2215">
        <v>3.79</v>
      </c>
      <c r="K2215">
        <f t="shared" si="275"/>
        <v>-2.0000000000000018</v>
      </c>
      <c r="L2215">
        <f t="shared" si="276"/>
        <v>-3.9999999999999813</v>
      </c>
      <c r="M2215">
        <f t="shared" si="277"/>
        <v>-5.9999999999999831</v>
      </c>
      <c r="N2215">
        <f t="shared" si="278"/>
        <v>-4.9999999999999822</v>
      </c>
      <c r="O2215">
        <f t="shared" si="279"/>
        <v>-3.0000000000000249</v>
      </c>
      <c r="P2215">
        <f t="shared" si="280"/>
        <v>-1.9999999999999574</v>
      </c>
      <c r="Q2215">
        <f t="shared" si="281"/>
        <v>-4.0000000000000036</v>
      </c>
      <c r="R2215">
        <f t="shared" si="282"/>
        <v>-2.9999999999999805</v>
      </c>
    </row>
    <row r="2216" spans="1:18">
      <c r="A2216" s="9">
        <v>39945</v>
      </c>
      <c r="B2216">
        <v>0.98</v>
      </c>
      <c r="C2216">
        <v>1.37</v>
      </c>
      <c r="D2216">
        <v>1.85</v>
      </c>
      <c r="E2216">
        <v>2.2400000000000002</v>
      </c>
      <c r="F2216">
        <v>2.54</v>
      </c>
      <c r="G2216">
        <v>2.96</v>
      </c>
      <c r="H2216">
        <v>3.31</v>
      </c>
      <c r="I2216">
        <v>3.78</v>
      </c>
      <c r="K2216">
        <f t="shared" si="275"/>
        <v>0</v>
      </c>
      <c r="L2216">
        <f t="shared" si="276"/>
        <v>0</v>
      </c>
      <c r="M2216">
        <f t="shared" si="277"/>
        <v>0</v>
      </c>
      <c r="N2216">
        <f t="shared" si="278"/>
        <v>-0.99999999999997868</v>
      </c>
      <c r="O2216">
        <f t="shared" si="279"/>
        <v>-2.9999999999999805</v>
      </c>
      <c r="P2216">
        <f t="shared" si="280"/>
        <v>-3.0000000000000249</v>
      </c>
      <c r="Q2216">
        <f t="shared" si="281"/>
        <v>-2.9999999999999805</v>
      </c>
      <c r="R2216">
        <f t="shared" si="282"/>
        <v>-1.0000000000000231</v>
      </c>
    </row>
    <row r="2217" spans="1:18">
      <c r="A2217" s="9">
        <v>39946</v>
      </c>
      <c r="B2217">
        <v>0.94</v>
      </c>
      <c r="C2217">
        <v>1.29</v>
      </c>
      <c r="D2217">
        <v>1.74</v>
      </c>
      <c r="E2217">
        <v>2.12</v>
      </c>
      <c r="F2217">
        <v>2.42</v>
      </c>
      <c r="G2217">
        <v>2.84</v>
      </c>
      <c r="H2217">
        <v>3.2</v>
      </c>
      <c r="I2217">
        <v>3.66</v>
      </c>
      <c r="K2217">
        <f t="shared" si="275"/>
        <v>-4.0000000000000036</v>
      </c>
      <c r="L2217">
        <f t="shared" si="276"/>
        <v>-8.0000000000000071</v>
      </c>
      <c r="M2217">
        <f t="shared" si="277"/>
        <v>-11.000000000000011</v>
      </c>
      <c r="N2217">
        <f t="shared" si="278"/>
        <v>-12.000000000000011</v>
      </c>
      <c r="O2217">
        <f t="shared" si="279"/>
        <v>-12.000000000000011</v>
      </c>
      <c r="P2217">
        <f t="shared" si="280"/>
        <v>-12.000000000000011</v>
      </c>
      <c r="Q2217">
        <f t="shared" si="281"/>
        <v>-10.999999999999988</v>
      </c>
      <c r="R2217">
        <f t="shared" si="282"/>
        <v>-11.999999999999966</v>
      </c>
    </row>
    <row r="2218" spans="1:18">
      <c r="A2218" s="9">
        <v>39947</v>
      </c>
      <c r="B2218">
        <v>0.92</v>
      </c>
      <c r="C2218">
        <v>1.29</v>
      </c>
      <c r="D2218">
        <v>1.75</v>
      </c>
      <c r="E2218">
        <v>2.14</v>
      </c>
      <c r="F2218">
        <v>2.44</v>
      </c>
      <c r="G2218">
        <v>2.86</v>
      </c>
      <c r="H2218">
        <v>3.21</v>
      </c>
      <c r="I2218">
        <v>3.67</v>
      </c>
      <c r="K2218">
        <f t="shared" si="275"/>
        <v>-1.9999999999999907</v>
      </c>
      <c r="L2218">
        <f t="shared" si="276"/>
        <v>0</v>
      </c>
      <c r="M2218">
        <f t="shared" si="277"/>
        <v>1.0000000000000009</v>
      </c>
      <c r="N2218">
        <f t="shared" si="278"/>
        <v>2.0000000000000018</v>
      </c>
      <c r="O2218">
        <f t="shared" si="279"/>
        <v>2.0000000000000018</v>
      </c>
      <c r="P2218">
        <f t="shared" si="280"/>
        <v>2.0000000000000018</v>
      </c>
      <c r="Q2218">
        <f t="shared" si="281"/>
        <v>0.99999999999997868</v>
      </c>
      <c r="R2218">
        <f t="shared" si="282"/>
        <v>0.99999999999997868</v>
      </c>
    </row>
    <row r="2219" spans="1:18">
      <c r="A2219" s="9">
        <v>39948</v>
      </c>
      <c r="B2219">
        <v>0.9</v>
      </c>
      <c r="C2219">
        <v>1.27</v>
      </c>
      <c r="D2219">
        <v>1.76</v>
      </c>
      <c r="E2219">
        <v>2.16</v>
      </c>
      <c r="F2219">
        <v>2.4700000000000002</v>
      </c>
      <c r="G2219">
        <v>2.89</v>
      </c>
      <c r="H2219">
        <v>3.24</v>
      </c>
      <c r="I2219">
        <v>3.68</v>
      </c>
      <c r="K2219">
        <f t="shared" si="275"/>
        <v>-2.0000000000000018</v>
      </c>
      <c r="L2219">
        <f t="shared" si="276"/>
        <v>-2.0000000000000018</v>
      </c>
      <c r="M2219">
        <f t="shared" si="277"/>
        <v>1.0000000000000009</v>
      </c>
      <c r="N2219">
        <f t="shared" si="278"/>
        <v>2.0000000000000018</v>
      </c>
      <c r="O2219">
        <f t="shared" si="279"/>
        <v>3.0000000000000249</v>
      </c>
      <c r="P2219">
        <f t="shared" si="280"/>
        <v>3.0000000000000249</v>
      </c>
      <c r="Q2219">
        <f t="shared" si="281"/>
        <v>3.0000000000000249</v>
      </c>
      <c r="R2219">
        <f t="shared" si="282"/>
        <v>1.0000000000000231</v>
      </c>
    </row>
    <row r="2220" spans="1:18">
      <c r="A2220" s="9">
        <v>39951</v>
      </c>
      <c r="B2220">
        <v>0.85</v>
      </c>
      <c r="C2220">
        <v>1.25</v>
      </c>
      <c r="D2220">
        <v>1.74</v>
      </c>
      <c r="E2220">
        <v>2.14</v>
      </c>
      <c r="F2220">
        <v>2.44</v>
      </c>
      <c r="G2220">
        <v>2.88</v>
      </c>
      <c r="H2220">
        <v>3.22</v>
      </c>
      <c r="I2220">
        <v>3.68</v>
      </c>
      <c r="K2220">
        <f t="shared" si="275"/>
        <v>-5.0000000000000044</v>
      </c>
      <c r="L2220">
        <f t="shared" si="276"/>
        <v>-2.0000000000000018</v>
      </c>
      <c r="M2220">
        <f t="shared" si="277"/>
        <v>-2.0000000000000018</v>
      </c>
      <c r="N2220">
        <f t="shared" si="278"/>
        <v>-2.0000000000000018</v>
      </c>
      <c r="O2220">
        <f t="shared" si="279"/>
        <v>-3.0000000000000249</v>
      </c>
      <c r="P2220">
        <f t="shared" si="280"/>
        <v>-1.0000000000000231</v>
      </c>
      <c r="Q2220">
        <f t="shared" si="281"/>
        <v>-2.0000000000000018</v>
      </c>
      <c r="R2220">
        <f t="shared" si="282"/>
        <v>0</v>
      </c>
    </row>
    <row r="2221" spans="1:18">
      <c r="A2221" s="9">
        <v>39952</v>
      </c>
      <c r="B2221">
        <v>0.83</v>
      </c>
      <c r="C2221">
        <v>1.25</v>
      </c>
      <c r="D2221">
        <v>1.77</v>
      </c>
      <c r="E2221">
        <v>2.19</v>
      </c>
      <c r="F2221">
        <v>2.5299999999999998</v>
      </c>
      <c r="G2221">
        <v>2.95</v>
      </c>
      <c r="H2221">
        <v>3.34</v>
      </c>
      <c r="I2221">
        <v>3.8</v>
      </c>
      <c r="K2221">
        <f t="shared" si="275"/>
        <v>-2.0000000000000018</v>
      </c>
      <c r="L2221">
        <f t="shared" si="276"/>
        <v>0</v>
      </c>
      <c r="M2221">
        <f t="shared" si="277"/>
        <v>3.0000000000000027</v>
      </c>
      <c r="N2221">
        <f t="shared" si="278"/>
        <v>4.9999999999999822</v>
      </c>
      <c r="O2221">
        <f t="shared" si="279"/>
        <v>8.9999999999999858</v>
      </c>
      <c r="P2221">
        <f t="shared" si="280"/>
        <v>7.0000000000000284</v>
      </c>
      <c r="Q2221">
        <f t="shared" si="281"/>
        <v>11.999999999999966</v>
      </c>
      <c r="R2221">
        <f t="shared" si="282"/>
        <v>11.999999999999966</v>
      </c>
    </row>
    <row r="2222" spans="1:18">
      <c r="A2222" s="9">
        <v>39953</v>
      </c>
      <c r="B2222">
        <v>0.78</v>
      </c>
      <c r="C2222">
        <v>1.2</v>
      </c>
      <c r="D2222">
        <v>1.72</v>
      </c>
      <c r="E2222">
        <v>2.15</v>
      </c>
      <c r="F2222">
        <v>2.4700000000000002</v>
      </c>
      <c r="G2222">
        <v>2.93</v>
      </c>
      <c r="H2222">
        <v>3.31</v>
      </c>
      <c r="I2222">
        <v>3.8</v>
      </c>
      <c r="K2222">
        <f t="shared" si="275"/>
        <v>-4.9999999999999929</v>
      </c>
      <c r="L2222">
        <f t="shared" si="276"/>
        <v>-5.0000000000000044</v>
      </c>
      <c r="M2222">
        <f t="shared" si="277"/>
        <v>-5.0000000000000044</v>
      </c>
      <c r="N2222">
        <f t="shared" si="278"/>
        <v>-4.0000000000000036</v>
      </c>
      <c r="O2222">
        <f t="shared" si="279"/>
        <v>-5.9999999999999609</v>
      </c>
      <c r="P2222">
        <f t="shared" si="280"/>
        <v>-2.0000000000000018</v>
      </c>
      <c r="Q2222">
        <f t="shared" si="281"/>
        <v>-2.9999999999999805</v>
      </c>
      <c r="R2222">
        <f t="shared" si="282"/>
        <v>0</v>
      </c>
    </row>
    <row r="2223" spans="1:18">
      <c r="A2223" s="9">
        <v>39954</v>
      </c>
      <c r="B2223">
        <v>0.79</v>
      </c>
      <c r="C2223">
        <v>1.21</v>
      </c>
      <c r="D2223">
        <v>1.73</v>
      </c>
      <c r="E2223">
        <v>2.14</v>
      </c>
      <c r="F2223">
        <v>2.46</v>
      </c>
      <c r="G2223">
        <v>2.92</v>
      </c>
      <c r="H2223">
        <v>3.29</v>
      </c>
      <c r="I2223">
        <v>3.78</v>
      </c>
      <c r="K2223">
        <f t="shared" si="275"/>
        <v>1.0000000000000009</v>
      </c>
      <c r="L2223">
        <f t="shared" si="276"/>
        <v>1.0000000000000009</v>
      </c>
      <c r="M2223">
        <f t="shared" si="277"/>
        <v>1.0000000000000009</v>
      </c>
      <c r="N2223">
        <f t="shared" si="278"/>
        <v>-0.99999999999997868</v>
      </c>
      <c r="O2223">
        <f t="shared" si="279"/>
        <v>-1.0000000000000231</v>
      </c>
      <c r="P2223">
        <f t="shared" si="280"/>
        <v>-1.0000000000000231</v>
      </c>
      <c r="Q2223">
        <f t="shared" si="281"/>
        <v>-2.0000000000000018</v>
      </c>
      <c r="R2223">
        <f t="shared" si="282"/>
        <v>-2.0000000000000018</v>
      </c>
    </row>
    <row r="2224" spans="1:18">
      <c r="A2224" s="9">
        <v>39955</v>
      </c>
      <c r="B2224">
        <v>0.84</v>
      </c>
      <c r="C2224">
        <v>1.26</v>
      </c>
      <c r="D2224">
        <v>1.81</v>
      </c>
      <c r="E2224">
        <v>2.2799999999999998</v>
      </c>
      <c r="F2224">
        <v>2.64</v>
      </c>
      <c r="G2224">
        <v>3.12</v>
      </c>
      <c r="H2224">
        <v>3.52</v>
      </c>
      <c r="I2224">
        <v>3.99</v>
      </c>
      <c r="K2224">
        <f t="shared" si="275"/>
        <v>4.9999999999999929</v>
      </c>
      <c r="L2224">
        <f t="shared" si="276"/>
        <v>5.0000000000000044</v>
      </c>
      <c r="M2224">
        <f t="shared" si="277"/>
        <v>8.0000000000000071</v>
      </c>
      <c r="N2224">
        <f t="shared" si="278"/>
        <v>13.999999999999968</v>
      </c>
      <c r="O2224">
        <f t="shared" si="279"/>
        <v>18.000000000000014</v>
      </c>
      <c r="P2224">
        <f t="shared" si="280"/>
        <v>20.000000000000018</v>
      </c>
      <c r="Q2224">
        <f t="shared" si="281"/>
        <v>23</v>
      </c>
      <c r="R2224">
        <f t="shared" si="282"/>
        <v>21.000000000000043</v>
      </c>
    </row>
    <row r="2225" spans="1:18">
      <c r="A2225" s="9">
        <v>39959</v>
      </c>
      <c r="B2225">
        <v>0.85</v>
      </c>
      <c r="C2225">
        <v>1.3</v>
      </c>
      <c r="D2225">
        <v>1.85</v>
      </c>
      <c r="E2225">
        <v>2.3199999999999998</v>
      </c>
      <c r="F2225">
        <v>2.69</v>
      </c>
      <c r="G2225">
        <v>3.18</v>
      </c>
      <c r="H2225">
        <v>3.6</v>
      </c>
      <c r="I2225">
        <v>4.08</v>
      </c>
      <c r="K2225">
        <f t="shared" si="275"/>
        <v>1.0000000000000009</v>
      </c>
      <c r="L2225">
        <f t="shared" si="276"/>
        <v>4.0000000000000036</v>
      </c>
      <c r="M2225">
        <f t="shared" si="277"/>
        <v>4.0000000000000036</v>
      </c>
      <c r="N2225">
        <f t="shared" si="278"/>
        <v>4.0000000000000036</v>
      </c>
      <c r="O2225">
        <f t="shared" si="279"/>
        <v>4.9999999999999822</v>
      </c>
      <c r="P2225">
        <f t="shared" si="280"/>
        <v>6.0000000000000053</v>
      </c>
      <c r="Q2225">
        <f t="shared" si="281"/>
        <v>8.0000000000000071</v>
      </c>
      <c r="R2225">
        <f t="shared" si="282"/>
        <v>8.9999999999999858</v>
      </c>
    </row>
    <row r="2226" spans="1:18">
      <c r="A2226" s="9">
        <v>39960</v>
      </c>
      <c r="B2226">
        <v>0.9</v>
      </c>
      <c r="C2226">
        <v>1.38</v>
      </c>
      <c r="D2226">
        <v>1.93</v>
      </c>
      <c r="E2226">
        <v>2.44</v>
      </c>
      <c r="F2226">
        <v>2.85</v>
      </c>
      <c r="G2226">
        <v>3.38</v>
      </c>
      <c r="H2226">
        <v>3.82</v>
      </c>
      <c r="I2226">
        <v>4.29</v>
      </c>
      <c r="K2226">
        <f t="shared" si="275"/>
        <v>5.0000000000000044</v>
      </c>
      <c r="L2226">
        <f t="shared" si="276"/>
        <v>7.9999999999999849</v>
      </c>
      <c r="M2226">
        <f t="shared" si="277"/>
        <v>7.9999999999999849</v>
      </c>
      <c r="N2226">
        <f t="shared" si="278"/>
        <v>12.000000000000011</v>
      </c>
      <c r="O2226">
        <f t="shared" si="279"/>
        <v>16.000000000000014</v>
      </c>
      <c r="P2226">
        <f t="shared" si="280"/>
        <v>19.999999999999972</v>
      </c>
      <c r="Q2226">
        <f t="shared" si="281"/>
        <v>21.999999999999975</v>
      </c>
      <c r="R2226">
        <f t="shared" si="282"/>
        <v>20.999999999999996</v>
      </c>
    </row>
    <row r="2227" spans="1:18">
      <c r="A2227" s="9">
        <v>39961</v>
      </c>
      <c r="B2227">
        <v>0.89</v>
      </c>
      <c r="C2227">
        <v>1.39</v>
      </c>
      <c r="D2227">
        <v>2</v>
      </c>
      <c r="E2227">
        <v>2.54</v>
      </c>
      <c r="F2227">
        <v>2.95</v>
      </c>
      <c r="G2227">
        <v>3.51</v>
      </c>
      <c r="H2227">
        <v>3.97</v>
      </c>
      <c r="I2227">
        <v>4.38</v>
      </c>
      <c r="K2227">
        <f t="shared" si="275"/>
        <v>-1.0000000000000009</v>
      </c>
      <c r="L2227">
        <f t="shared" si="276"/>
        <v>1.0000000000000009</v>
      </c>
      <c r="M2227">
        <f t="shared" si="277"/>
        <v>7.0000000000000062</v>
      </c>
      <c r="N2227">
        <f t="shared" si="278"/>
        <v>10.000000000000009</v>
      </c>
      <c r="O2227">
        <f t="shared" si="279"/>
        <v>10.000000000000009</v>
      </c>
      <c r="P2227">
        <f t="shared" si="280"/>
        <v>12.999999999999989</v>
      </c>
      <c r="Q2227">
        <f t="shared" si="281"/>
        <v>15.000000000000036</v>
      </c>
      <c r="R2227">
        <f t="shared" si="282"/>
        <v>8.9999999999999858</v>
      </c>
    </row>
    <row r="2228" spans="1:18">
      <c r="A2228" s="9">
        <v>39962</v>
      </c>
      <c r="B2228">
        <v>0.86</v>
      </c>
      <c r="C2228">
        <v>1.35</v>
      </c>
      <c r="D2228">
        <v>1.94</v>
      </c>
      <c r="E2228">
        <v>2.4500000000000002</v>
      </c>
      <c r="F2228">
        <v>2.85</v>
      </c>
      <c r="G2228">
        <v>3.37</v>
      </c>
      <c r="H2228">
        <v>3.78</v>
      </c>
      <c r="I2228">
        <v>4.18</v>
      </c>
      <c r="K2228">
        <f t="shared" si="275"/>
        <v>-3.0000000000000027</v>
      </c>
      <c r="L2228">
        <f t="shared" si="276"/>
        <v>-3.9999999999999813</v>
      </c>
      <c r="M2228">
        <f t="shared" si="277"/>
        <v>-6.0000000000000053</v>
      </c>
      <c r="N2228">
        <f t="shared" si="278"/>
        <v>-8.9999999999999858</v>
      </c>
      <c r="O2228">
        <f t="shared" si="279"/>
        <v>-10.000000000000009</v>
      </c>
      <c r="P2228">
        <f t="shared" si="280"/>
        <v>-13.999999999999968</v>
      </c>
      <c r="Q2228">
        <f t="shared" si="281"/>
        <v>-19.000000000000039</v>
      </c>
      <c r="R2228">
        <f t="shared" si="282"/>
        <v>-20.000000000000018</v>
      </c>
    </row>
    <row r="2229" spans="1:18">
      <c r="A2229" s="9">
        <v>39965</v>
      </c>
      <c r="B2229">
        <v>0.89</v>
      </c>
      <c r="C2229">
        <v>1.41</v>
      </c>
      <c r="D2229">
        <v>2.04</v>
      </c>
      <c r="E2229">
        <v>2.56</v>
      </c>
      <c r="F2229">
        <v>2.96</v>
      </c>
      <c r="G2229">
        <v>3.49</v>
      </c>
      <c r="H2229">
        <v>3.91</v>
      </c>
      <c r="I2229">
        <v>4.28</v>
      </c>
      <c r="K2229">
        <f t="shared" si="275"/>
        <v>3.0000000000000027</v>
      </c>
      <c r="L2229">
        <f t="shared" si="276"/>
        <v>5.9999999999999831</v>
      </c>
      <c r="M2229">
        <f t="shared" si="277"/>
        <v>10.000000000000009</v>
      </c>
      <c r="N2229">
        <f t="shared" si="278"/>
        <v>10.999999999999988</v>
      </c>
      <c r="O2229">
        <f t="shared" si="279"/>
        <v>10.999999999999988</v>
      </c>
      <c r="P2229">
        <f t="shared" si="280"/>
        <v>12.000000000000011</v>
      </c>
      <c r="Q2229">
        <f t="shared" si="281"/>
        <v>13.000000000000034</v>
      </c>
      <c r="R2229">
        <f t="shared" si="282"/>
        <v>10.000000000000053</v>
      </c>
    </row>
    <row r="2230" spans="1:18">
      <c r="A2230" s="9">
        <v>39966</v>
      </c>
      <c r="B2230">
        <v>0.87</v>
      </c>
      <c r="C2230">
        <v>1.41</v>
      </c>
      <c r="D2230">
        <v>2.0499999999999998</v>
      </c>
      <c r="E2230">
        <v>2.6</v>
      </c>
      <c r="F2230">
        <v>3.05</v>
      </c>
      <c r="G2230">
        <v>3.6</v>
      </c>
      <c r="H2230">
        <v>4.04</v>
      </c>
      <c r="I2230">
        <v>4.4000000000000004</v>
      </c>
      <c r="K2230">
        <f t="shared" si="275"/>
        <v>-2.0000000000000018</v>
      </c>
      <c r="L2230">
        <f t="shared" si="276"/>
        <v>0</v>
      </c>
      <c r="M2230">
        <f t="shared" si="277"/>
        <v>0.99999999999997868</v>
      </c>
      <c r="N2230">
        <f t="shared" si="278"/>
        <v>4.0000000000000036</v>
      </c>
      <c r="O2230">
        <f t="shared" si="279"/>
        <v>8.9999999999999858</v>
      </c>
      <c r="P2230">
        <f t="shared" si="280"/>
        <v>10.999999999999988</v>
      </c>
      <c r="Q2230">
        <f t="shared" si="281"/>
        <v>12.999999999999989</v>
      </c>
      <c r="R2230">
        <f t="shared" si="282"/>
        <v>12.000000000000011</v>
      </c>
    </row>
    <row r="2231" spans="1:18">
      <c r="A2231" s="9">
        <v>39967</v>
      </c>
      <c r="B2231">
        <v>0.84</v>
      </c>
      <c r="C2231">
        <v>1.35</v>
      </c>
      <c r="D2231">
        <v>1.98</v>
      </c>
      <c r="E2231">
        <v>2.5299999999999998</v>
      </c>
      <c r="F2231">
        <v>2.96</v>
      </c>
      <c r="G2231">
        <v>3.5</v>
      </c>
      <c r="H2231">
        <v>3.92</v>
      </c>
      <c r="I2231">
        <v>4.32</v>
      </c>
      <c r="K2231">
        <f t="shared" si="275"/>
        <v>-3.0000000000000027</v>
      </c>
      <c r="L2231">
        <f t="shared" si="276"/>
        <v>-5.9999999999999831</v>
      </c>
      <c r="M2231">
        <f t="shared" si="277"/>
        <v>-6.999999999999984</v>
      </c>
      <c r="N2231">
        <f t="shared" si="278"/>
        <v>-7.0000000000000284</v>
      </c>
      <c r="O2231">
        <f t="shared" si="279"/>
        <v>-8.9999999999999858</v>
      </c>
      <c r="P2231">
        <f t="shared" si="280"/>
        <v>-10.000000000000009</v>
      </c>
      <c r="Q2231">
        <f t="shared" si="281"/>
        <v>-12.000000000000011</v>
      </c>
      <c r="R2231">
        <f t="shared" si="282"/>
        <v>-8.0000000000000071</v>
      </c>
    </row>
    <row r="2232" spans="1:18">
      <c r="A2232" s="9">
        <v>39968</v>
      </c>
      <c r="B2232">
        <v>0.86</v>
      </c>
      <c r="C2232">
        <v>1.39</v>
      </c>
      <c r="D2232">
        <v>2.0099999999999998</v>
      </c>
      <c r="E2232">
        <v>2.57</v>
      </c>
      <c r="F2232">
        <v>2.99</v>
      </c>
      <c r="G2232">
        <v>3.53</v>
      </c>
      <c r="H2232">
        <v>3.96</v>
      </c>
      <c r="I2232">
        <v>4.3600000000000003</v>
      </c>
      <c r="K2232">
        <f t="shared" si="275"/>
        <v>2.0000000000000018</v>
      </c>
      <c r="L2232">
        <f t="shared" si="276"/>
        <v>3.9999999999999813</v>
      </c>
      <c r="M2232">
        <f t="shared" si="277"/>
        <v>2.9999999999999805</v>
      </c>
      <c r="N2232">
        <f t="shared" si="278"/>
        <v>4.0000000000000036</v>
      </c>
      <c r="O2232">
        <f t="shared" si="279"/>
        <v>3.0000000000000249</v>
      </c>
      <c r="P2232">
        <f t="shared" si="280"/>
        <v>2.9999999999999805</v>
      </c>
      <c r="Q2232">
        <f t="shared" si="281"/>
        <v>4.0000000000000036</v>
      </c>
      <c r="R2232">
        <f t="shared" si="282"/>
        <v>4.0000000000000036</v>
      </c>
    </row>
    <row r="2233" spans="1:18">
      <c r="A2233" s="9">
        <v>39969</v>
      </c>
      <c r="B2233">
        <v>1.07</v>
      </c>
      <c r="C2233">
        <v>1.73</v>
      </c>
      <c r="D2233">
        <v>2.39</v>
      </c>
      <c r="E2233">
        <v>2.94</v>
      </c>
      <c r="F2233">
        <v>3.36</v>
      </c>
      <c r="G2233">
        <v>3.86</v>
      </c>
      <c r="H2233">
        <v>4.26</v>
      </c>
      <c r="I2233">
        <v>4.55</v>
      </c>
      <c r="K2233">
        <f t="shared" si="275"/>
        <v>21.000000000000007</v>
      </c>
      <c r="L2233">
        <f t="shared" si="276"/>
        <v>34.000000000000007</v>
      </c>
      <c r="M2233">
        <f t="shared" si="277"/>
        <v>38.000000000000036</v>
      </c>
      <c r="N2233">
        <f t="shared" si="278"/>
        <v>37.000000000000014</v>
      </c>
      <c r="O2233">
        <f t="shared" si="279"/>
        <v>36.999999999999964</v>
      </c>
      <c r="P2233">
        <f t="shared" si="280"/>
        <v>33.000000000000007</v>
      </c>
      <c r="Q2233">
        <f t="shared" si="281"/>
        <v>29.999999999999982</v>
      </c>
      <c r="R2233">
        <f t="shared" si="282"/>
        <v>18.99999999999995</v>
      </c>
    </row>
    <row r="2234" spans="1:18">
      <c r="A2234" s="9">
        <v>39972</v>
      </c>
      <c r="B2234">
        <v>1.1399999999999999</v>
      </c>
      <c r="C2234">
        <v>1.87</v>
      </c>
      <c r="D2234">
        <v>2.52</v>
      </c>
      <c r="E2234">
        <v>3.03</v>
      </c>
      <c r="F2234">
        <v>3.41</v>
      </c>
      <c r="G2234">
        <v>3.88</v>
      </c>
      <c r="H2234">
        <v>4.24</v>
      </c>
      <c r="I2234">
        <v>4.4800000000000004</v>
      </c>
      <c r="K2234">
        <f t="shared" si="275"/>
        <v>6.999999999999984</v>
      </c>
      <c r="L2234">
        <f t="shared" si="276"/>
        <v>14.000000000000012</v>
      </c>
      <c r="M2234">
        <f t="shared" si="277"/>
        <v>12.999999999999989</v>
      </c>
      <c r="N2234">
        <f t="shared" si="278"/>
        <v>8.9999999999999858</v>
      </c>
      <c r="O2234">
        <f t="shared" si="279"/>
        <v>5.0000000000000266</v>
      </c>
      <c r="P2234">
        <f t="shared" si="280"/>
        <v>2.0000000000000018</v>
      </c>
      <c r="Q2234">
        <f t="shared" si="281"/>
        <v>-1.9999999999999574</v>
      </c>
      <c r="R2234">
        <f t="shared" si="282"/>
        <v>-6.9999999999999396</v>
      </c>
    </row>
    <row r="2235" spans="1:18">
      <c r="A2235" s="9">
        <v>39973</v>
      </c>
      <c r="B2235">
        <v>1.05</v>
      </c>
      <c r="C2235">
        <v>1.76</v>
      </c>
      <c r="D2235">
        <v>2.4300000000000002</v>
      </c>
      <c r="E2235">
        <v>2.95</v>
      </c>
      <c r="F2235">
        <v>3.35</v>
      </c>
      <c r="G2235">
        <v>3.82</v>
      </c>
      <c r="H2235">
        <v>4.18</v>
      </c>
      <c r="I2235">
        <v>4.43</v>
      </c>
      <c r="K2235">
        <f t="shared" si="275"/>
        <v>-8.9999999999999858</v>
      </c>
      <c r="L2235">
        <f t="shared" si="276"/>
        <v>-11.000000000000011</v>
      </c>
      <c r="M2235">
        <f t="shared" si="277"/>
        <v>-8.9999999999999858</v>
      </c>
      <c r="N2235">
        <f t="shared" si="278"/>
        <v>-7.9999999999999627</v>
      </c>
      <c r="O2235">
        <f t="shared" si="279"/>
        <v>-6.0000000000000053</v>
      </c>
      <c r="P2235">
        <f t="shared" si="280"/>
        <v>-6.0000000000000053</v>
      </c>
      <c r="Q2235">
        <f t="shared" si="281"/>
        <v>-6.0000000000000497</v>
      </c>
      <c r="R2235">
        <f t="shared" si="282"/>
        <v>-5.0000000000000711</v>
      </c>
    </row>
    <row r="2236" spans="1:18">
      <c r="A2236" s="9">
        <v>39974</v>
      </c>
      <c r="B2236">
        <v>1.04</v>
      </c>
      <c r="C2236">
        <v>1.78</v>
      </c>
      <c r="D2236">
        <v>2.4700000000000002</v>
      </c>
      <c r="E2236">
        <v>3.02</v>
      </c>
      <c r="F2236">
        <v>3.41</v>
      </c>
      <c r="G2236">
        <v>3.91</v>
      </c>
      <c r="H2236">
        <v>4.2699999999999996</v>
      </c>
      <c r="I2236">
        <v>4.53</v>
      </c>
      <c r="K2236">
        <f t="shared" si="275"/>
        <v>-1.0000000000000009</v>
      </c>
      <c r="L2236">
        <f t="shared" si="276"/>
        <v>2.0000000000000018</v>
      </c>
      <c r="M2236">
        <f t="shared" si="277"/>
        <v>4.0000000000000036</v>
      </c>
      <c r="N2236">
        <f t="shared" si="278"/>
        <v>6.999999999999984</v>
      </c>
      <c r="O2236">
        <f t="shared" si="279"/>
        <v>6.0000000000000053</v>
      </c>
      <c r="P2236">
        <f t="shared" si="280"/>
        <v>9.0000000000000302</v>
      </c>
      <c r="Q2236">
        <f t="shared" si="281"/>
        <v>8.9999999999999858</v>
      </c>
      <c r="R2236">
        <f t="shared" si="282"/>
        <v>10.000000000000053</v>
      </c>
    </row>
    <row r="2237" spans="1:18">
      <c r="A2237" s="9">
        <v>39975</v>
      </c>
      <c r="B2237">
        <v>1.04</v>
      </c>
      <c r="C2237">
        <v>1.81</v>
      </c>
      <c r="D2237">
        <v>2.52</v>
      </c>
      <c r="E2237">
        <v>3.07</v>
      </c>
      <c r="F2237">
        <v>3.46</v>
      </c>
      <c r="G2237">
        <v>3.95</v>
      </c>
      <c r="H2237">
        <v>4.3099999999999996</v>
      </c>
      <c r="I2237">
        <v>4.62</v>
      </c>
      <c r="K2237">
        <f t="shared" si="275"/>
        <v>0</v>
      </c>
      <c r="L2237">
        <f t="shared" si="276"/>
        <v>3.0000000000000027</v>
      </c>
      <c r="M2237">
        <f t="shared" si="277"/>
        <v>4.9999999999999822</v>
      </c>
      <c r="N2237">
        <f t="shared" si="278"/>
        <v>4.9999999999999822</v>
      </c>
      <c r="O2237">
        <f t="shared" si="279"/>
        <v>4.9999999999999822</v>
      </c>
      <c r="P2237">
        <f t="shared" si="280"/>
        <v>4.0000000000000036</v>
      </c>
      <c r="Q2237">
        <f t="shared" si="281"/>
        <v>4.0000000000000036</v>
      </c>
      <c r="R2237">
        <f t="shared" si="282"/>
        <v>8.9999999999999858</v>
      </c>
    </row>
    <row r="2238" spans="1:18">
      <c r="A2238" s="9">
        <v>39976</v>
      </c>
      <c r="B2238">
        <v>1</v>
      </c>
      <c r="C2238">
        <v>1.72</v>
      </c>
      <c r="D2238">
        <v>2.41</v>
      </c>
      <c r="E2238">
        <v>2.92</v>
      </c>
      <c r="F2238">
        <v>3.29</v>
      </c>
      <c r="G2238">
        <v>3.76</v>
      </c>
      <c r="H2238">
        <v>4.1100000000000003</v>
      </c>
      <c r="I2238">
        <v>4.41</v>
      </c>
      <c r="K2238">
        <f t="shared" si="275"/>
        <v>-4.0000000000000036</v>
      </c>
      <c r="L2238">
        <f t="shared" si="276"/>
        <v>-9.0000000000000071</v>
      </c>
      <c r="M2238">
        <f t="shared" si="277"/>
        <v>-10.999999999999988</v>
      </c>
      <c r="N2238">
        <f t="shared" si="278"/>
        <v>-14.999999999999991</v>
      </c>
      <c r="O2238">
        <f t="shared" si="279"/>
        <v>-16.999999999999993</v>
      </c>
      <c r="P2238">
        <f t="shared" si="280"/>
        <v>-19.000000000000039</v>
      </c>
      <c r="Q2238">
        <f t="shared" si="281"/>
        <v>-19.999999999999929</v>
      </c>
      <c r="R2238">
        <f t="shared" si="282"/>
        <v>-20.999999999999996</v>
      </c>
    </row>
    <row r="2239" spans="1:18">
      <c r="A2239" s="9">
        <v>39979</v>
      </c>
      <c r="B2239">
        <v>0.96</v>
      </c>
      <c r="C2239">
        <v>1.64</v>
      </c>
      <c r="D2239">
        <v>2.29</v>
      </c>
      <c r="E2239">
        <v>2.78</v>
      </c>
      <c r="F2239">
        <v>3.16</v>
      </c>
      <c r="G2239">
        <v>3.62</v>
      </c>
      <c r="H2239">
        <v>3.97</v>
      </c>
      <c r="I2239">
        <v>4.32</v>
      </c>
      <c r="K2239">
        <f t="shared" si="275"/>
        <v>-4.0000000000000036</v>
      </c>
      <c r="L2239">
        <f t="shared" si="276"/>
        <v>-8.0000000000000071</v>
      </c>
      <c r="M2239">
        <f t="shared" si="277"/>
        <v>-12.000000000000011</v>
      </c>
      <c r="N2239">
        <f t="shared" si="278"/>
        <v>-14.000000000000012</v>
      </c>
      <c r="O2239">
        <f t="shared" si="279"/>
        <v>-12.999999999999989</v>
      </c>
      <c r="P2239">
        <f t="shared" si="280"/>
        <v>-13.999999999999968</v>
      </c>
      <c r="Q2239">
        <f t="shared" si="281"/>
        <v>-14.000000000000012</v>
      </c>
      <c r="R2239">
        <f t="shared" si="282"/>
        <v>-8.9999999999999858</v>
      </c>
    </row>
    <row r="2240" spans="1:18">
      <c r="A2240" s="9">
        <v>39980</v>
      </c>
      <c r="B2240">
        <v>0.97</v>
      </c>
      <c r="C2240">
        <v>1.66</v>
      </c>
      <c r="D2240">
        <v>2.2999999999999998</v>
      </c>
      <c r="E2240">
        <v>2.8</v>
      </c>
      <c r="F2240">
        <v>3.16</v>
      </c>
      <c r="G2240">
        <v>3.63</v>
      </c>
      <c r="H2240">
        <v>3.99</v>
      </c>
      <c r="I2240">
        <v>4.33</v>
      </c>
      <c r="K2240">
        <f t="shared" si="275"/>
        <v>1.0000000000000009</v>
      </c>
      <c r="L2240">
        <f t="shared" si="276"/>
        <v>2.0000000000000018</v>
      </c>
      <c r="M2240">
        <f t="shared" si="277"/>
        <v>0.99999999999997868</v>
      </c>
      <c r="N2240">
        <f t="shared" si="278"/>
        <v>2.0000000000000018</v>
      </c>
      <c r="O2240">
        <f t="shared" si="279"/>
        <v>0</v>
      </c>
      <c r="P2240">
        <f t="shared" si="280"/>
        <v>0.99999999999997868</v>
      </c>
      <c r="Q2240">
        <f t="shared" si="281"/>
        <v>2.0000000000000018</v>
      </c>
      <c r="R2240">
        <f t="shared" si="282"/>
        <v>0.99999999999997868</v>
      </c>
    </row>
    <row r="2241" spans="1:18">
      <c r="A2241" s="9">
        <v>39981</v>
      </c>
      <c r="B2241">
        <v>0.95</v>
      </c>
      <c r="C2241">
        <v>1.57</v>
      </c>
      <c r="D2241">
        <v>2.1800000000000002</v>
      </c>
      <c r="E2241">
        <v>2.67</v>
      </c>
      <c r="F2241">
        <v>3.02</v>
      </c>
      <c r="G2241">
        <v>3.48</v>
      </c>
      <c r="H2241">
        <v>3.83</v>
      </c>
      <c r="I2241">
        <v>4.1900000000000004</v>
      </c>
      <c r="K2241">
        <f t="shared" si="275"/>
        <v>-2.0000000000000018</v>
      </c>
      <c r="L2241">
        <f t="shared" si="276"/>
        <v>-8.9999999999999858</v>
      </c>
      <c r="M2241">
        <f t="shared" si="277"/>
        <v>-11.999999999999966</v>
      </c>
      <c r="N2241">
        <f t="shared" si="278"/>
        <v>-12.999999999999989</v>
      </c>
      <c r="O2241">
        <f t="shared" si="279"/>
        <v>-14.000000000000012</v>
      </c>
      <c r="P2241">
        <f t="shared" si="280"/>
        <v>-14.999999999999991</v>
      </c>
      <c r="Q2241">
        <f t="shared" si="281"/>
        <v>-16.000000000000014</v>
      </c>
      <c r="R2241">
        <f t="shared" si="282"/>
        <v>-13.999999999999968</v>
      </c>
    </row>
    <row r="2242" spans="1:18">
      <c r="A2242" s="9">
        <v>39982</v>
      </c>
      <c r="B2242">
        <v>0.99</v>
      </c>
      <c r="C2242">
        <v>1.66</v>
      </c>
      <c r="D2242">
        <v>2.31</v>
      </c>
      <c r="E2242">
        <v>2.81</v>
      </c>
      <c r="F2242">
        <v>3.16</v>
      </c>
      <c r="G2242">
        <v>3.63</v>
      </c>
      <c r="H2242">
        <v>3.98</v>
      </c>
      <c r="I2242">
        <v>4.33</v>
      </c>
      <c r="K2242">
        <f t="shared" si="275"/>
        <v>4.0000000000000036</v>
      </c>
      <c r="L2242">
        <f t="shared" si="276"/>
        <v>8.9999999999999858</v>
      </c>
      <c r="M2242">
        <f t="shared" si="277"/>
        <v>12.999999999999989</v>
      </c>
      <c r="N2242">
        <f t="shared" si="278"/>
        <v>14.000000000000012</v>
      </c>
      <c r="O2242">
        <f t="shared" si="279"/>
        <v>14.000000000000012</v>
      </c>
      <c r="P2242">
        <f t="shared" si="280"/>
        <v>14.999999999999991</v>
      </c>
      <c r="Q2242">
        <f t="shared" si="281"/>
        <v>14.999999999999991</v>
      </c>
      <c r="R2242">
        <f t="shared" si="282"/>
        <v>13.999999999999968</v>
      </c>
    </row>
    <row r="2243" spans="1:18">
      <c r="A2243" s="9">
        <v>39983</v>
      </c>
      <c r="B2243">
        <v>1.01</v>
      </c>
      <c r="C2243">
        <v>1.74</v>
      </c>
      <c r="D2243">
        <v>2.42</v>
      </c>
      <c r="E2243">
        <v>2.92</v>
      </c>
      <c r="F2243">
        <v>3.28</v>
      </c>
      <c r="G2243">
        <v>3.74</v>
      </c>
      <c r="H2243">
        <v>4.0999999999999996</v>
      </c>
      <c r="I2243">
        <v>4.4400000000000004</v>
      </c>
      <c r="K2243">
        <f t="shared" si="275"/>
        <v>2.0000000000000018</v>
      </c>
      <c r="L2243">
        <f t="shared" si="276"/>
        <v>8.0000000000000071</v>
      </c>
      <c r="M2243">
        <f t="shared" si="277"/>
        <v>10.999999999999988</v>
      </c>
      <c r="N2243">
        <f t="shared" si="278"/>
        <v>10.999999999999988</v>
      </c>
      <c r="O2243">
        <f t="shared" si="279"/>
        <v>11.999999999999966</v>
      </c>
      <c r="P2243">
        <f t="shared" si="280"/>
        <v>11.000000000000032</v>
      </c>
      <c r="Q2243">
        <f t="shared" si="281"/>
        <v>11.999999999999966</v>
      </c>
      <c r="R2243">
        <f t="shared" si="282"/>
        <v>11.000000000000032</v>
      </c>
    </row>
    <row r="2244" spans="1:18">
      <c r="A2244" s="9">
        <v>39986</v>
      </c>
      <c r="B2244">
        <v>0.95</v>
      </c>
      <c r="C2244">
        <v>1.62</v>
      </c>
      <c r="D2244">
        <v>2.29</v>
      </c>
      <c r="E2244">
        <v>2.79</v>
      </c>
      <c r="F2244">
        <v>3.16</v>
      </c>
      <c r="G2244">
        <v>3.61</v>
      </c>
      <c r="H2244">
        <v>3.97</v>
      </c>
      <c r="I2244">
        <v>4.33</v>
      </c>
      <c r="K2244">
        <f t="shared" si="275"/>
        <v>-6.0000000000000053</v>
      </c>
      <c r="L2244">
        <f t="shared" si="276"/>
        <v>-11.999999999999989</v>
      </c>
      <c r="M2244">
        <f t="shared" si="277"/>
        <v>-12.999999999999989</v>
      </c>
      <c r="N2244">
        <f t="shared" si="278"/>
        <v>-12.999999999999989</v>
      </c>
      <c r="O2244">
        <f t="shared" si="279"/>
        <v>-11.999999999999966</v>
      </c>
      <c r="P2244">
        <f t="shared" si="280"/>
        <v>-13.000000000000034</v>
      </c>
      <c r="Q2244">
        <f t="shared" si="281"/>
        <v>-12.999999999999945</v>
      </c>
      <c r="R2244">
        <f t="shared" si="282"/>
        <v>-11.000000000000032</v>
      </c>
    </row>
    <row r="2245" spans="1:18">
      <c r="A2245" s="9">
        <v>39987</v>
      </c>
      <c r="B2245">
        <v>0.92</v>
      </c>
      <c r="C2245">
        <v>1.58</v>
      </c>
      <c r="D2245">
        <v>2.23</v>
      </c>
      <c r="E2245">
        <v>2.74</v>
      </c>
      <c r="F2245">
        <v>3.1</v>
      </c>
      <c r="G2245">
        <v>3.56</v>
      </c>
      <c r="H2245">
        <v>3.9</v>
      </c>
      <c r="I2245">
        <v>4.2699999999999996</v>
      </c>
      <c r="K2245">
        <f t="shared" ref="K2245:K2308" si="283">(B2245-B2244)*100</f>
        <v>-2.9999999999999916</v>
      </c>
      <c r="L2245">
        <f t="shared" ref="L2245:L2308" si="284">(C2245-C2244)*100</f>
        <v>-4.0000000000000036</v>
      </c>
      <c r="M2245">
        <f t="shared" ref="M2245:M2308" si="285">(D2245-D2244)*100</f>
        <v>-6.0000000000000053</v>
      </c>
      <c r="N2245">
        <f t="shared" ref="N2245:N2308" si="286">(E2245-E2244)*100</f>
        <v>-4.9999999999999822</v>
      </c>
      <c r="O2245">
        <f t="shared" ref="O2245:O2308" si="287">(F2245-F2244)*100</f>
        <v>-6.0000000000000053</v>
      </c>
      <c r="P2245">
        <f t="shared" ref="P2245:P2308" si="288">(G2245-G2244)*100</f>
        <v>-4.9999999999999822</v>
      </c>
      <c r="Q2245">
        <f t="shared" ref="Q2245:Q2308" si="289">(H2245-H2244)*100</f>
        <v>-7.0000000000000284</v>
      </c>
      <c r="R2245">
        <f t="shared" ref="R2245:R2308" si="290">(I2245-I2244)*100</f>
        <v>-6.0000000000000497</v>
      </c>
    </row>
    <row r="2246" spans="1:18">
      <c r="A2246" s="9">
        <v>39988</v>
      </c>
      <c r="B2246">
        <v>0.93</v>
      </c>
      <c r="C2246">
        <v>1.62</v>
      </c>
      <c r="D2246">
        <v>2.2799999999999998</v>
      </c>
      <c r="E2246">
        <v>2.78</v>
      </c>
      <c r="F2246">
        <v>3.14</v>
      </c>
      <c r="G2246">
        <v>3.59</v>
      </c>
      <c r="H2246">
        <v>3.94</v>
      </c>
      <c r="I2246">
        <v>4.32</v>
      </c>
      <c r="K2246">
        <f t="shared" si="283"/>
        <v>1.0000000000000009</v>
      </c>
      <c r="L2246">
        <f t="shared" si="284"/>
        <v>4.0000000000000036</v>
      </c>
      <c r="M2246">
        <f t="shared" si="285"/>
        <v>4.9999999999999822</v>
      </c>
      <c r="N2246">
        <f t="shared" si="286"/>
        <v>3.9999999999999591</v>
      </c>
      <c r="O2246">
        <f t="shared" si="287"/>
        <v>4.0000000000000036</v>
      </c>
      <c r="P2246">
        <f t="shared" si="288"/>
        <v>2.9999999999999805</v>
      </c>
      <c r="Q2246">
        <f t="shared" si="289"/>
        <v>4.0000000000000036</v>
      </c>
      <c r="R2246">
        <f t="shared" si="290"/>
        <v>5.0000000000000711</v>
      </c>
    </row>
    <row r="2247" spans="1:18">
      <c r="A2247" s="9">
        <v>39989</v>
      </c>
      <c r="B2247">
        <v>0.87</v>
      </c>
      <c r="C2247">
        <v>1.55</v>
      </c>
      <c r="D2247">
        <v>2.2200000000000002</v>
      </c>
      <c r="E2247">
        <v>2.71</v>
      </c>
      <c r="F2247">
        <v>3.08</v>
      </c>
      <c r="G2247">
        <v>3.53</v>
      </c>
      <c r="H2247">
        <v>3.89</v>
      </c>
      <c r="I2247">
        <v>4.25</v>
      </c>
      <c r="K2247">
        <f t="shared" si="283"/>
        <v>-6.0000000000000053</v>
      </c>
      <c r="L2247">
        <f t="shared" si="284"/>
        <v>-7.0000000000000062</v>
      </c>
      <c r="M2247">
        <f t="shared" si="285"/>
        <v>-5.9999999999999609</v>
      </c>
      <c r="N2247">
        <f t="shared" si="286"/>
        <v>-6.999999999999984</v>
      </c>
      <c r="O2247">
        <f t="shared" si="287"/>
        <v>-6.0000000000000053</v>
      </c>
      <c r="P2247">
        <f t="shared" si="288"/>
        <v>-6.0000000000000053</v>
      </c>
      <c r="Q2247">
        <f t="shared" si="289"/>
        <v>-4.9999999999999822</v>
      </c>
      <c r="R2247">
        <f t="shared" si="290"/>
        <v>-7.0000000000000284</v>
      </c>
    </row>
    <row r="2248" spans="1:18">
      <c r="A2248" s="9">
        <v>39990</v>
      </c>
      <c r="B2248">
        <v>0.85</v>
      </c>
      <c r="C2248">
        <v>1.48</v>
      </c>
      <c r="D2248">
        <v>2.1</v>
      </c>
      <c r="E2248">
        <v>2.58</v>
      </c>
      <c r="F2248">
        <v>2.94</v>
      </c>
      <c r="G2248">
        <v>3.39</v>
      </c>
      <c r="H2248">
        <v>3.73</v>
      </c>
      <c r="I2248">
        <v>4.1399999999999997</v>
      </c>
      <c r="K2248">
        <f t="shared" si="283"/>
        <v>-2.0000000000000018</v>
      </c>
      <c r="L2248">
        <f t="shared" si="284"/>
        <v>-7.0000000000000062</v>
      </c>
      <c r="M2248">
        <f t="shared" si="285"/>
        <v>-12.000000000000011</v>
      </c>
      <c r="N2248">
        <f t="shared" si="286"/>
        <v>-12.999999999999989</v>
      </c>
      <c r="O2248">
        <f t="shared" si="287"/>
        <v>-14.000000000000012</v>
      </c>
      <c r="P2248">
        <f t="shared" si="288"/>
        <v>-13.999999999999968</v>
      </c>
      <c r="Q2248">
        <f t="shared" si="289"/>
        <v>-16.000000000000014</v>
      </c>
      <c r="R2248">
        <f t="shared" si="290"/>
        <v>-11.000000000000032</v>
      </c>
    </row>
    <row r="2249" spans="1:18">
      <c r="A2249" s="9">
        <v>39993</v>
      </c>
      <c r="B2249">
        <v>0.88</v>
      </c>
      <c r="C2249">
        <v>1.5</v>
      </c>
      <c r="D2249">
        <v>2.1</v>
      </c>
      <c r="E2249">
        <v>2.57</v>
      </c>
      <c r="F2249">
        <v>2.91</v>
      </c>
      <c r="G2249">
        <v>3.36</v>
      </c>
      <c r="H2249">
        <v>3.71</v>
      </c>
      <c r="I2249">
        <v>4.12</v>
      </c>
      <c r="K2249">
        <f t="shared" si="283"/>
        <v>3.0000000000000027</v>
      </c>
      <c r="L2249">
        <f t="shared" si="284"/>
        <v>2.0000000000000018</v>
      </c>
      <c r="M2249">
        <f t="shared" si="285"/>
        <v>0</v>
      </c>
      <c r="N2249">
        <f t="shared" si="286"/>
        <v>-1.0000000000000231</v>
      </c>
      <c r="O2249">
        <f t="shared" si="287"/>
        <v>-2.9999999999999805</v>
      </c>
      <c r="P2249">
        <f t="shared" si="288"/>
        <v>-3.0000000000000249</v>
      </c>
      <c r="Q2249">
        <f t="shared" si="289"/>
        <v>-2.0000000000000018</v>
      </c>
      <c r="R2249">
        <f t="shared" si="290"/>
        <v>-1.9999999999999574</v>
      </c>
    </row>
    <row r="2250" spans="1:18">
      <c r="A2250" s="9">
        <v>39994</v>
      </c>
      <c r="B2250">
        <v>0.89</v>
      </c>
      <c r="C2250">
        <v>1.54</v>
      </c>
      <c r="D2250">
        <v>2.15</v>
      </c>
      <c r="E2250">
        <v>2.61</v>
      </c>
      <c r="F2250">
        <v>2.96</v>
      </c>
      <c r="G2250">
        <v>3.41</v>
      </c>
      <c r="H2250">
        <v>3.75</v>
      </c>
      <c r="I2250">
        <v>4.17</v>
      </c>
      <c r="K2250">
        <f t="shared" si="283"/>
        <v>1.0000000000000009</v>
      </c>
      <c r="L2250">
        <f t="shared" si="284"/>
        <v>4.0000000000000036</v>
      </c>
      <c r="M2250">
        <f t="shared" si="285"/>
        <v>4.9999999999999822</v>
      </c>
      <c r="N2250">
        <f t="shared" si="286"/>
        <v>4.0000000000000036</v>
      </c>
      <c r="O2250">
        <f t="shared" si="287"/>
        <v>4.9999999999999822</v>
      </c>
      <c r="P2250">
        <f t="shared" si="288"/>
        <v>5.0000000000000266</v>
      </c>
      <c r="Q2250">
        <f t="shared" si="289"/>
        <v>4.0000000000000036</v>
      </c>
      <c r="R2250">
        <f t="shared" si="290"/>
        <v>4.9999999999999822</v>
      </c>
    </row>
    <row r="2251" spans="1:18">
      <c r="A2251" s="9">
        <v>39995</v>
      </c>
      <c r="B2251">
        <v>0.85</v>
      </c>
      <c r="C2251">
        <v>1.51</v>
      </c>
      <c r="D2251">
        <v>2.15</v>
      </c>
      <c r="E2251">
        <v>2.61</v>
      </c>
      <c r="F2251">
        <v>2.99</v>
      </c>
      <c r="G2251">
        <v>3.47</v>
      </c>
      <c r="H2251">
        <v>3.84</v>
      </c>
      <c r="I2251">
        <v>4.25</v>
      </c>
      <c r="K2251">
        <f t="shared" si="283"/>
        <v>-4.0000000000000036</v>
      </c>
      <c r="L2251">
        <f t="shared" si="284"/>
        <v>-3.0000000000000027</v>
      </c>
      <c r="M2251">
        <f t="shared" si="285"/>
        <v>0</v>
      </c>
      <c r="N2251">
        <f t="shared" si="286"/>
        <v>0</v>
      </c>
      <c r="O2251">
        <f t="shared" si="287"/>
        <v>3.0000000000000249</v>
      </c>
      <c r="P2251">
        <f t="shared" si="288"/>
        <v>6.0000000000000053</v>
      </c>
      <c r="Q2251">
        <f t="shared" si="289"/>
        <v>8.9999999999999858</v>
      </c>
      <c r="R2251">
        <f t="shared" si="290"/>
        <v>8.0000000000000071</v>
      </c>
    </row>
    <row r="2252" spans="1:18">
      <c r="A2252" s="9">
        <v>39996</v>
      </c>
      <c r="B2252">
        <v>0.8</v>
      </c>
      <c r="C2252">
        <v>1.39</v>
      </c>
      <c r="D2252">
        <v>2</v>
      </c>
      <c r="E2252">
        <v>2.48</v>
      </c>
      <c r="F2252">
        <v>2.85</v>
      </c>
      <c r="G2252">
        <v>3.33</v>
      </c>
      <c r="H2252">
        <v>3.72</v>
      </c>
      <c r="I2252">
        <v>4.16</v>
      </c>
      <c r="K2252">
        <f t="shared" si="283"/>
        <v>-4.9999999999999929</v>
      </c>
      <c r="L2252">
        <f t="shared" si="284"/>
        <v>-12.000000000000011</v>
      </c>
      <c r="M2252">
        <f t="shared" si="285"/>
        <v>-14.999999999999991</v>
      </c>
      <c r="N2252">
        <f t="shared" si="286"/>
        <v>-12.999999999999989</v>
      </c>
      <c r="O2252">
        <f t="shared" si="287"/>
        <v>-14.000000000000012</v>
      </c>
      <c r="P2252">
        <f t="shared" si="288"/>
        <v>-14.000000000000012</v>
      </c>
      <c r="Q2252">
        <f t="shared" si="289"/>
        <v>-11.999999999999966</v>
      </c>
      <c r="R2252">
        <f t="shared" si="290"/>
        <v>-8.9999999999999858</v>
      </c>
    </row>
    <row r="2253" spans="1:18">
      <c r="A2253" s="9">
        <v>40000</v>
      </c>
      <c r="B2253">
        <v>0.77</v>
      </c>
      <c r="C2253">
        <v>1.34</v>
      </c>
      <c r="D2253">
        <v>1.96</v>
      </c>
      <c r="E2253">
        <v>2.4500000000000002</v>
      </c>
      <c r="F2253">
        <v>2.82</v>
      </c>
      <c r="G2253">
        <v>3.33</v>
      </c>
      <c r="H2253">
        <v>3.73</v>
      </c>
      <c r="I2253">
        <v>4.1900000000000004</v>
      </c>
      <c r="K2253">
        <f t="shared" si="283"/>
        <v>-3.0000000000000027</v>
      </c>
      <c r="L2253">
        <f t="shared" si="284"/>
        <v>-4.9999999999999822</v>
      </c>
      <c r="M2253">
        <f t="shared" si="285"/>
        <v>-4.0000000000000036</v>
      </c>
      <c r="N2253">
        <f t="shared" si="286"/>
        <v>-2.9999999999999805</v>
      </c>
      <c r="O2253">
        <f t="shared" si="287"/>
        <v>-3.0000000000000249</v>
      </c>
      <c r="P2253">
        <f t="shared" si="288"/>
        <v>0</v>
      </c>
      <c r="Q2253">
        <f t="shared" si="289"/>
        <v>0.99999999999997868</v>
      </c>
      <c r="R2253">
        <f t="shared" si="290"/>
        <v>3.0000000000000249</v>
      </c>
    </row>
    <row r="2254" spans="1:18">
      <c r="A2254" s="9">
        <v>40001</v>
      </c>
      <c r="B2254">
        <v>0.77</v>
      </c>
      <c r="C2254">
        <v>1.33</v>
      </c>
      <c r="D2254">
        <v>1.93</v>
      </c>
      <c r="E2254">
        <v>2.42</v>
      </c>
      <c r="F2254">
        <v>2.79</v>
      </c>
      <c r="G2254">
        <v>3.28</v>
      </c>
      <c r="H2254">
        <v>3.69</v>
      </c>
      <c r="I2254">
        <v>4.16</v>
      </c>
      <c r="K2254">
        <f t="shared" si="283"/>
        <v>0</v>
      </c>
      <c r="L2254">
        <f t="shared" si="284"/>
        <v>-1.0000000000000009</v>
      </c>
      <c r="M2254">
        <f t="shared" si="285"/>
        <v>-3.0000000000000027</v>
      </c>
      <c r="N2254">
        <f t="shared" si="286"/>
        <v>-3.0000000000000249</v>
      </c>
      <c r="O2254">
        <f t="shared" si="287"/>
        <v>-2.9999999999999805</v>
      </c>
      <c r="P2254">
        <f t="shared" si="288"/>
        <v>-5.0000000000000266</v>
      </c>
      <c r="Q2254">
        <f t="shared" si="289"/>
        <v>-4.0000000000000036</v>
      </c>
      <c r="R2254">
        <f t="shared" si="290"/>
        <v>-3.0000000000000249</v>
      </c>
    </row>
    <row r="2255" spans="1:18">
      <c r="A2255" s="9">
        <v>40002</v>
      </c>
      <c r="B2255">
        <v>0.76</v>
      </c>
      <c r="C2255">
        <v>1.32</v>
      </c>
      <c r="D2255">
        <v>1.91</v>
      </c>
      <c r="E2255">
        <v>2.38</v>
      </c>
      <c r="F2255">
        <v>2.73</v>
      </c>
      <c r="G2255">
        <v>3.21</v>
      </c>
      <c r="H2255">
        <v>3.59</v>
      </c>
      <c r="I2255">
        <v>4.05</v>
      </c>
      <c r="K2255">
        <f t="shared" si="283"/>
        <v>-1.0000000000000009</v>
      </c>
      <c r="L2255">
        <f t="shared" si="284"/>
        <v>-1.0000000000000009</v>
      </c>
      <c r="M2255">
        <f t="shared" si="285"/>
        <v>-2.0000000000000018</v>
      </c>
      <c r="N2255">
        <f t="shared" si="286"/>
        <v>-4.0000000000000036</v>
      </c>
      <c r="O2255">
        <f t="shared" si="287"/>
        <v>-6.0000000000000053</v>
      </c>
      <c r="P2255">
        <f t="shared" si="288"/>
        <v>-6.999999999999984</v>
      </c>
      <c r="Q2255">
        <f t="shared" si="289"/>
        <v>-10.000000000000009</v>
      </c>
      <c r="R2255">
        <f t="shared" si="290"/>
        <v>-11.000000000000032</v>
      </c>
    </row>
    <row r="2256" spans="1:18">
      <c r="A2256" s="9">
        <v>40003</v>
      </c>
      <c r="B2256">
        <v>0.74</v>
      </c>
      <c r="C2256">
        <v>1.29</v>
      </c>
      <c r="D2256">
        <v>1.88</v>
      </c>
      <c r="E2256">
        <v>2.34</v>
      </c>
      <c r="F2256">
        <v>2.7</v>
      </c>
      <c r="G2256">
        <v>3.17</v>
      </c>
      <c r="H2256">
        <v>3.56</v>
      </c>
      <c r="I2256">
        <v>4.0199999999999996</v>
      </c>
      <c r="K2256">
        <f t="shared" si="283"/>
        <v>-2.0000000000000018</v>
      </c>
      <c r="L2256">
        <f t="shared" si="284"/>
        <v>-3.0000000000000027</v>
      </c>
      <c r="M2256">
        <f t="shared" si="285"/>
        <v>-3.0000000000000027</v>
      </c>
      <c r="N2256">
        <f t="shared" si="286"/>
        <v>-4.0000000000000036</v>
      </c>
      <c r="O2256">
        <f t="shared" si="287"/>
        <v>-2.9999999999999805</v>
      </c>
      <c r="P2256">
        <f t="shared" si="288"/>
        <v>-4.0000000000000036</v>
      </c>
      <c r="Q2256">
        <f t="shared" si="289"/>
        <v>-2.9999999999999805</v>
      </c>
      <c r="R2256">
        <f t="shared" si="290"/>
        <v>-3.0000000000000249</v>
      </c>
    </row>
    <row r="2257" spans="1:18">
      <c r="A2257" s="9">
        <v>40004</v>
      </c>
      <c r="B2257">
        <v>0.72</v>
      </c>
      <c r="C2257">
        <v>1.26</v>
      </c>
      <c r="D2257">
        <v>1.83</v>
      </c>
      <c r="E2257">
        <v>2.27</v>
      </c>
      <c r="F2257">
        <v>2.61</v>
      </c>
      <c r="G2257">
        <v>3.07</v>
      </c>
      <c r="H2257">
        <v>3.44</v>
      </c>
      <c r="I2257">
        <v>3.93</v>
      </c>
      <c r="K2257">
        <f t="shared" si="283"/>
        <v>-2.0000000000000018</v>
      </c>
      <c r="L2257">
        <f t="shared" si="284"/>
        <v>-3.0000000000000027</v>
      </c>
      <c r="M2257">
        <f t="shared" si="285"/>
        <v>-4.9999999999999822</v>
      </c>
      <c r="N2257">
        <f t="shared" si="286"/>
        <v>-6.999999999999984</v>
      </c>
      <c r="O2257">
        <f t="shared" si="287"/>
        <v>-9.0000000000000302</v>
      </c>
      <c r="P2257">
        <f t="shared" si="288"/>
        <v>-10.000000000000009</v>
      </c>
      <c r="Q2257">
        <f t="shared" si="289"/>
        <v>-12.000000000000011</v>
      </c>
      <c r="R2257">
        <f t="shared" si="290"/>
        <v>-8.9999999999999414</v>
      </c>
    </row>
    <row r="2258" spans="1:18">
      <c r="A2258" s="9">
        <v>40007</v>
      </c>
      <c r="B2258">
        <v>0.76</v>
      </c>
      <c r="C2258">
        <v>1.3</v>
      </c>
      <c r="D2258">
        <v>1.88</v>
      </c>
      <c r="E2258">
        <v>2.3199999999999998</v>
      </c>
      <c r="F2258">
        <v>2.66</v>
      </c>
      <c r="G2258">
        <v>3.13</v>
      </c>
      <c r="H2258">
        <v>3.5</v>
      </c>
      <c r="I2258">
        <v>3.96</v>
      </c>
      <c r="K2258">
        <f t="shared" si="283"/>
        <v>4.0000000000000036</v>
      </c>
      <c r="L2258">
        <f t="shared" si="284"/>
        <v>4.0000000000000036</v>
      </c>
      <c r="M2258">
        <f t="shared" si="285"/>
        <v>4.9999999999999822</v>
      </c>
      <c r="N2258">
        <f t="shared" si="286"/>
        <v>4.9999999999999822</v>
      </c>
      <c r="O2258">
        <f t="shared" si="287"/>
        <v>5.0000000000000266</v>
      </c>
      <c r="P2258">
        <f t="shared" si="288"/>
        <v>6.0000000000000053</v>
      </c>
      <c r="Q2258">
        <f t="shared" si="289"/>
        <v>6.0000000000000053</v>
      </c>
      <c r="R2258">
        <f t="shared" si="290"/>
        <v>2.9999999999999805</v>
      </c>
    </row>
    <row r="2259" spans="1:18">
      <c r="A2259" s="9">
        <v>40008</v>
      </c>
      <c r="B2259">
        <v>0.79</v>
      </c>
      <c r="C2259">
        <v>1.37</v>
      </c>
      <c r="D2259">
        <v>1.97</v>
      </c>
      <c r="E2259">
        <v>2.4300000000000002</v>
      </c>
      <c r="F2259">
        <v>2.78</v>
      </c>
      <c r="G2259">
        <v>3.26</v>
      </c>
      <c r="H2259">
        <v>3.63</v>
      </c>
      <c r="I2259">
        <v>4.09</v>
      </c>
      <c r="K2259">
        <f t="shared" si="283"/>
        <v>3.0000000000000027</v>
      </c>
      <c r="L2259">
        <f t="shared" si="284"/>
        <v>7.0000000000000062</v>
      </c>
      <c r="M2259">
        <f t="shared" si="285"/>
        <v>9.0000000000000071</v>
      </c>
      <c r="N2259">
        <f t="shared" si="286"/>
        <v>11.000000000000032</v>
      </c>
      <c r="O2259">
        <f t="shared" si="287"/>
        <v>11.999999999999966</v>
      </c>
      <c r="P2259">
        <f t="shared" si="288"/>
        <v>12.999999999999989</v>
      </c>
      <c r="Q2259">
        <f t="shared" si="289"/>
        <v>12.999999999999989</v>
      </c>
      <c r="R2259">
        <f t="shared" si="290"/>
        <v>12.999999999999989</v>
      </c>
    </row>
    <row r="2260" spans="1:18">
      <c r="A2260" s="9">
        <v>40009</v>
      </c>
      <c r="B2260">
        <v>0.82</v>
      </c>
      <c r="C2260">
        <v>1.43</v>
      </c>
      <c r="D2260">
        <v>2.0499999999999998</v>
      </c>
      <c r="E2260">
        <v>2.5499999999999998</v>
      </c>
      <c r="F2260">
        <v>2.91</v>
      </c>
      <c r="G2260">
        <v>3.4</v>
      </c>
      <c r="H2260">
        <v>3.78</v>
      </c>
      <c r="I2260">
        <v>4.24</v>
      </c>
      <c r="K2260">
        <f t="shared" si="283"/>
        <v>2.9999999999999916</v>
      </c>
      <c r="L2260">
        <f t="shared" si="284"/>
        <v>5.9999999999999831</v>
      </c>
      <c r="M2260">
        <f t="shared" si="285"/>
        <v>7.9999999999999849</v>
      </c>
      <c r="N2260">
        <f t="shared" si="286"/>
        <v>11.999999999999966</v>
      </c>
      <c r="O2260">
        <f t="shared" si="287"/>
        <v>13.000000000000034</v>
      </c>
      <c r="P2260">
        <f t="shared" si="288"/>
        <v>14.000000000000012</v>
      </c>
      <c r="Q2260">
        <f t="shared" si="289"/>
        <v>14.999999999999991</v>
      </c>
      <c r="R2260">
        <f t="shared" si="290"/>
        <v>15.000000000000036</v>
      </c>
    </row>
    <row r="2261" spans="1:18">
      <c r="A2261" s="9">
        <v>40010</v>
      </c>
      <c r="B2261">
        <v>0.78</v>
      </c>
      <c r="C2261">
        <v>1.4</v>
      </c>
      <c r="D2261">
        <v>2.0299999999999998</v>
      </c>
      <c r="E2261">
        <v>2.52</v>
      </c>
      <c r="F2261">
        <v>2.89</v>
      </c>
      <c r="G2261">
        <v>3.38</v>
      </c>
      <c r="H2261">
        <v>3.76</v>
      </c>
      <c r="I2261">
        <v>4.21</v>
      </c>
      <c r="K2261">
        <f t="shared" si="283"/>
        <v>-3.9999999999999925</v>
      </c>
      <c r="L2261">
        <f t="shared" si="284"/>
        <v>-3.0000000000000027</v>
      </c>
      <c r="M2261">
        <f t="shared" si="285"/>
        <v>-2.0000000000000018</v>
      </c>
      <c r="N2261">
        <f t="shared" si="286"/>
        <v>-2.9999999999999805</v>
      </c>
      <c r="O2261">
        <f t="shared" si="287"/>
        <v>-2.0000000000000018</v>
      </c>
      <c r="P2261">
        <f t="shared" si="288"/>
        <v>-2.0000000000000018</v>
      </c>
      <c r="Q2261">
        <f t="shared" si="289"/>
        <v>-2.0000000000000018</v>
      </c>
      <c r="R2261">
        <f t="shared" si="290"/>
        <v>-3.0000000000000249</v>
      </c>
    </row>
    <row r="2262" spans="1:18">
      <c r="A2262" s="9">
        <v>40011</v>
      </c>
      <c r="B2262">
        <v>0.79</v>
      </c>
      <c r="C2262">
        <v>1.46</v>
      </c>
      <c r="D2262">
        <v>2.12</v>
      </c>
      <c r="E2262">
        <v>2.62</v>
      </c>
      <c r="F2262">
        <v>3</v>
      </c>
      <c r="G2262">
        <v>3.48</v>
      </c>
      <c r="H2262">
        <v>3.86</v>
      </c>
      <c r="I2262">
        <v>4.3099999999999996</v>
      </c>
      <c r="K2262">
        <f t="shared" si="283"/>
        <v>1.0000000000000009</v>
      </c>
      <c r="L2262">
        <f t="shared" si="284"/>
        <v>6.0000000000000053</v>
      </c>
      <c r="M2262">
        <f t="shared" si="285"/>
        <v>9.0000000000000302</v>
      </c>
      <c r="N2262">
        <f t="shared" si="286"/>
        <v>10.000000000000009</v>
      </c>
      <c r="O2262">
        <f t="shared" si="287"/>
        <v>10.999999999999988</v>
      </c>
      <c r="P2262">
        <f t="shared" si="288"/>
        <v>10.000000000000009</v>
      </c>
      <c r="Q2262">
        <f t="shared" si="289"/>
        <v>10.000000000000009</v>
      </c>
      <c r="R2262">
        <f t="shared" si="290"/>
        <v>9.9999999999999645</v>
      </c>
    </row>
    <row r="2263" spans="1:18">
      <c r="A2263" s="9">
        <v>40014</v>
      </c>
      <c r="B2263">
        <v>0.81</v>
      </c>
      <c r="C2263">
        <v>1.49</v>
      </c>
      <c r="D2263">
        <v>2.15</v>
      </c>
      <c r="E2263">
        <v>2.65</v>
      </c>
      <c r="F2263">
        <v>3.02</v>
      </c>
      <c r="G2263">
        <v>3.51</v>
      </c>
      <c r="H2263">
        <v>3.9</v>
      </c>
      <c r="I2263">
        <v>4.3499999999999996</v>
      </c>
      <c r="K2263">
        <f t="shared" si="283"/>
        <v>2.0000000000000018</v>
      </c>
      <c r="L2263">
        <f t="shared" si="284"/>
        <v>3.0000000000000027</v>
      </c>
      <c r="M2263">
        <f t="shared" si="285"/>
        <v>2.9999999999999805</v>
      </c>
      <c r="N2263">
        <f t="shared" si="286"/>
        <v>2.9999999999999805</v>
      </c>
      <c r="O2263">
        <f t="shared" si="287"/>
        <v>2.0000000000000018</v>
      </c>
      <c r="P2263">
        <f t="shared" si="288"/>
        <v>2.9999999999999805</v>
      </c>
      <c r="Q2263">
        <f t="shared" si="289"/>
        <v>4.0000000000000036</v>
      </c>
      <c r="R2263">
        <f t="shared" si="290"/>
        <v>4.0000000000000036</v>
      </c>
    </row>
    <row r="2264" spans="1:18">
      <c r="A2264" s="9">
        <v>40015</v>
      </c>
      <c r="B2264">
        <v>0.74</v>
      </c>
      <c r="C2264">
        <v>1.36</v>
      </c>
      <c r="D2264">
        <v>1.98</v>
      </c>
      <c r="E2264">
        <v>2.4700000000000002</v>
      </c>
      <c r="F2264">
        <v>2.83</v>
      </c>
      <c r="G2264">
        <v>3.33</v>
      </c>
      <c r="H2264">
        <v>3.72</v>
      </c>
      <c r="I2264">
        <v>4.1900000000000004</v>
      </c>
      <c r="K2264">
        <f t="shared" si="283"/>
        <v>-7.0000000000000062</v>
      </c>
      <c r="L2264">
        <f t="shared" si="284"/>
        <v>-12.999999999999989</v>
      </c>
      <c r="M2264">
        <f t="shared" si="285"/>
        <v>-16.999999999999993</v>
      </c>
      <c r="N2264">
        <f t="shared" si="286"/>
        <v>-17.999999999999972</v>
      </c>
      <c r="O2264">
        <f t="shared" si="287"/>
        <v>-18.999999999999993</v>
      </c>
      <c r="P2264">
        <f t="shared" si="288"/>
        <v>-17.999999999999972</v>
      </c>
      <c r="Q2264">
        <f t="shared" si="289"/>
        <v>-17.999999999999972</v>
      </c>
      <c r="R2264">
        <f t="shared" si="290"/>
        <v>-15.999999999999925</v>
      </c>
    </row>
    <row r="2265" spans="1:18">
      <c r="A2265" s="9">
        <v>40016</v>
      </c>
      <c r="B2265">
        <v>0.75</v>
      </c>
      <c r="C2265">
        <v>1.35</v>
      </c>
      <c r="D2265">
        <v>1.97</v>
      </c>
      <c r="E2265">
        <v>2.4700000000000002</v>
      </c>
      <c r="F2265">
        <v>2.82</v>
      </c>
      <c r="G2265">
        <v>3.32</v>
      </c>
      <c r="H2265">
        <v>3.7</v>
      </c>
      <c r="I2265">
        <v>4.18</v>
      </c>
      <c r="K2265">
        <f t="shared" si="283"/>
        <v>1.0000000000000009</v>
      </c>
      <c r="L2265">
        <f t="shared" si="284"/>
        <v>-1.0000000000000009</v>
      </c>
      <c r="M2265">
        <f t="shared" si="285"/>
        <v>-1.0000000000000009</v>
      </c>
      <c r="N2265">
        <f t="shared" si="286"/>
        <v>0</v>
      </c>
      <c r="O2265">
        <f t="shared" si="287"/>
        <v>-1.0000000000000231</v>
      </c>
      <c r="P2265">
        <f t="shared" si="288"/>
        <v>-1.0000000000000231</v>
      </c>
      <c r="Q2265">
        <f t="shared" si="289"/>
        <v>-2.0000000000000018</v>
      </c>
      <c r="R2265">
        <f t="shared" si="290"/>
        <v>-1.0000000000000675</v>
      </c>
    </row>
    <row r="2266" spans="1:18">
      <c r="A2266" s="9">
        <v>40017</v>
      </c>
      <c r="B2266">
        <v>0.79</v>
      </c>
      <c r="C2266">
        <v>1.44</v>
      </c>
      <c r="D2266">
        <v>2.08</v>
      </c>
      <c r="E2266">
        <v>2.58</v>
      </c>
      <c r="F2266">
        <v>2.95</v>
      </c>
      <c r="G2266">
        <v>3.45</v>
      </c>
      <c r="H2266">
        <v>3.83</v>
      </c>
      <c r="I2266">
        <v>4.28</v>
      </c>
      <c r="K2266">
        <f t="shared" si="283"/>
        <v>4.0000000000000036</v>
      </c>
      <c r="L2266">
        <f t="shared" si="284"/>
        <v>8.9999999999999858</v>
      </c>
      <c r="M2266">
        <f t="shared" si="285"/>
        <v>11.000000000000011</v>
      </c>
      <c r="N2266">
        <f t="shared" si="286"/>
        <v>10.999999999999988</v>
      </c>
      <c r="O2266">
        <f t="shared" si="287"/>
        <v>13.000000000000034</v>
      </c>
      <c r="P2266">
        <f t="shared" si="288"/>
        <v>13.000000000000034</v>
      </c>
      <c r="Q2266">
        <f t="shared" si="289"/>
        <v>12.999999999999989</v>
      </c>
      <c r="R2266">
        <f t="shared" si="290"/>
        <v>10.000000000000053</v>
      </c>
    </row>
    <row r="2267" spans="1:18">
      <c r="A2267" s="9">
        <v>40018</v>
      </c>
      <c r="B2267">
        <v>0.79</v>
      </c>
      <c r="C2267">
        <v>1.44</v>
      </c>
      <c r="D2267">
        <v>2.09</v>
      </c>
      <c r="E2267">
        <v>2.61</v>
      </c>
      <c r="F2267">
        <v>3</v>
      </c>
      <c r="G2267">
        <v>3.5</v>
      </c>
      <c r="H2267">
        <v>3.9</v>
      </c>
      <c r="I2267">
        <v>4.3600000000000003</v>
      </c>
      <c r="K2267">
        <f t="shared" si="283"/>
        <v>0</v>
      </c>
      <c r="L2267">
        <f t="shared" si="284"/>
        <v>0</v>
      </c>
      <c r="M2267">
        <f t="shared" si="285"/>
        <v>0.99999999999997868</v>
      </c>
      <c r="N2267">
        <f t="shared" si="286"/>
        <v>2.9999999999999805</v>
      </c>
      <c r="O2267">
        <f t="shared" si="287"/>
        <v>4.9999999999999822</v>
      </c>
      <c r="P2267">
        <f t="shared" si="288"/>
        <v>4.9999999999999822</v>
      </c>
      <c r="Q2267">
        <f t="shared" si="289"/>
        <v>6.999999999999984</v>
      </c>
      <c r="R2267">
        <f t="shared" si="290"/>
        <v>8.0000000000000071</v>
      </c>
    </row>
    <row r="2268" spans="1:18">
      <c r="A2268" s="9">
        <v>40021</v>
      </c>
      <c r="B2268">
        <v>0.8</v>
      </c>
      <c r="C2268">
        <v>1.49</v>
      </c>
      <c r="D2268">
        <v>2.14</v>
      </c>
      <c r="E2268">
        <v>2.66</v>
      </c>
      <c r="F2268">
        <v>3.04</v>
      </c>
      <c r="G2268">
        <v>3.57</v>
      </c>
      <c r="H2268">
        <v>3.95</v>
      </c>
      <c r="I2268">
        <v>4.42</v>
      </c>
      <c r="K2268">
        <f t="shared" si="283"/>
        <v>1.0000000000000009</v>
      </c>
      <c r="L2268">
        <f t="shared" si="284"/>
        <v>5.0000000000000044</v>
      </c>
      <c r="M2268">
        <f t="shared" si="285"/>
        <v>5.0000000000000266</v>
      </c>
      <c r="N2268">
        <f t="shared" si="286"/>
        <v>5.0000000000000266</v>
      </c>
      <c r="O2268">
        <f t="shared" si="287"/>
        <v>4.0000000000000036</v>
      </c>
      <c r="P2268">
        <f t="shared" si="288"/>
        <v>6.999999999999984</v>
      </c>
      <c r="Q2268">
        <f t="shared" si="289"/>
        <v>5.0000000000000266</v>
      </c>
      <c r="R2268">
        <f t="shared" si="290"/>
        <v>5.9999999999999609</v>
      </c>
    </row>
    <row r="2269" spans="1:18">
      <c r="A2269" s="9">
        <v>40022</v>
      </c>
      <c r="B2269">
        <v>0.78</v>
      </c>
      <c r="C2269">
        <v>1.44</v>
      </c>
      <c r="D2269">
        <v>2.08</v>
      </c>
      <c r="E2269">
        <v>2.6</v>
      </c>
      <c r="F2269">
        <v>2.97</v>
      </c>
      <c r="G2269">
        <v>3.48</v>
      </c>
      <c r="H2269">
        <v>3.9</v>
      </c>
      <c r="I2269">
        <v>4.3600000000000003</v>
      </c>
      <c r="K2269">
        <f t="shared" si="283"/>
        <v>-2.0000000000000018</v>
      </c>
      <c r="L2269">
        <f t="shared" si="284"/>
        <v>-5.0000000000000044</v>
      </c>
      <c r="M2269">
        <f t="shared" si="285"/>
        <v>-6.0000000000000053</v>
      </c>
      <c r="N2269">
        <f t="shared" si="286"/>
        <v>-6.0000000000000053</v>
      </c>
      <c r="O2269">
        <f t="shared" si="287"/>
        <v>-6.999999999999984</v>
      </c>
      <c r="P2269">
        <f t="shared" si="288"/>
        <v>-8.9999999999999858</v>
      </c>
      <c r="Q2269">
        <f t="shared" si="289"/>
        <v>-5.0000000000000266</v>
      </c>
      <c r="R2269">
        <f t="shared" si="290"/>
        <v>-5.9999999999999609</v>
      </c>
    </row>
    <row r="2270" spans="1:18">
      <c r="A2270" s="9">
        <v>40023</v>
      </c>
      <c r="B2270">
        <v>0.79</v>
      </c>
      <c r="C2270">
        <v>1.49</v>
      </c>
      <c r="D2270">
        <v>2.13</v>
      </c>
      <c r="E2270">
        <v>2.62</v>
      </c>
      <c r="F2270">
        <v>2.99</v>
      </c>
      <c r="G2270">
        <v>3.47</v>
      </c>
      <c r="H2270">
        <v>3.85</v>
      </c>
      <c r="I2270">
        <v>4.3099999999999996</v>
      </c>
      <c r="K2270">
        <f t="shared" si="283"/>
        <v>1.0000000000000009</v>
      </c>
      <c r="L2270">
        <f t="shared" si="284"/>
        <v>5.0000000000000044</v>
      </c>
      <c r="M2270">
        <f t="shared" si="285"/>
        <v>4.9999999999999822</v>
      </c>
      <c r="N2270">
        <f t="shared" si="286"/>
        <v>2.0000000000000018</v>
      </c>
      <c r="O2270">
        <f t="shared" si="287"/>
        <v>2.0000000000000018</v>
      </c>
      <c r="P2270">
        <f t="shared" si="288"/>
        <v>-0.99999999999997868</v>
      </c>
      <c r="Q2270">
        <f t="shared" si="289"/>
        <v>-4.9999999999999822</v>
      </c>
      <c r="R2270">
        <f t="shared" si="290"/>
        <v>-5.0000000000000711</v>
      </c>
    </row>
    <row r="2271" spans="1:18">
      <c r="A2271" s="9">
        <v>40024</v>
      </c>
      <c r="B2271">
        <v>0.83</v>
      </c>
      <c r="C2271">
        <v>1.58</v>
      </c>
      <c r="D2271">
        <v>2.2200000000000002</v>
      </c>
      <c r="E2271">
        <v>2.72</v>
      </c>
      <c r="F2271">
        <v>3.09</v>
      </c>
      <c r="G2271">
        <v>3.58</v>
      </c>
      <c r="H2271">
        <v>3.96</v>
      </c>
      <c r="I2271">
        <v>4.4000000000000004</v>
      </c>
      <c r="K2271">
        <f t="shared" si="283"/>
        <v>3.9999999999999925</v>
      </c>
      <c r="L2271">
        <f t="shared" si="284"/>
        <v>9.0000000000000071</v>
      </c>
      <c r="M2271">
        <f t="shared" si="285"/>
        <v>9.0000000000000302</v>
      </c>
      <c r="N2271">
        <f t="shared" si="286"/>
        <v>10.000000000000009</v>
      </c>
      <c r="O2271">
        <f t="shared" si="287"/>
        <v>9.9999999999999645</v>
      </c>
      <c r="P2271">
        <f t="shared" si="288"/>
        <v>10.999999999999988</v>
      </c>
      <c r="Q2271">
        <f t="shared" si="289"/>
        <v>10.999999999999988</v>
      </c>
      <c r="R2271">
        <f t="shared" si="290"/>
        <v>9.0000000000000746</v>
      </c>
    </row>
    <row r="2272" spans="1:18">
      <c r="A2272" s="9">
        <v>40025</v>
      </c>
      <c r="B2272">
        <v>0.8</v>
      </c>
      <c r="C2272">
        <v>1.51</v>
      </c>
      <c r="D2272">
        <v>2.14</v>
      </c>
      <c r="E2272">
        <v>2.61</v>
      </c>
      <c r="F2272">
        <v>2.95</v>
      </c>
      <c r="G2272">
        <v>3.43</v>
      </c>
      <c r="H2272">
        <v>3.81</v>
      </c>
      <c r="I2272">
        <v>4.26</v>
      </c>
      <c r="K2272">
        <f t="shared" si="283"/>
        <v>-2.9999999999999916</v>
      </c>
      <c r="L2272">
        <f t="shared" si="284"/>
        <v>-7.0000000000000062</v>
      </c>
      <c r="M2272">
        <f t="shared" si="285"/>
        <v>-8.0000000000000071</v>
      </c>
      <c r="N2272">
        <f t="shared" si="286"/>
        <v>-11.000000000000032</v>
      </c>
      <c r="O2272">
        <f t="shared" si="287"/>
        <v>-13.999999999999968</v>
      </c>
      <c r="P2272">
        <f t="shared" si="288"/>
        <v>-14.999999999999991</v>
      </c>
      <c r="Q2272">
        <f t="shared" si="289"/>
        <v>-14.999999999999991</v>
      </c>
      <c r="R2272">
        <f t="shared" si="290"/>
        <v>-14.000000000000057</v>
      </c>
    </row>
    <row r="2273" spans="1:18">
      <c r="A2273" s="9">
        <v>40028</v>
      </c>
      <c r="B2273">
        <v>0.84</v>
      </c>
      <c r="C2273">
        <v>1.59</v>
      </c>
      <c r="D2273">
        <v>2.2400000000000002</v>
      </c>
      <c r="E2273">
        <v>2.71</v>
      </c>
      <c r="F2273">
        <v>3.07</v>
      </c>
      <c r="G2273">
        <v>3.54</v>
      </c>
      <c r="H2273">
        <v>3.9</v>
      </c>
      <c r="I2273">
        <v>4.32</v>
      </c>
      <c r="K2273">
        <f t="shared" si="283"/>
        <v>3.9999999999999925</v>
      </c>
      <c r="L2273">
        <f t="shared" si="284"/>
        <v>8.0000000000000071</v>
      </c>
      <c r="M2273">
        <f t="shared" si="285"/>
        <v>10.000000000000009</v>
      </c>
      <c r="N2273">
        <f t="shared" si="286"/>
        <v>10.000000000000009</v>
      </c>
      <c r="O2273">
        <f t="shared" si="287"/>
        <v>11.999999999999966</v>
      </c>
      <c r="P2273">
        <f t="shared" si="288"/>
        <v>10.999999999999988</v>
      </c>
      <c r="Q2273">
        <f t="shared" si="289"/>
        <v>8.9999999999999858</v>
      </c>
      <c r="R2273">
        <f t="shared" si="290"/>
        <v>6.0000000000000497</v>
      </c>
    </row>
    <row r="2274" spans="1:18">
      <c r="A2274" s="9">
        <v>40029</v>
      </c>
      <c r="B2274">
        <v>0.82</v>
      </c>
      <c r="C2274">
        <v>1.61</v>
      </c>
      <c r="D2274">
        <v>2.2599999999999998</v>
      </c>
      <c r="E2274">
        <v>2.72</v>
      </c>
      <c r="F2274">
        <v>3.09</v>
      </c>
      <c r="G2274">
        <v>3.57</v>
      </c>
      <c r="H2274">
        <v>3.93</v>
      </c>
      <c r="I2274">
        <v>4.3499999999999996</v>
      </c>
      <c r="K2274">
        <f t="shared" si="283"/>
        <v>-2.0000000000000018</v>
      </c>
      <c r="L2274">
        <f t="shared" si="284"/>
        <v>2.0000000000000018</v>
      </c>
      <c r="M2274">
        <f t="shared" si="285"/>
        <v>1.9999999999999574</v>
      </c>
      <c r="N2274">
        <f t="shared" si="286"/>
        <v>1.0000000000000231</v>
      </c>
      <c r="O2274">
        <f t="shared" si="287"/>
        <v>2.0000000000000018</v>
      </c>
      <c r="P2274">
        <f t="shared" si="288"/>
        <v>2.9999999999999805</v>
      </c>
      <c r="Q2274">
        <f t="shared" si="289"/>
        <v>3.0000000000000249</v>
      </c>
      <c r="R2274">
        <f t="shared" si="290"/>
        <v>2.9999999999999361</v>
      </c>
    </row>
    <row r="2275" spans="1:18">
      <c r="A2275" s="9">
        <v>40030</v>
      </c>
      <c r="B2275">
        <v>0.84</v>
      </c>
      <c r="C2275">
        <v>1.6</v>
      </c>
      <c r="D2275">
        <v>2.2200000000000002</v>
      </c>
      <c r="E2275">
        <v>2.69</v>
      </c>
      <c r="F2275">
        <v>3.05</v>
      </c>
      <c r="G2275">
        <v>3.53</v>
      </c>
      <c r="H2275">
        <v>3.92</v>
      </c>
      <c r="I2275">
        <v>4.3600000000000003</v>
      </c>
      <c r="K2275">
        <f t="shared" si="283"/>
        <v>2.0000000000000018</v>
      </c>
      <c r="L2275">
        <f t="shared" si="284"/>
        <v>-1.0000000000000009</v>
      </c>
      <c r="M2275">
        <f t="shared" si="285"/>
        <v>-3.9999999999999591</v>
      </c>
      <c r="N2275">
        <f t="shared" si="286"/>
        <v>-3.0000000000000249</v>
      </c>
      <c r="O2275">
        <f t="shared" si="287"/>
        <v>-4.0000000000000036</v>
      </c>
      <c r="P2275">
        <f t="shared" si="288"/>
        <v>-4.0000000000000036</v>
      </c>
      <c r="Q2275">
        <f t="shared" si="289"/>
        <v>-1.0000000000000231</v>
      </c>
      <c r="R2275">
        <f t="shared" si="290"/>
        <v>1.0000000000000675</v>
      </c>
    </row>
    <row r="2276" spans="1:18">
      <c r="A2276" s="9">
        <v>40031</v>
      </c>
      <c r="B2276">
        <v>0.86</v>
      </c>
      <c r="C2276">
        <v>1.65</v>
      </c>
      <c r="D2276">
        <v>2.29</v>
      </c>
      <c r="E2276">
        <v>2.78</v>
      </c>
      <c r="F2276">
        <v>3.14</v>
      </c>
      <c r="G2276">
        <v>3.62</v>
      </c>
      <c r="H2276">
        <v>4.01</v>
      </c>
      <c r="I2276">
        <v>4.43</v>
      </c>
      <c r="K2276">
        <f t="shared" si="283"/>
        <v>2.0000000000000018</v>
      </c>
      <c r="L2276">
        <f t="shared" si="284"/>
        <v>4.9999999999999822</v>
      </c>
      <c r="M2276">
        <f t="shared" si="285"/>
        <v>6.999999999999984</v>
      </c>
      <c r="N2276">
        <f t="shared" si="286"/>
        <v>8.9999999999999858</v>
      </c>
      <c r="O2276">
        <f t="shared" si="287"/>
        <v>9.0000000000000302</v>
      </c>
      <c r="P2276">
        <f t="shared" si="288"/>
        <v>9.0000000000000302</v>
      </c>
      <c r="Q2276">
        <f t="shared" si="289"/>
        <v>8.9999999999999858</v>
      </c>
      <c r="R2276">
        <f t="shared" si="290"/>
        <v>6.9999999999999396</v>
      </c>
    </row>
    <row r="2277" spans="1:18">
      <c r="A2277" s="9">
        <v>40032</v>
      </c>
      <c r="B2277">
        <v>0.96</v>
      </c>
      <c r="C2277">
        <v>1.81</v>
      </c>
      <c r="D2277">
        <v>2.4900000000000002</v>
      </c>
      <c r="E2277">
        <v>2.99</v>
      </c>
      <c r="F2277">
        <v>3.37</v>
      </c>
      <c r="G2277">
        <v>3.84</v>
      </c>
      <c r="H2277">
        <v>4.2300000000000004</v>
      </c>
      <c r="I2277">
        <v>4.62</v>
      </c>
      <c r="K2277">
        <f t="shared" si="283"/>
        <v>9.9999999999999982</v>
      </c>
      <c r="L2277">
        <f t="shared" si="284"/>
        <v>16.000000000000014</v>
      </c>
      <c r="M2277">
        <f t="shared" si="285"/>
        <v>20.000000000000018</v>
      </c>
      <c r="N2277">
        <f t="shared" si="286"/>
        <v>21.000000000000043</v>
      </c>
      <c r="O2277">
        <f t="shared" si="287"/>
        <v>23</v>
      </c>
      <c r="P2277">
        <f t="shared" si="288"/>
        <v>21.999999999999975</v>
      </c>
      <c r="Q2277">
        <f t="shared" si="289"/>
        <v>22.000000000000064</v>
      </c>
      <c r="R2277">
        <f t="shared" si="290"/>
        <v>19.000000000000039</v>
      </c>
    </row>
    <row r="2278" spans="1:18">
      <c r="A2278" s="9">
        <v>40035</v>
      </c>
      <c r="B2278">
        <v>0.89</v>
      </c>
      <c r="C2278">
        <v>1.72</v>
      </c>
      <c r="D2278">
        <v>2.38</v>
      </c>
      <c r="E2278">
        <v>2.88</v>
      </c>
      <c r="F2278">
        <v>3.25</v>
      </c>
      <c r="G2278">
        <v>3.76</v>
      </c>
      <c r="H2278">
        <v>4.1500000000000004</v>
      </c>
      <c r="I2278">
        <v>4.54</v>
      </c>
      <c r="K2278">
        <f t="shared" si="283"/>
        <v>-6.9999999999999947</v>
      </c>
      <c r="L2278">
        <f t="shared" si="284"/>
        <v>-9.0000000000000071</v>
      </c>
      <c r="M2278">
        <f t="shared" si="285"/>
        <v>-11.000000000000032</v>
      </c>
      <c r="N2278">
        <f t="shared" si="286"/>
        <v>-11.000000000000032</v>
      </c>
      <c r="O2278">
        <f t="shared" si="287"/>
        <v>-12.000000000000011</v>
      </c>
      <c r="P2278">
        <f t="shared" si="288"/>
        <v>-8.0000000000000071</v>
      </c>
      <c r="Q2278">
        <f t="shared" si="289"/>
        <v>-8.0000000000000071</v>
      </c>
      <c r="R2278">
        <f t="shared" si="290"/>
        <v>-8.0000000000000071</v>
      </c>
    </row>
    <row r="2279" spans="1:18">
      <c r="A2279" s="9">
        <v>40036</v>
      </c>
      <c r="B2279">
        <v>0.83</v>
      </c>
      <c r="C2279">
        <v>1.62</v>
      </c>
      <c r="D2279">
        <v>2.2799999999999998</v>
      </c>
      <c r="E2279">
        <v>2.77</v>
      </c>
      <c r="F2279">
        <v>3.11</v>
      </c>
      <c r="G2279">
        <v>3.61</v>
      </c>
      <c r="H2279">
        <v>3.98</v>
      </c>
      <c r="I2279">
        <v>4.3899999999999997</v>
      </c>
      <c r="K2279">
        <f t="shared" si="283"/>
        <v>-6.0000000000000053</v>
      </c>
      <c r="L2279">
        <f t="shared" si="284"/>
        <v>-9.9999999999999858</v>
      </c>
      <c r="M2279">
        <f t="shared" si="285"/>
        <v>-10.000000000000009</v>
      </c>
      <c r="N2279">
        <f t="shared" si="286"/>
        <v>-10.999999999999988</v>
      </c>
      <c r="O2279">
        <f t="shared" si="287"/>
        <v>-14.000000000000012</v>
      </c>
      <c r="P2279">
        <f t="shared" si="288"/>
        <v>-14.999999999999991</v>
      </c>
      <c r="Q2279">
        <f t="shared" si="289"/>
        <v>-17.000000000000036</v>
      </c>
      <c r="R2279">
        <f t="shared" si="290"/>
        <v>-15.000000000000036</v>
      </c>
    </row>
    <row r="2280" spans="1:18">
      <c r="A2280" s="9">
        <v>40037</v>
      </c>
      <c r="B2280">
        <v>0.82</v>
      </c>
      <c r="C2280">
        <v>1.61</v>
      </c>
      <c r="D2280">
        <v>2.2599999999999998</v>
      </c>
      <c r="E2280">
        <v>2.74</v>
      </c>
      <c r="F2280">
        <v>3.12</v>
      </c>
      <c r="G2280">
        <v>3.61</v>
      </c>
      <c r="H2280">
        <v>3.99</v>
      </c>
      <c r="I2280">
        <v>4.3899999999999997</v>
      </c>
      <c r="K2280">
        <f t="shared" si="283"/>
        <v>-1.0000000000000009</v>
      </c>
      <c r="L2280">
        <f t="shared" si="284"/>
        <v>-1.0000000000000009</v>
      </c>
      <c r="M2280">
        <f t="shared" si="285"/>
        <v>-2.0000000000000018</v>
      </c>
      <c r="N2280">
        <f t="shared" si="286"/>
        <v>-2.9999999999999805</v>
      </c>
      <c r="O2280">
        <f t="shared" si="287"/>
        <v>1.0000000000000231</v>
      </c>
      <c r="P2280">
        <f t="shared" si="288"/>
        <v>0</v>
      </c>
      <c r="Q2280">
        <f t="shared" si="289"/>
        <v>1.0000000000000231</v>
      </c>
      <c r="R2280">
        <f t="shared" si="290"/>
        <v>0</v>
      </c>
    </row>
    <row r="2281" spans="1:18">
      <c r="A2281" s="9">
        <v>40038</v>
      </c>
      <c r="B2281">
        <v>0.76</v>
      </c>
      <c r="C2281">
        <v>1.53</v>
      </c>
      <c r="D2281">
        <v>2.1800000000000002</v>
      </c>
      <c r="E2281">
        <v>2.66</v>
      </c>
      <c r="F2281">
        <v>3.02</v>
      </c>
      <c r="G2281">
        <v>3.51</v>
      </c>
      <c r="H2281">
        <v>3.91</v>
      </c>
      <c r="I2281">
        <v>4.3600000000000003</v>
      </c>
      <c r="K2281">
        <f t="shared" si="283"/>
        <v>-5.9999999999999947</v>
      </c>
      <c r="L2281">
        <f t="shared" si="284"/>
        <v>-8.0000000000000071</v>
      </c>
      <c r="M2281">
        <f t="shared" si="285"/>
        <v>-7.9999999999999627</v>
      </c>
      <c r="N2281">
        <f t="shared" si="286"/>
        <v>-8.0000000000000071</v>
      </c>
      <c r="O2281">
        <f t="shared" si="287"/>
        <v>-10.000000000000009</v>
      </c>
      <c r="P2281">
        <f t="shared" si="288"/>
        <v>-10.000000000000009</v>
      </c>
      <c r="Q2281">
        <f t="shared" si="289"/>
        <v>-8.0000000000000071</v>
      </c>
      <c r="R2281">
        <f t="shared" si="290"/>
        <v>-2.9999999999999361</v>
      </c>
    </row>
    <row r="2282" spans="1:18">
      <c r="A2282" s="9">
        <v>40039</v>
      </c>
      <c r="B2282">
        <v>0.72</v>
      </c>
      <c r="C2282">
        <v>1.43</v>
      </c>
      <c r="D2282">
        <v>2.0299999999999998</v>
      </c>
      <c r="E2282">
        <v>2.4900000000000002</v>
      </c>
      <c r="F2282">
        <v>2.83</v>
      </c>
      <c r="G2282">
        <v>3.32</v>
      </c>
      <c r="H2282">
        <v>3.72</v>
      </c>
      <c r="I2282">
        <v>4.2</v>
      </c>
      <c r="K2282">
        <f t="shared" si="283"/>
        <v>-4.0000000000000036</v>
      </c>
      <c r="L2282">
        <f t="shared" si="284"/>
        <v>-10.000000000000009</v>
      </c>
      <c r="M2282">
        <f t="shared" si="285"/>
        <v>-15.000000000000036</v>
      </c>
      <c r="N2282">
        <f t="shared" si="286"/>
        <v>-16.999999999999993</v>
      </c>
      <c r="O2282">
        <f t="shared" si="287"/>
        <v>-18.999999999999993</v>
      </c>
      <c r="P2282">
        <f t="shared" si="288"/>
        <v>-18.999999999999993</v>
      </c>
      <c r="Q2282">
        <f t="shared" si="289"/>
        <v>-18.999999999999993</v>
      </c>
      <c r="R2282">
        <f t="shared" si="290"/>
        <v>-16.000000000000014</v>
      </c>
    </row>
    <row r="2283" spans="1:18">
      <c r="A2283" s="9">
        <v>40042</v>
      </c>
      <c r="B2283">
        <v>0.73</v>
      </c>
      <c r="C2283">
        <v>1.42</v>
      </c>
      <c r="D2283">
        <v>2.02</v>
      </c>
      <c r="E2283">
        <v>2.4700000000000002</v>
      </c>
      <c r="F2283">
        <v>2.81</v>
      </c>
      <c r="G2283">
        <v>3.3</v>
      </c>
      <c r="H2283">
        <v>3.7</v>
      </c>
      <c r="I2283">
        <v>4.17</v>
      </c>
      <c r="K2283">
        <f t="shared" si="283"/>
        <v>1.0000000000000009</v>
      </c>
      <c r="L2283">
        <f t="shared" si="284"/>
        <v>-1.0000000000000009</v>
      </c>
      <c r="M2283">
        <f t="shared" si="285"/>
        <v>-0.99999999999997868</v>
      </c>
      <c r="N2283">
        <f t="shared" si="286"/>
        <v>-2.0000000000000018</v>
      </c>
      <c r="O2283">
        <f t="shared" si="287"/>
        <v>-2.0000000000000018</v>
      </c>
      <c r="P2283">
        <f t="shared" si="288"/>
        <v>-2.0000000000000018</v>
      </c>
      <c r="Q2283">
        <f t="shared" si="289"/>
        <v>-2.0000000000000018</v>
      </c>
      <c r="R2283">
        <f t="shared" si="290"/>
        <v>-3.0000000000000249</v>
      </c>
    </row>
    <row r="2284" spans="1:18">
      <c r="A2284" s="9">
        <v>40043</v>
      </c>
      <c r="B2284">
        <v>0.74</v>
      </c>
      <c r="C2284">
        <v>1.44</v>
      </c>
      <c r="D2284">
        <v>2.04</v>
      </c>
      <c r="E2284">
        <v>2.5</v>
      </c>
      <c r="F2284">
        <v>2.84</v>
      </c>
      <c r="G2284">
        <v>3.32</v>
      </c>
      <c r="H2284">
        <v>3.71</v>
      </c>
      <c r="I2284">
        <v>4.17</v>
      </c>
      <c r="K2284">
        <f t="shared" si="283"/>
        <v>1.0000000000000009</v>
      </c>
      <c r="L2284">
        <f t="shared" si="284"/>
        <v>2.0000000000000018</v>
      </c>
      <c r="M2284">
        <f t="shared" si="285"/>
        <v>2.0000000000000018</v>
      </c>
      <c r="N2284">
        <f t="shared" si="286"/>
        <v>2.9999999999999805</v>
      </c>
      <c r="O2284">
        <f t="shared" si="287"/>
        <v>2.9999999999999805</v>
      </c>
      <c r="P2284">
        <f t="shared" si="288"/>
        <v>2.0000000000000018</v>
      </c>
      <c r="Q2284">
        <f t="shared" si="289"/>
        <v>0.99999999999997868</v>
      </c>
      <c r="R2284">
        <f t="shared" si="290"/>
        <v>0</v>
      </c>
    </row>
    <row r="2285" spans="1:18">
      <c r="A2285" s="9">
        <v>40044</v>
      </c>
      <c r="B2285">
        <v>0.72</v>
      </c>
      <c r="C2285">
        <v>1.42</v>
      </c>
      <c r="D2285">
        <v>2.0299999999999998</v>
      </c>
      <c r="E2285">
        <v>2.48</v>
      </c>
      <c r="F2285">
        <v>2.83</v>
      </c>
      <c r="G2285">
        <v>3.29</v>
      </c>
      <c r="H2285">
        <v>3.68</v>
      </c>
      <c r="I2285">
        <v>4.1399999999999997</v>
      </c>
      <c r="K2285">
        <f t="shared" si="283"/>
        <v>-2.0000000000000018</v>
      </c>
      <c r="L2285">
        <f t="shared" si="284"/>
        <v>-2.0000000000000018</v>
      </c>
      <c r="M2285">
        <f t="shared" si="285"/>
        <v>-1.0000000000000231</v>
      </c>
      <c r="N2285">
        <f t="shared" si="286"/>
        <v>-2.0000000000000018</v>
      </c>
      <c r="O2285">
        <f t="shared" si="287"/>
        <v>-0.99999999999997868</v>
      </c>
      <c r="P2285">
        <f t="shared" si="288"/>
        <v>-2.9999999999999805</v>
      </c>
      <c r="Q2285">
        <f t="shared" si="289"/>
        <v>-2.9999999999999805</v>
      </c>
      <c r="R2285">
        <f t="shared" si="290"/>
        <v>-3.0000000000000249</v>
      </c>
    </row>
    <row r="2286" spans="1:18">
      <c r="A2286" s="9">
        <v>40045</v>
      </c>
      <c r="B2286">
        <v>0.72</v>
      </c>
      <c r="C2286">
        <v>1.44</v>
      </c>
      <c r="D2286">
        <v>2.0699999999999998</v>
      </c>
      <c r="E2286">
        <v>2.5299999999999998</v>
      </c>
      <c r="F2286">
        <v>2.88</v>
      </c>
      <c r="G2286">
        <v>3.36</v>
      </c>
      <c r="H2286">
        <v>3.74</v>
      </c>
      <c r="I2286">
        <v>4.17</v>
      </c>
      <c r="K2286">
        <f t="shared" si="283"/>
        <v>0</v>
      </c>
      <c r="L2286">
        <f t="shared" si="284"/>
        <v>2.0000000000000018</v>
      </c>
      <c r="M2286">
        <f t="shared" si="285"/>
        <v>4.0000000000000036</v>
      </c>
      <c r="N2286">
        <f t="shared" si="286"/>
        <v>4.9999999999999822</v>
      </c>
      <c r="O2286">
        <f t="shared" si="287"/>
        <v>4.9999999999999822</v>
      </c>
      <c r="P2286">
        <f t="shared" si="288"/>
        <v>6.999999999999984</v>
      </c>
      <c r="Q2286">
        <f t="shared" si="289"/>
        <v>6.0000000000000053</v>
      </c>
      <c r="R2286">
        <f t="shared" si="290"/>
        <v>3.0000000000000249</v>
      </c>
    </row>
    <row r="2287" spans="1:18">
      <c r="A2287" s="9">
        <v>40046</v>
      </c>
      <c r="B2287">
        <v>0.75</v>
      </c>
      <c r="C2287">
        <v>1.49</v>
      </c>
      <c r="D2287">
        <v>2.13</v>
      </c>
      <c r="E2287">
        <v>2.59</v>
      </c>
      <c r="F2287">
        <v>2.94</v>
      </c>
      <c r="G2287">
        <v>3.42</v>
      </c>
      <c r="H2287">
        <v>3.79</v>
      </c>
      <c r="I2287">
        <v>4.22</v>
      </c>
      <c r="K2287">
        <f t="shared" si="283"/>
        <v>3.0000000000000027</v>
      </c>
      <c r="L2287">
        <f t="shared" si="284"/>
        <v>5.0000000000000044</v>
      </c>
      <c r="M2287">
        <f t="shared" si="285"/>
        <v>6.0000000000000053</v>
      </c>
      <c r="N2287">
        <f t="shared" si="286"/>
        <v>6.0000000000000053</v>
      </c>
      <c r="O2287">
        <f t="shared" si="287"/>
        <v>6.0000000000000053</v>
      </c>
      <c r="P2287">
        <f t="shared" si="288"/>
        <v>6.0000000000000053</v>
      </c>
      <c r="Q2287">
        <f t="shared" si="289"/>
        <v>4.9999999999999822</v>
      </c>
      <c r="R2287">
        <f t="shared" si="290"/>
        <v>4.9999999999999822</v>
      </c>
    </row>
    <row r="2288" spans="1:18">
      <c r="A2288" s="9">
        <v>40049</v>
      </c>
      <c r="B2288">
        <v>0.72</v>
      </c>
      <c r="C2288">
        <v>1.5</v>
      </c>
      <c r="D2288">
        <v>2.15</v>
      </c>
      <c r="E2288">
        <v>2.63</v>
      </c>
      <c r="F2288">
        <v>2.99</v>
      </c>
      <c r="G2288">
        <v>3.47</v>
      </c>
      <c r="H2288">
        <v>3.85</v>
      </c>
      <c r="I2288">
        <v>4.29</v>
      </c>
      <c r="K2288">
        <f t="shared" si="283"/>
        <v>-3.0000000000000027</v>
      </c>
      <c r="L2288">
        <f t="shared" si="284"/>
        <v>1.0000000000000009</v>
      </c>
      <c r="M2288">
        <f t="shared" si="285"/>
        <v>2.0000000000000018</v>
      </c>
      <c r="N2288">
        <f t="shared" si="286"/>
        <v>4.0000000000000036</v>
      </c>
      <c r="O2288">
        <f t="shared" si="287"/>
        <v>5.0000000000000266</v>
      </c>
      <c r="P2288">
        <f t="shared" si="288"/>
        <v>5.0000000000000266</v>
      </c>
      <c r="Q2288">
        <f t="shared" si="289"/>
        <v>6.0000000000000053</v>
      </c>
      <c r="R2288">
        <f t="shared" si="290"/>
        <v>7.0000000000000284</v>
      </c>
    </row>
    <row r="2289" spans="1:18">
      <c r="A2289" s="9">
        <v>40050</v>
      </c>
      <c r="B2289">
        <v>0.7</v>
      </c>
      <c r="C2289">
        <v>1.45</v>
      </c>
      <c r="D2289">
        <v>2.1</v>
      </c>
      <c r="E2289">
        <v>2.57</v>
      </c>
      <c r="F2289">
        <v>2.92</v>
      </c>
      <c r="G2289">
        <v>3.39</v>
      </c>
      <c r="H2289">
        <v>3.76</v>
      </c>
      <c r="I2289">
        <v>4.2</v>
      </c>
      <c r="K2289">
        <f t="shared" si="283"/>
        <v>-2.0000000000000018</v>
      </c>
      <c r="L2289">
        <f t="shared" si="284"/>
        <v>-5.0000000000000044</v>
      </c>
      <c r="M2289">
        <f t="shared" si="285"/>
        <v>-4.9999999999999822</v>
      </c>
      <c r="N2289">
        <f t="shared" si="286"/>
        <v>-6.0000000000000053</v>
      </c>
      <c r="O2289">
        <f t="shared" si="287"/>
        <v>-7.0000000000000284</v>
      </c>
      <c r="P2289">
        <f t="shared" si="288"/>
        <v>-8.0000000000000071</v>
      </c>
      <c r="Q2289">
        <f t="shared" si="289"/>
        <v>-9.0000000000000302</v>
      </c>
      <c r="R2289">
        <f t="shared" si="290"/>
        <v>-8.9999999999999858</v>
      </c>
    </row>
    <row r="2290" spans="1:18">
      <c r="A2290" s="9">
        <v>40051</v>
      </c>
      <c r="B2290">
        <v>0.69</v>
      </c>
      <c r="C2290">
        <v>1.42</v>
      </c>
      <c r="D2290">
        <v>2.0499999999999998</v>
      </c>
      <c r="E2290">
        <v>2.5099999999999998</v>
      </c>
      <c r="F2290">
        <v>2.86</v>
      </c>
      <c r="G2290">
        <v>3.32</v>
      </c>
      <c r="H2290">
        <v>3.7</v>
      </c>
      <c r="I2290">
        <v>4.13</v>
      </c>
      <c r="K2290">
        <f t="shared" si="283"/>
        <v>-1.0000000000000009</v>
      </c>
      <c r="L2290">
        <f t="shared" si="284"/>
        <v>-3.0000000000000027</v>
      </c>
      <c r="M2290">
        <f t="shared" si="285"/>
        <v>-5.0000000000000266</v>
      </c>
      <c r="N2290">
        <f t="shared" si="286"/>
        <v>-6.0000000000000053</v>
      </c>
      <c r="O2290">
        <f t="shared" si="287"/>
        <v>-6.0000000000000053</v>
      </c>
      <c r="P2290">
        <f t="shared" si="288"/>
        <v>-7.0000000000000284</v>
      </c>
      <c r="Q2290">
        <f t="shared" si="289"/>
        <v>-5.9999999999999609</v>
      </c>
      <c r="R2290">
        <f t="shared" si="290"/>
        <v>-7.0000000000000284</v>
      </c>
    </row>
    <row r="2291" spans="1:18">
      <c r="A2291" s="9">
        <v>40052</v>
      </c>
      <c r="B2291">
        <v>0.68</v>
      </c>
      <c r="C2291">
        <v>1.4</v>
      </c>
      <c r="D2291">
        <v>2.0299999999999998</v>
      </c>
      <c r="E2291">
        <v>2.5</v>
      </c>
      <c r="F2291">
        <v>2.84</v>
      </c>
      <c r="G2291">
        <v>3.3</v>
      </c>
      <c r="H2291">
        <v>3.67</v>
      </c>
      <c r="I2291">
        <v>4.1100000000000003</v>
      </c>
      <c r="K2291">
        <f t="shared" si="283"/>
        <v>-0.99999999999998979</v>
      </c>
      <c r="L2291">
        <f t="shared" si="284"/>
        <v>-2.0000000000000018</v>
      </c>
      <c r="M2291">
        <f t="shared" si="285"/>
        <v>-2.0000000000000018</v>
      </c>
      <c r="N2291">
        <f t="shared" si="286"/>
        <v>-0.99999999999997868</v>
      </c>
      <c r="O2291">
        <f t="shared" si="287"/>
        <v>-2.0000000000000018</v>
      </c>
      <c r="P2291">
        <f t="shared" si="288"/>
        <v>-2.0000000000000018</v>
      </c>
      <c r="Q2291">
        <f t="shared" si="289"/>
        <v>-3.0000000000000249</v>
      </c>
      <c r="R2291">
        <f t="shared" si="290"/>
        <v>-1.9999999999999574</v>
      </c>
    </row>
    <row r="2292" spans="1:18">
      <c r="A2292" s="9">
        <v>40053</v>
      </c>
      <c r="B2292">
        <v>0.66</v>
      </c>
      <c r="C2292">
        <v>1.4</v>
      </c>
      <c r="D2292">
        <v>2.04</v>
      </c>
      <c r="E2292">
        <v>2.5099999999999998</v>
      </c>
      <c r="F2292">
        <v>2.85</v>
      </c>
      <c r="G2292">
        <v>3.32</v>
      </c>
      <c r="H2292">
        <v>3.69</v>
      </c>
      <c r="I2292">
        <v>4.13</v>
      </c>
      <c r="K2292">
        <f t="shared" si="283"/>
        <v>-2.0000000000000018</v>
      </c>
      <c r="L2292">
        <f t="shared" si="284"/>
        <v>0</v>
      </c>
      <c r="M2292">
        <f t="shared" si="285"/>
        <v>1.0000000000000231</v>
      </c>
      <c r="N2292">
        <f t="shared" si="286"/>
        <v>0.99999999999997868</v>
      </c>
      <c r="O2292">
        <f t="shared" si="287"/>
        <v>1.0000000000000231</v>
      </c>
      <c r="P2292">
        <f t="shared" si="288"/>
        <v>2.0000000000000018</v>
      </c>
      <c r="Q2292">
        <f t="shared" si="289"/>
        <v>2.0000000000000018</v>
      </c>
      <c r="R2292">
        <f t="shared" si="290"/>
        <v>1.9999999999999574</v>
      </c>
    </row>
    <row r="2293" spans="1:18">
      <c r="A2293" s="9">
        <v>40056</v>
      </c>
      <c r="B2293">
        <v>0.64</v>
      </c>
      <c r="C2293">
        <v>1.35</v>
      </c>
      <c r="D2293">
        <v>1.98</v>
      </c>
      <c r="E2293">
        <v>2.44</v>
      </c>
      <c r="F2293">
        <v>2.79</v>
      </c>
      <c r="G2293">
        <v>3.27</v>
      </c>
      <c r="H2293">
        <v>3.64</v>
      </c>
      <c r="I2293">
        <v>4.1100000000000003</v>
      </c>
      <c r="K2293">
        <f t="shared" si="283"/>
        <v>-2.0000000000000018</v>
      </c>
      <c r="L2293">
        <f t="shared" si="284"/>
        <v>-4.9999999999999822</v>
      </c>
      <c r="M2293">
        <f t="shared" si="285"/>
        <v>-6.0000000000000053</v>
      </c>
      <c r="N2293">
        <f t="shared" si="286"/>
        <v>-6.999999999999984</v>
      </c>
      <c r="O2293">
        <f t="shared" si="287"/>
        <v>-6.0000000000000053</v>
      </c>
      <c r="P2293">
        <f t="shared" si="288"/>
        <v>-4.9999999999999822</v>
      </c>
      <c r="Q2293">
        <f t="shared" si="289"/>
        <v>-4.9999999999999822</v>
      </c>
      <c r="R2293">
        <f t="shared" si="290"/>
        <v>-1.9999999999999574</v>
      </c>
    </row>
    <row r="2294" spans="1:18">
      <c r="A2294" s="9">
        <v>40057</v>
      </c>
      <c r="B2294">
        <v>0.62</v>
      </c>
      <c r="C2294">
        <v>1.33</v>
      </c>
      <c r="D2294">
        <v>1.95</v>
      </c>
      <c r="E2294">
        <v>2.41</v>
      </c>
      <c r="F2294">
        <v>2.76</v>
      </c>
      <c r="G2294">
        <v>3.26</v>
      </c>
      <c r="H2294">
        <v>3.65</v>
      </c>
      <c r="I2294">
        <v>4.1399999999999997</v>
      </c>
      <c r="K2294">
        <f t="shared" si="283"/>
        <v>-2.0000000000000018</v>
      </c>
      <c r="L2294">
        <f t="shared" si="284"/>
        <v>-2.0000000000000018</v>
      </c>
      <c r="M2294">
        <f t="shared" si="285"/>
        <v>-3.0000000000000027</v>
      </c>
      <c r="N2294">
        <f t="shared" si="286"/>
        <v>-2.9999999999999805</v>
      </c>
      <c r="O2294">
        <f t="shared" si="287"/>
        <v>-3.0000000000000249</v>
      </c>
      <c r="P2294">
        <f t="shared" si="288"/>
        <v>-1.0000000000000231</v>
      </c>
      <c r="Q2294">
        <f t="shared" si="289"/>
        <v>0.99999999999997868</v>
      </c>
      <c r="R2294">
        <f t="shared" si="290"/>
        <v>2.9999999999999361</v>
      </c>
    </row>
    <row r="2295" spans="1:18">
      <c r="A2295" s="9">
        <v>40058</v>
      </c>
      <c r="B2295">
        <v>0.61</v>
      </c>
      <c r="C2295">
        <v>1.27</v>
      </c>
      <c r="D2295">
        <v>1.88</v>
      </c>
      <c r="E2295">
        <v>2.34</v>
      </c>
      <c r="F2295">
        <v>2.69</v>
      </c>
      <c r="G2295">
        <v>3.18</v>
      </c>
      <c r="H2295">
        <v>3.57</v>
      </c>
      <c r="I2295">
        <v>4.0599999999999996</v>
      </c>
      <c r="K2295">
        <f t="shared" si="283"/>
        <v>-1.0000000000000009</v>
      </c>
      <c r="L2295">
        <f t="shared" si="284"/>
        <v>-6.0000000000000053</v>
      </c>
      <c r="M2295">
        <f t="shared" si="285"/>
        <v>-7.0000000000000062</v>
      </c>
      <c r="N2295">
        <f t="shared" si="286"/>
        <v>-7.0000000000000284</v>
      </c>
      <c r="O2295">
        <f t="shared" si="287"/>
        <v>-6.999999999999984</v>
      </c>
      <c r="P2295">
        <f t="shared" si="288"/>
        <v>-7.9999999999999627</v>
      </c>
      <c r="Q2295">
        <f t="shared" si="289"/>
        <v>-8.0000000000000071</v>
      </c>
      <c r="R2295">
        <f t="shared" si="290"/>
        <v>-8.0000000000000071</v>
      </c>
    </row>
    <row r="2296" spans="1:18">
      <c r="A2296" s="9">
        <v>40059</v>
      </c>
      <c r="B2296">
        <v>0.61</v>
      </c>
      <c r="C2296">
        <v>1.27</v>
      </c>
      <c r="D2296">
        <v>1.87</v>
      </c>
      <c r="E2296">
        <v>2.33</v>
      </c>
      <c r="F2296">
        <v>2.67</v>
      </c>
      <c r="G2296">
        <v>3.15</v>
      </c>
      <c r="H2296">
        <v>3.54</v>
      </c>
      <c r="I2296">
        <v>4.04</v>
      </c>
      <c r="K2296">
        <f t="shared" si="283"/>
        <v>0</v>
      </c>
      <c r="L2296">
        <f t="shared" si="284"/>
        <v>0</v>
      </c>
      <c r="M2296">
        <f t="shared" si="285"/>
        <v>-0.99999999999997868</v>
      </c>
      <c r="N2296">
        <f t="shared" si="286"/>
        <v>-0.99999999999997868</v>
      </c>
      <c r="O2296">
        <f t="shared" si="287"/>
        <v>-2.0000000000000018</v>
      </c>
      <c r="P2296">
        <f t="shared" si="288"/>
        <v>-3.0000000000000249</v>
      </c>
      <c r="Q2296">
        <f t="shared" si="289"/>
        <v>-2.9999999999999805</v>
      </c>
      <c r="R2296">
        <f t="shared" si="290"/>
        <v>-1.9999999999999574</v>
      </c>
    </row>
    <row r="2297" spans="1:18">
      <c r="A2297" s="9">
        <v>40060</v>
      </c>
      <c r="B2297">
        <v>0.61</v>
      </c>
      <c r="C2297">
        <v>1.27</v>
      </c>
      <c r="D2297">
        <v>1.89</v>
      </c>
      <c r="E2297">
        <v>2.35</v>
      </c>
      <c r="F2297">
        <v>2.7</v>
      </c>
      <c r="G2297">
        <v>3.19</v>
      </c>
      <c r="H2297">
        <v>3.58</v>
      </c>
      <c r="I2297">
        <v>4.07</v>
      </c>
      <c r="K2297">
        <f t="shared" si="283"/>
        <v>0</v>
      </c>
      <c r="L2297">
        <f t="shared" si="284"/>
        <v>0</v>
      </c>
      <c r="M2297">
        <f t="shared" si="285"/>
        <v>1.9999999999999796</v>
      </c>
      <c r="N2297">
        <f t="shared" si="286"/>
        <v>2.0000000000000018</v>
      </c>
      <c r="O2297">
        <f t="shared" si="287"/>
        <v>3.0000000000000249</v>
      </c>
      <c r="P2297">
        <f t="shared" si="288"/>
        <v>4.0000000000000036</v>
      </c>
      <c r="Q2297">
        <f t="shared" si="289"/>
        <v>4.0000000000000036</v>
      </c>
      <c r="R2297">
        <f t="shared" si="290"/>
        <v>3.0000000000000249</v>
      </c>
    </row>
    <row r="2298" spans="1:18">
      <c r="A2298" s="9">
        <v>40064</v>
      </c>
      <c r="B2298">
        <v>0.59</v>
      </c>
      <c r="C2298">
        <v>1.27</v>
      </c>
      <c r="D2298">
        <v>1.89</v>
      </c>
      <c r="E2298">
        <v>2.37</v>
      </c>
      <c r="F2298">
        <v>2.72</v>
      </c>
      <c r="G2298">
        <v>3.23</v>
      </c>
      <c r="H2298">
        <v>3.65</v>
      </c>
      <c r="I2298">
        <v>4.1399999999999997</v>
      </c>
      <c r="K2298">
        <f t="shared" si="283"/>
        <v>-2.0000000000000018</v>
      </c>
      <c r="L2298">
        <f t="shared" si="284"/>
        <v>0</v>
      </c>
      <c r="M2298">
        <f t="shared" si="285"/>
        <v>0</v>
      </c>
      <c r="N2298">
        <f t="shared" si="286"/>
        <v>2.0000000000000018</v>
      </c>
      <c r="O2298">
        <f t="shared" si="287"/>
        <v>2.0000000000000018</v>
      </c>
      <c r="P2298">
        <f t="shared" si="288"/>
        <v>4.0000000000000036</v>
      </c>
      <c r="Q2298">
        <f t="shared" si="289"/>
        <v>6.999999999999984</v>
      </c>
      <c r="R2298">
        <f t="shared" si="290"/>
        <v>6.9999999999999396</v>
      </c>
    </row>
    <row r="2299" spans="1:18">
      <c r="A2299" s="9">
        <v>40065</v>
      </c>
      <c r="B2299">
        <v>0.59</v>
      </c>
      <c r="C2299">
        <v>1.29</v>
      </c>
      <c r="D2299">
        <v>1.92</v>
      </c>
      <c r="E2299">
        <v>2.41</v>
      </c>
      <c r="F2299">
        <v>2.77</v>
      </c>
      <c r="G2299">
        <v>3.28</v>
      </c>
      <c r="H2299">
        <v>3.69</v>
      </c>
      <c r="I2299">
        <v>4.1900000000000004</v>
      </c>
      <c r="K2299">
        <f t="shared" si="283"/>
        <v>0</v>
      </c>
      <c r="L2299">
        <f t="shared" si="284"/>
        <v>2.0000000000000018</v>
      </c>
      <c r="M2299">
        <f t="shared" si="285"/>
        <v>3.0000000000000027</v>
      </c>
      <c r="N2299">
        <f t="shared" si="286"/>
        <v>4.0000000000000036</v>
      </c>
      <c r="O2299">
        <f t="shared" si="287"/>
        <v>4.9999999999999822</v>
      </c>
      <c r="P2299">
        <f t="shared" si="288"/>
        <v>4.9999999999999822</v>
      </c>
      <c r="Q2299">
        <f t="shared" si="289"/>
        <v>4.0000000000000036</v>
      </c>
      <c r="R2299">
        <f t="shared" si="290"/>
        <v>5.0000000000000711</v>
      </c>
    </row>
    <row r="2300" spans="1:18">
      <c r="A2300" s="9">
        <v>40066</v>
      </c>
      <c r="B2300">
        <v>0.56999999999999995</v>
      </c>
      <c r="C2300">
        <v>1.23</v>
      </c>
      <c r="D2300">
        <v>1.85</v>
      </c>
      <c r="E2300">
        <v>2.3199999999999998</v>
      </c>
      <c r="F2300">
        <v>2.68</v>
      </c>
      <c r="G2300">
        <v>3.18</v>
      </c>
      <c r="H2300">
        <v>3.59</v>
      </c>
      <c r="I2300">
        <v>4.1100000000000003</v>
      </c>
      <c r="K2300">
        <f t="shared" si="283"/>
        <v>-2.0000000000000018</v>
      </c>
      <c r="L2300">
        <f t="shared" si="284"/>
        <v>-6.0000000000000053</v>
      </c>
      <c r="M2300">
        <f t="shared" si="285"/>
        <v>-6.999999999999984</v>
      </c>
      <c r="N2300">
        <f t="shared" si="286"/>
        <v>-9.0000000000000302</v>
      </c>
      <c r="O2300">
        <f t="shared" si="287"/>
        <v>-8.9999999999999858</v>
      </c>
      <c r="P2300">
        <f t="shared" si="288"/>
        <v>-9.9999999999999645</v>
      </c>
      <c r="Q2300">
        <f t="shared" si="289"/>
        <v>-10.000000000000009</v>
      </c>
      <c r="R2300">
        <f t="shared" si="290"/>
        <v>-8.0000000000000071</v>
      </c>
    </row>
    <row r="2301" spans="1:18">
      <c r="A2301" s="9">
        <v>40067</v>
      </c>
      <c r="B2301">
        <v>0.56999999999999995</v>
      </c>
      <c r="C2301">
        <v>1.18</v>
      </c>
      <c r="D2301">
        <v>1.78</v>
      </c>
      <c r="E2301">
        <v>2.2400000000000002</v>
      </c>
      <c r="F2301">
        <v>2.58</v>
      </c>
      <c r="G2301">
        <v>3.06</v>
      </c>
      <c r="H2301">
        <v>3.45</v>
      </c>
      <c r="I2301">
        <v>3.95</v>
      </c>
      <c r="K2301">
        <f t="shared" si="283"/>
        <v>0</v>
      </c>
      <c r="L2301">
        <f t="shared" si="284"/>
        <v>-5.0000000000000044</v>
      </c>
      <c r="M2301">
        <f t="shared" si="285"/>
        <v>-7.0000000000000062</v>
      </c>
      <c r="N2301">
        <f t="shared" si="286"/>
        <v>-7.9999999999999627</v>
      </c>
      <c r="O2301">
        <f t="shared" si="287"/>
        <v>-10.000000000000009</v>
      </c>
      <c r="P2301">
        <f t="shared" si="288"/>
        <v>-12.000000000000011</v>
      </c>
      <c r="Q2301">
        <f t="shared" si="289"/>
        <v>-13.999999999999968</v>
      </c>
      <c r="R2301">
        <f t="shared" si="290"/>
        <v>-16.000000000000014</v>
      </c>
    </row>
    <row r="2302" spans="1:18">
      <c r="A2302" s="9">
        <v>40070</v>
      </c>
      <c r="B2302">
        <v>0.59</v>
      </c>
      <c r="C2302">
        <v>1.24</v>
      </c>
      <c r="D2302">
        <v>1.86</v>
      </c>
      <c r="E2302">
        <v>2.34</v>
      </c>
      <c r="F2302">
        <v>2.69</v>
      </c>
      <c r="G2302">
        <v>3.18</v>
      </c>
      <c r="H2302">
        <v>3.57</v>
      </c>
      <c r="I2302">
        <v>4.07</v>
      </c>
      <c r="K2302">
        <f t="shared" si="283"/>
        <v>2.0000000000000018</v>
      </c>
      <c r="L2302">
        <f t="shared" si="284"/>
        <v>6.0000000000000053</v>
      </c>
      <c r="M2302">
        <f t="shared" si="285"/>
        <v>8.0000000000000071</v>
      </c>
      <c r="N2302">
        <f t="shared" si="286"/>
        <v>9.9999999999999645</v>
      </c>
      <c r="O2302">
        <f t="shared" si="287"/>
        <v>10.999999999999988</v>
      </c>
      <c r="P2302">
        <f t="shared" si="288"/>
        <v>12.000000000000011</v>
      </c>
      <c r="Q2302">
        <f t="shared" si="289"/>
        <v>11.999999999999966</v>
      </c>
      <c r="R2302">
        <f t="shared" si="290"/>
        <v>12.000000000000011</v>
      </c>
    </row>
    <row r="2303" spans="1:18">
      <c r="A2303" s="9">
        <v>40071</v>
      </c>
      <c r="B2303">
        <v>0.62</v>
      </c>
      <c r="C2303">
        <v>1.3</v>
      </c>
      <c r="D2303">
        <v>1.94</v>
      </c>
      <c r="E2303">
        <v>2.42</v>
      </c>
      <c r="F2303">
        <v>2.78</v>
      </c>
      <c r="G2303">
        <v>3.28</v>
      </c>
      <c r="H2303">
        <v>3.67</v>
      </c>
      <c r="I2303">
        <v>4.1399999999999997</v>
      </c>
      <c r="K2303">
        <f t="shared" si="283"/>
        <v>3.0000000000000027</v>
      </c>
      <c r="L2303">
        <f t="shared" si="284"/>
        <v>6.0000000000000053</v>
      </c>
      <c r="M2303">
        <f t="shared" si="285"/>
        <v>7.9999999999999849</v>
      </c>
      <c r="N2303">
        <f t="shared" si="286"/>
        <v>8.0000000000000071</v>
      </c>
      <c r="O2303">
        <f t="shared" si="287"/>
        <v>8.9999999999999858</v>
      </c>
      <c r="P2303">
        <f t="shared" si="288"/>
        <v>9.9999999999999645</v>
      </c>
      <c r="Q2303">
        <f t="shared" si="289"/>
        <v>10.000000000000009</v>
      </c>
      <c r="R2303">
        <f t="shared" si="290"/>
        <v>6.9999999999999396</v>
      </c>
    </row>
    <row r="2304" spans="1:18">
      <c r="A2304" s="9">
        <v>40072</v>
      </c>
      <c r="B2304">
        <v>0.64</v>
      </c>
      <c r="C2304">
        <v>1.34</v>
      </c>
      <c r="D2304">
        <v>1.97</v>
      </c>
      <c r="E2304">
        <v>2.4700000000000002</v>
      </c>
      <c r="F2304">
        <v>2.83</v>
      </c>
      <c r="G2304">
        <v>3.31</v>
      </c>
      <c r="H2304">
        <v>3.69</v>
      </c>
      <c r="I2304">
        <v>4.16</v>
      </c>
      <c r="K2304">
        <f t="shared" si="283"/>
        <v>2.0000000000000018</v>
      </c>
      <c r="L2304">
        <f t="shared" si="284"/>
        <v>4.0000000000000036</v>
      </c>
      <c r="M2304">
        <f t="shared" si="285"/>
        <v>3.0000000000000027</v>
      </c>
      <c r="N2304">
        <f t="shared" si="286"/>
        <v>5.0000000000000266</v>
      </c>
      <c r="O2304">
        <f t="shared" si="287"/>
        <v>5.0000000000000266</v>
      </c>
      <c r="P2304">
        <f t="shared" si="288"/>
        <v>3.0000000000000249</v>
      </c>
      <c r="Q2304">
        <f t="shared" si="289"/>
        <v>2.0000000000000018</v>
      </c>
      <c r="R2304">
        <f t="shared" si="290"/>
        <v>2.0000000000000462</v>
      </c>
    </row>
    <row r="2305" spans="1:18">
      <c r="A2305" s="9">
        <v>40073</v>
      </c>
      <c r="B2305">
        <v>0.65</v>
      </c>
      <c r="C2305">
        <v>1.34</v>
      </c>
      <c r="D2305">
        <v>1.97</v>
      </c>
      <c r="E2305">
        <v>2.44</v>
      </c>
      <c r="F2305">
        <v>2.78</v>
      </c>
      <c r="G2305">
        <v>3.26</v>
      </c>
      <c r="H2305">
        <v>3.63</v>
      </c>
      <c r="I2305">
        <v>4.09</v>
      </c>
      <c r="K2305">
        <f t="shared" si="283"/>
        <v>1.0000000000000009</v>
      </c>
      <c r="L2305">
        <f t="shared" si="284"/>
        <v>0</v>
      </c>
      <c r="M2305">
        <f t="shared" si="285"/>
        <v>0</v>
      </c>
      <c r="N2305">
        <f t="shared" si="286"/>
        <v>-3.0000000000000249</v>
      </c>
      <c r="O2305">
        <f t="shared" si="287"/>
        <v>-5.0000000000000266</v>
      </c>
      <c r="P2305">
        <f t="shared" si="288"/>
        <v>-5.0000000000000266</v>
      </c>
      <c r="Q2305">
        <f t="shared" si="289"/>
        <v>-6.0000000000000053</v>
      </c>
      <c r="R2305">
        <f t="shared" si="290"/>
        <v>-7.0000000000000284</v>
      </c>
    </row>
    <row r="2306" spans="1:18">
      <c r="A2306" s="9">
        <v>40074</v>
      </c>
      <c r="B2306">
        <v>0.63</v>
      </c>
      <c r="C2306">
        <v>1.32</v>
      </c>
      <c r="D2306">
        <v>1.95</v>
      </c>
      <c r="E2306">
        <v>2.42</v>
      </c>
      <c r="F2306">
        <v>2.77</v>
      </c>
      <c r="G2306">
        <v>3.26</v>
      </c>
      <c r="H2306">
        <v>3.64</v>
      </c>
      <c r="I2306">
        <v>4.0999999999999996</v>
      </c>
      <c r="K2306">
        <f t="shared" si="283"/>
        <v>-2.0000000000000018</v>
      </c>
      <c r="L2306">
        <f t="shared" si="284"/>
        <v>-2.0000000000000018</v>
      </c>
      <c r="M2306">
        <f t="shared" si="285"/>
        <v>-2.0000000000000018</v>
      </c>
      <c r="N2306">
        <f t="shared" si="286"/>
        <v>-2.0000000000000018</v>
      </c>
      <c r="O2306">
        <f t="shared" si="287"/>
        <v>-0.99999999999997868</v>
      </c>
      <c r="P2306">
        <f t="shared" si="288"/>
        <v>0</v>
      </c>
      <c r="Q2306">
        <f t="shared" si="289"/>
        <v>1.0000000000000231</v>
      </c>
      <c r="R2306">
        <f t="shared" si="290"/>
        <v>0.99999999999997868</v>
      </c>
    </row>
    <row r="2307" spans="1:18">
      <c r="A2307" s="9">
        <v>40077</v>
      </c>
      <c r="B2307">
        <v>0.63</v>
      </c>
      <c r="C2307">
        <v>1.32</v>
      </c>
      <c r="D2307">
        <v>1.95</v>
      </c>
      <c r="E2307">
        <v>2.42</v>
      </c>
      <c r="F2307">
        <v>2.77</v>
      </c>
      <c r="G2307">
        <v>3.25</v>
      </c>
      <c r="H2307">
        <v>3.63</v>
      </c>
      <c r="I2307">
        <v>4.0999999999999996</v>
      </c>
      <c r="K2307">
        <f t="shared" si="283"/>
        <v>0</v>
      </c>
      <c r="L2307">
        <f t="shared" si="284"/>
        <v>0</v>
      </c>
      <c r="M2307">
        <f t="shared" si="285"/>
        <v>0</v>
      </c>
      <c r="N2307">
        <f t="shared" si="286"/>
        <v>0</v>
      </c>
      <c r="O2307">
        <f t="shared" si="287"/>
        <v>0</v>
      </c>
      <c r="P2307">
        <f t="shared" si="288"/>
        <v>-0.99999999999997868</v>
      </c>
      <c r="Q2307">
        <f t="shared" si="289"/>
        <v>-1.0000000000000231</v>
      </c>
      <c r="R2307">
        <f t="shared" si="290"/>
        <v>0</v>
      </c>
    </row>
    <row r="2308" spans="1:18">
      <c r="A2308" s="9">
        <v>40078</v>
      </c>
      <c r="B2308">
        <v>0.61</v>
      </c>
      <c r="C2308">
        <v>1.33</v>
      </c>
      <c r="D2308">
        <v>1.97</v>
      </c>
      <c r="E2308">
        <v>2.4500000000000002</v>
      </c>
      <c r="F2308">
        <v>2.81</v>
      </c>
      <c r="G2308">
        <v>3.29</v>
      </c>
      <c r="H2308">
        <v>3.67</v>
      </c>
      <c r="I2308">
        <v>4.1500000000000004</v>
      </c>
      <c r="K2308">
        <f t="shared" si="283"/>
        <v>-2.0000000000000018</v>
      </c>
      <c r="L2308">
        <f t="shared" si="284"/>
        <v>1.0000000000000009</v>
      </c>
      <c r="M2308">
        <f t="shared" si="285"/>
        <v>2.0000000000000018</v>
      </c>
      <c r="N2308">
        <f t="shared" si="286"/>
        <v>3.0000000000000249</v>
      </c>
      <c r="O2308">
        <f t="shared" si="287"/>
        <v>4.0000000000000036</v>
      </c>
      <c r="P2308">
        <f t="shared" si="288"/>
        <v>4.0000000000000036</v>
      </c>
      <c r="Q2308">
        <f t="shared" si="289"/>
        <v>4.0000000000000036</v>
      </c>
      <c r="R2308">
        <f t="shared" si="290"/>
        <v>5.0000000000000711</v>
      </c>
    </row>
    <row r="2309" spans="1:18">
      <c r="A2309" s="9">
        <v>40079</v>
      </c>
      <c r="B2309">
        <v>0.62</v>
      </c>
      <c r="C2309">
        <v>1.33</v>
      </c>
      <c r="D2309">
        <v>1.97</v>
      </c>
      <c r="E2309">
        <v>2.44</v>
      </c>
      <c r="F2309">
        <v>2.79</v>
      </c>
      <c r="G2309">
        <v>3.27</v>
      </c>
      <c r="H2309">
        <v>3.64</v>
      </c>
      <c r="I2309">
        <v>4.1100000000000003</v>
      </c>
      <c r="K2309">
        <f t="shared" ref="K2309:K2372" si="291">(B2309-B2308)*100</f>
        <v>1.0000000000000009</v>
      </c>
      <c r="L2309">
        <f t="shared" ref="L2309:L2372" si="292">(C2309-C2308)*100</f>
        <v>0</v>
      </c>
      <c r="M2309">
        <f t="shared" ref="M2309:M2372" si="293">(D2309-D2308)*100</f>
        <v>0</v>
      </c>
      <c r="N2309">
        <f t="shared" ref="N2309:N2372" si="294">(E2309-E2308)*100</f>
        <v>-1.0000000000000231</v>
      </c>
      <c r="O2309">
        <f t="shared" ref="O2309:O2372" si="295">(F2309-F2308)*100</f>
        <v>-2.0000000000000018</v>
      </c>
      <c r="P2309">
        <f t="shared" ref="P2309:P2372" si="296">(G2309-G2308)*100</f>
        <v>-2.0000000000000018</v>
      </c>
      <c r="Q2309">
        <f t="shared" ref="Q2309:Q2372" si="297">(H2309-H2308)*100</f>
        <v>-2.9999999999999805</v>
      </c>
      <c r="R2309">
        <f t="shared" ref="R2309:R2372" si="298">(I2309-I2308)*100</f>
        <v>-4.0000000000000036</v>
      </c>
    </row>
    <row r="2310" spans="1:18">
      <c r="A2310" s="9">
        <v>40080</v>
      </c>
      <c r="B2310">
        <v>0.57999999999999996</v>
      </c>
      <c r="C2310">
        <v>1.24</v>
      </c>
      <c r="D2310">
        <v>1.86</v>
      </c>
      <c r="E2310">
        <v>2.35</v>
      </c>
      <c r="F2310">
        <v>2.71</v>
      </c>
      <c r="G2310">
        <v>3.19</v>
      </c>
      <c r="H2310">
        <v>3.58</v>
      </c>
      <c r="I2310">
        <v>4.08</v>
      </c>
      <c r="K2310">
        <f t="shared" si="291"/>
        <v>-4.0000000000000036</v>
      </c>
      <c r="L2310">
        <f t="shared" si="292"/>
        <v>-9.0000000000000071</v>
      </c>
      <c r="M2310">
        <f t="shared" si="293"/>
        <v>-10.999999999999988</v>
      </c>
      <c r="N2310">
        <f t="shared" si="294"/>
        <v>-8.9999999999999858</v>
      </c>
      <c r="O2310">
        <f t="shared" si="295"/>
        <v>-8.0000000000000071</v>
      </c>
      <c r="P2310">
        <f t="shared" si="296"/>
        <v>-8.0000000000000071</v>
      </c>
      <c r="Q2310">
        <f t="shared" si="297"/>
        <v>-6.0000000000000053</v>
      </c>
      <c r="R2310">
        <f t="shared" si="298"/>
        <v>-3.0000000000000249</v>
      </c>
    </row>
    <row r="2311" spans="1:18">
      <c r="A2311" s="9">
        <v>40081</v>
      </c>
      <c r="B2311">
        <v>0.62</v>
      </c>
      <c r="C2311">
        <v>1.29</v>
      </c>
      <c r="D2311">
        <v>1.9</v>
      </c>
      <c r="E2311">
        <v>2.37</v>
      </c>
      <c r="F2311">
        <v>2.71</v>
      </c>
      <c r="G2311">
        <v>3.18</v>
      </c>
      <c r="H2311">
        <v>3.56</v>
      </c>
      <c r="I2311">
        <v>4.05</v>
      </c>
      <c r="K2311">
        <f t="shared" si="291"/>
        <v>4.0000000000000036</v>
      </c>
      <c r="L2311">
        <f t="shared" si="292"/>
        <v>5.0000000000000044</v>
      </c>
      <c r="M2311">
        <f t="shared" si="293"/>
        <v>3.9999999999999813</v>
      </c>
      <c r="N2311">
        <f t="shared" si="294"/>
        <v>2.0000000000000018</v>
      </c>
      <c r="O2311">
        <f t="shared" si="295"/>
        <v>0</v>
      </c>
      <c r="P2311">
        <f t="shared" si="296"/>
        <v>-0.99999999999997868</v>
      </c>
      <c r="Q2311">
        <f t="shared" si="297"/>
        <v>-2.0000000000000018</v>
      </c>
      <c r="R2311">
        <f t="shared" si="298"/>
        <v>-3.0000000000000249</v>
      </c>
    </row>
    <row r="2312" spans="1:18">
      <c r="A2312" s="9">
        <v>40084</v>
      </c>
      <c r="B2312">
        <v>0.62</v>
      </c>
      <c r="C2312">
        <v>1.3</v>
      </c>
      <c r="D2312">
        <v>1.89</v>
      </c>
      <c r="E2312">
        <v>2.34</v>
      </c>
      <c r="F2312">
        <v>2.66</v>
      </c>
      <c r="G2312">
        <v>3.11</v>
      </c>
      <c r="H2312">
        <v>3.45</v>
      </c>
      <c r="I2312">
        <v>3.92</v>
      </c>
      <c r="K2312">
        <f t="shared" si="291"/>
        <v>0</v>
      </c>
      <c r="L2312">
        <f t="shared" si="292"/>
        <v>1.0000000000000009</v>
      </c>
      <c r="M2312">
        <f t="shared" si="293"/>
        <v>-1.0000000000000009</v>
      </c>
      <c r="N2312">
        <f t="shared" si="294"/>
        <v>-3.0000000000000249</v>
      </c>
      <c r="O2312">
        <f t="shared" si="295"/>
        <v>-4.9999999999999822</v>
      </c>
      <c r="P2312">
        <f t="shared" si="296"/>
        <v>-7.0000000000000284</v>
      </c>
      <c r="Q2312">
        <f t="shared" si="297"/>
        <v>-10.999999999999988</v>
      </c>
      <c r="R2312">
        <f t="shared" si="298"/>
        <v>-12.999999999999989</v>
      </c>
    </row>
    <row r="2313" spans="1:18">
      <c r="A2313" s="9">
        <v>40085</v>
      </c>
      <c r="B2313">
        <v>0.64</v>
      </c>
      <c r="C2313">
        <v>1.33</v>
      </c>
      <c r="D2313">
        <v>1.9</v>
      </c>
      <c r="E2313">
        <v>2.34</v>
      </c>
      <c r="F2313">
        <v>2.66</v>
      </c>
      <c r="G2313">
        <v>3.09</v>
      </c>
      <c r="H2313">
        <v>3.43</v>
      </c>
      <c r="I2313">
        <v>3.9</v>
      </c>
      <c r="K2313">
        <f t="shared" si="291"/>
        <v>2.0000000000000018</v>
      </c>
      <c r="L2313">
        <f t="shared" si="292"/>
        <v>3.0000000000000027</v>
      </c>
      <c r="M2313">
        <f t="shared" si="293"/>
        <v>1.0000000000000009</v>
      </c>
      <c r="N2313">
        <f t="shared" si="294"/>
        <v>0</v>
      </c>
      <c r="O2313">
        <f t="shared" si="295"/>
        <v>0</v>
      </c>
      <c r="P2313">
        <f t="shared" si="296"/>
        <v>-2.0000000000000018</v>
      </c>
      <c r="Q2313">
        <f t="shared" si="297"/>
        <v>-2.0000000000000018</v>
      </c>
      <c r="R2313">
        <f t="shared" si="298"/>
        <v>-2.0000000000000018</v>
      </c>
    </row>
    <row r="2314" spans="1:18">
      <c r="A2314" s="9">
        <v>40086</v>
      </c>
      <c r="B2314">
        <v>0.63</v>
      </c>
      <c r="C2314">
        <v>1.3</v>
      </c>
      <c r="D2314">
        <v>1.88</v>
      </c>
      <c r="E2314">
        <v>2.31</v>
      </c>
      <c r="F2314">
        <v>2.64</v>
      </c>
      <c r="G2314">
        <v>3.09</v>
      </c>
      <c r="H2314">
        <v>3.44</v>
      </c>
      <c r="I2314">
        <v>3.91</v>
      </c>
      <c r="K2314">
        <f t="shared" si="291"/>
        <v>-1.0000000000000009</v>
      </c>
      <c r="L2314">
        <f t="shared" si="292"/>
        <v>-3.0000000000000027</v>
      </c>
      <c r="M2314">
        <f t="shared" si="293"/>
        <v>-2.0000000000000018</v>
      </c>
      <c r="N2314">
        <f t="shared" si="294"/>
        <v>-2.9999999999999805</v>
      </c>
      <c r="O2314">
        <f t="shared" si="295"/>
        <v>-2.0000000000000018</v>
      </c>
      <c r="P2314">
        <f t="shared" si="296"/>
        <v>0</v>
      </c>
      <c r="Q2314">
        <f t="shared" si="297"/>
        <v>0.99999999999997868</v>
      </c>
      <c r="R2314">
        <f t="shared" si="298"/>
        <v>1.0000000000000231</v>
      </c>
    </row>
    <row r="2315" spans="1:18">
      <c r="A2315" s="9">
        <v>40087</v>
      </c>
      <c r="B2315">
        <v>0.59</v>
      </c>
      <c r="C2315">
        <v>1.24</v>
      </c>
      <c r="D2315">
        <v>1.82</v>
      </c>
      <c r="E2315">
        <v>2.2599999999999998</v>
      </c>
      <c r="F2315">
        <v>2.58</v>
      </c>
      <c r="G2315">
        <v>3.03</v>
      </c>
      <c r="H2315">
        <v>3.39</v>
      </c>
      <c r="I2315">
        <v>3.87</v>
      </c>
      <c r="K2315">
        <f t="shared" si="291"/>
        <v>-4.0000000000000036</v>
      </c>
      <c r="L2315">
        <f t="shared" si="292"/>
        <v>-6.0000000000000053</v>
      </c>
      <c r="M2315">
        <f t="shared" si="293"/>
        <v>-5.9999999999999831</v>
      </c>
      <c r="N2315">
        <f t="shared" si="294"/>
        <v>-5.0000000000000266</v>
      </c>
      <c r="O2315">
        <f t="shared" si="295"/>
        <v>-6.0000000000000053</v>
      </c>
      <c r="P2315">
        <f t="shared" si="296"/>
        <v>-6.0000000000000053</v>
      </c>
      <c r="Q2315">
        <f t="shared" si="297"/>
        <v>-4.9999999999999822</v>
      </c>
      <c r="R2315">
        <f t="shared" si="298"/>
        <v>-4.0000000000000036</v>
      </c>
    </row>
    <row r="2316" spans="1:18">
      <c r="A2316" s="9">
        <v>40088</v>
      </c>
      <c r="B2316">
        <v>0.59</v>
      </c>
      <c r="C2316">
        <v>1.23</v>
      </c>
      <c r="D2316">
        <v>1.8</v>
      </c>
      <c r="E2316">
        <v>2.2200000000000002</v>
      </c>
      <c r="F2316">
        <v>2.54</v>
      </c>
      <c r="G2316">
        <v>2.98</v>
      </c>
      <c r="H2316">
        <v>3.33</v>
      </c>
      <c r="I2316">
        <v>3.84</v>
      </c>
      <c r="K2316">
        <f t="shared" si="291"/>
        <v>0</v>
      </c>
      <c r="L2316">
        <f t="shared" si="292"/>
        <v>-1.0000000000000009</v>
      </c>
      <c r="M2316">
        <f t="shared" si="293"/>
        <v>-2.0000000000000018</v>
      </c>
      <c r="N2316">
        <f t="shared" si="294"/>
        <v>-3.9999999999999591</v>
      </c>
      <c r="O2316">
        <f t="shared" si="295"/>
        <v>-4.0000000000000036</v>
      </c>
      <c r="P2316">
        <f t="shared" si="296"/>
        <v>-4.9999999999999822</v>
      </c>
      <c r="Q2316">
        <f t="shared" si="297"/>
        <v>-6.0000000000000053</v>
      </c>
      <c r="R2316">
        <f t="shared" si="298"/>
        <v>-3.0000000000000249</v>
      </c>
    </row>
    <row r="2317" spans="1:18">
      <c r="A2317" s="9">
        <v>40091</v>
      </c>
      <c r="B2317">
        <v>0.57999999999999996</v>
      </c>
      <c r="C2317">
        <v>1.21</v>
      </c>
      <c r="D2317">
        <v>1.79</v>
      </c>
      <c r="E2317">
        <v>2.2200000000000002</v>
      </c>
      <c r="F2317">
        <v>2.54</v>
      </c>
      <c r="G2317">
        <v>2.99</v>
      </c>
      <c r="H2317">
        <v>3.35</v>
      </c>
      <c r="I2317">
        <v>3.86</v>
      </c>
      <c r="K2317">
        <f t="shared" si="291"/>
        <v>-1.0000000000000009</v>
      </c>
      <c r="L2317">
        <f t="shared" si="292"/>
        <v>-2.0000000000000018</v>
      </c>
      <c r="M2317">
        <f t="shared" si="293"/>
        <v>-1.0000000000000009</v>
      </c>
      <c r="N2317">
        <f t="shared" si="294"/>
        <v>0</v>
      </c>
      <c r="O2317">
        <f t="shared" si="295"/>
        <v>0</v>
      </c>
      <c r="P2317">
        <f t="shared" si="296"/>
        <v>1.0000000000000231</v>
      </c>
      <c r="Q2317">
        <f t="shared" si="297"/>
        <v>2.0000000000000018</v>
      </c>
      <c r="R2317">
        <f t="shared" si="298"/>
        <v>2.0000000000000018</v>
      </c>
    </row>
    <row r="2318" spans="1:18">
      <c r="A2318" s="9">
        <v>40092</v>
      </c>
      <c r="B2318">
        <v>0.59</v>
      </c>
      <c r="C2318">
        <v>1.25</v>
      </c>
      <c r="D2318">
        <v>1.84</v>
      </c>
      <c r="E2318">
        <v>2.29</v>
      </c>
      <c r="F2318">
        <v>2.62</v>
      </c>
      <c r="G2318">
        <v>3.07</v>
      </c>
      <c r="H2318">
        <v>3.43</v>
      </c>
      <c r="I2318">
        <v>3.95</v>
      </c>
      <c r="K2318">
        <f t="shared" si="291"/>
        <v>1.0000000000000009</v>
      </c>
      <c r="L2318">
        <f t="shared" si="292"/>
        <v>4.0000000000000036</v>
      </c>
      <c r="M2318">
        <f t="shared" si="293"/>
        <v>5.0000000000000044</v>
      </c>
      <c r="N2318">
        <f t="shared" si="294"/>
        <v>6.999999999999984</v>
      </c>
      <c r="O2318">
        <f t="shared" si="295"/>
        <v>8.0000000000000071</v>
      </c>
      <c r="P2318">
        <f t="shared" si="296"/>
        <v>7.9999999999999627</v>
      </c>
      <c r="Q2318">
        <f t="shared" si="297"/>
        <v>8.0000000000000071</v>
      </c>
      <c r="R2318">
        <f t="shared" si="298"/>
        <v>9.0000000000000302</v>
      </c>
    </row>
    <row r="2319" spans="1:18">
      <c r="A2319" s="9">
        <v>40093</v>
      </c>
      <c r="B2319">
        <v>0.59</v>
      </c>
      <c r="C2319">
        <v>1.22</v>
      </c>
      <c r="D2319">
        <v>1.79</v>
      </c>
      <c r="E2319">
        <v>2.2400000000000002</v>
      </c>
      <c r="F2319">
        <v>2.56</v>
      </c>
      <c r="G2319">
        <v>3.01</v>
      </c>
      <c r="H2319">
        <v>3.38</v>
      </c>
      <c r="I2319">
        <v>3.93</v>
      </c>
      <c r="K2319">
        <f t="shared" si="291"/>
        <v>0</v>
      </c>
      <c r="L2319">
        <f t="shared" si="292"/>
        <v>-3.0000000000000027</v>
      </c>
      <c r="M2319">
        <f t="shared" si="293"/>
        <v>-5.0000000000000044</v>
      </c>
      <c r="N2319">
        <f t="shared" si="294"/>
        <v>-4.9999999999999822</v>
      </c>
      <c r="O2319">
        <f t="shared" si="295"/>
        <v>-6.0000000000000053</v>
      </c>
      <c r="P2319">
        <f t="shared" si="296"/>
        <v>-6.0000000000000053</v>
      </c>
      <c r="Q2319">
        <f t="shared" si="297"/>
        <v>-5.0000000000000266</v>
      </c>
      <c r="R2319">
        <f t="shared" si="298"/>
        <v>-2.0000000000000018</v>
      </c>
    </row>
    <row r="2320" spans="1:18">
      <c r="A2320" s="9">
        <v>40094</v>
      </c>
      <c r="B2320">
        <v>0.6</v>
      </c>
      <c r="C2320">
        <v>1.22</v>
      </c>
      <c r="D2320">
        <v>1.78</v>
      </c>
      <c r="E2320">
        <v>2.2200000000000002</v>
      </c>
      <c r="F2320">
        <v>2.54</v>
      </c>
      <c r="G2320">
        <v>2.98</v>
      </c>
      <c r="H2320">
        <v>3.34</v>
      </c>
      <c r="I2320">
        <v>3.87</v>
      </c>
      <c r="K2320">
        <f t="shared" si="291"/>
        <v>1.0000000000000009</v>
      </c>
      <c r="L2320">
        <f t="shared" si="292"/>
        <v>0</v>
      </c>
      <c r="M2320">
        <f t="shared" si="293"/>
        <v>-1.0000000000000009</v>
      </c>
      <c r="N2320">
        <f t="shared" si="294"/>
        <v>-2.0000000000000018</v>
      </c>
      <c r="O2320">
        <f t="shared" si="295"/>
        <v>-2.0000000000000018</v>
      </c>
      <c r="P2320">
        <f t="shared" si="296"/>
        <v>-2.9999999999999805</v>
      </c>
      <c r="Q2320">
        <f t="shared" si="297"/>
        <v>-4.0000000000000036</v>
      </c>
      <c r="R2320">
        <f t="shared" si="298"/>
        <v>-6.0000000000000053</v>
      </c>
    </row>
    <row r="2321" spans="1:18">
      <c r="A2321" s="9">
        <v>40095</v>
      </c>
      <c r="B2321">
        <v>0.65</v>
      </c>
      <c r="C2321">
        <v>1.33</v>
      </c>
      <c r="D2321">
        <v>1.93</v>
      </c>
      <c r="E2321">
        <v>2.37</v>
      </c>
      <c r="F2321">
        <v>2.7</v>
      </c>
      <c r="G2321">
        <v>3.16</v>
      </c>
      <c r="H2321">
        <v>3.52</v>
      </c>
      <c r="I2321">
        <v>4.07</v>
      </c>
      <c r="K2321">
        <f t="shared" si="291"/>
        <v>5.0000000000000044</v>
      </c>
      <c r="L2321">
        <f t="shared" si="292"/>
        <v>11.000000000000011</v>
      </c>
      <c r="M2321">
        <f t="shared" si="293"/>
        <v>14.999999999999991</v>
      </c>
      <c r="N2321">
        <f t="shared" si="294"/>
        <v>14.999999999999991</v>
      </c>
      <c r="O2321">
        <f t="shared" si="295"/>
        <v>16.000000000000014</v>
      </c>
      <c r="P2321">
        <f t="shared" si="296"/>
        <v>18.000000000000014</v>
      </c>
      <c r="Q2321">
        <f t="shared" si="297"/>
        <v>18.000000000000014</v>
      </c>
      <c r="R2321">
        <f t="shared" si="298"/>
        <v>20.000000000000018</v>
      </c>
    </row>
    <row r="2322" spans="1:18">
      <c r="A2322" s="9">
        <v>40099</v>
      </c>
      <c r="B2322">
        <v>0.61</v>
      </c>
      <c r="C2322">
        <v>1.27</v>
      </c>
      <c r="D2322">
        <v>1.85</v>
      </c>
      <c r="E2322">
        <v>2.29</v>
      </c>
      <c r="F2322">
        <v>2.62</v>
      </c>
      <c r="G2322">
        <v>3.08</v>
      </c>
      <c r="H2322">
        <v>3.47</v>
      </c>
      <c r="I2322">
        <v>4.04</v>
      </c>
      <c r="K2322">
        <f t="shared" si="291"/>
        <v>-4.0000000000000036</v>
      </c>
      <c r="L2322">
        <f t="shared" si="292"/>
        <v>-6.0000000000000053</v>
      </c>
      <c r="M2322">
        <f t="shared" si="293"/>
        <v>-7.9999999999999849</v>
      </c>
      <c r="N2322">
        <f t="shared" si="294"/>
        <v>-8.0000000000000071</v>
      </c>
      <c r="O2322">
        <f t="shared" si="295"/>
        <v>-8.0000000000000071</v>
      </c>
      <c r="P2322">
        <f t="shared" si="296"/>
        <v>-8.0000000000000071</v>
      </c>
      <c r="Q2322">
        <f t="shared" si="297"/>
        <v>-4.9999999999999822</v>
      </c>
      <c r="R2322">
        <f t="shared" si="298"/>
        <v>-3.0000000000000249</v>
      </c>
    </row>
    <row r="2323" spans="1:18">
      <c r="A2323" s="9">
        <v>40100</v>
      </c>
      <c r="B2323">
        <v>0.62</v>
      </c>
      <c r="C2323">
        <v>1.27</v>
      </c>
      <c r="D2323">
        <v>1.87</v>
      </c>
      <c r="E2323">
        <v>2.3199999999999998</v>
      </c>
      <c r="F2323">
        <v>2.67</v>
      </c>
      <c r="G2323">
        <v>3.14</v>
      </c>
      <c r="H2323">
        <v>3.54</v>
      </c>
      <c r="I2323">
        <v>4.1100000000000003</v>
      </c>
      <c r="K2323">
        <f t="shared" si="291"/>
        <v>1.0000000000000009</v>
      </c>
      <c r="L2323">
        <f t="shared" si="292"/>
        <v>0</v>
      </c>
      <c r="M2323">
        <f t="shared" si="293"/>
        <v>2.0000000000000018</v>
      </c>
      <c r="N2323">
        <f t="shared" si="294"/>
        <v>2.9999999999999805</v>
      </c>
      <c r="O2323">
        <f t="shared" si="295"/>
        <v>4.9999999999999822</v>
      </c>
      <c r="P2323">
        <f t="shared" si="296"/>
        <v>6.0000000000000053</v>
      </c>
      <c r="Q2323">
        <f t="shared" si="297"/>
        <v>6.999999999999984</v>
      </c>
      <c r="R2323">
        <f t="shared" si="298"/>
        <v>7.0000000000000284</v>
      </c>
    </row>
    <row r="2324" spans="1:18">
      <c r="A2324" s="9">
        <v>40101</v>
      </c>
      <c r="B2324">
        <v>0.63</v>
      </c>
      <c r="C2324">
        <v>1.31</v>
      </c>
      <c r="D2324">
        <v>1.91</v>
      </c>
      <c r="E2324">
        <v>2.37</v>
      </c>
      <c r="F2324">
        <v>2.72</v>
      </c>
      <c r="G2324">
        <v>3.21</v>
      </c>
      <c r="H2324">
        <v>3.6</v>
      </c>
      <c r="I2324">
        <v>4.18</v>
      </c>
      <c r="K2324">
        <f t="shared" si="291"/>
        <v>1.0000000000000009</v>
      </c>
      <c r="L2324">
        <f t="shared" si="292"/>
        <v>4.0000000000000036</v>
      </c>
      <c r="M2324">
        <f t="shared" si="293"/>
        <v>3.9999999999999813</v>
      </c>
      <c r="N2324">
        <f t="shared" si="294"/>
        <v>5.0000000000000266</v>
      </c>
      <c r="O2324">
        <f t="shared" si="295"/>
        <v>5.0000000000000266</v>
      </c>
      <c r="P2324">
        <f t="shared" si="296"/>
        <v>6.999999999999984</v>
      </c>
      <c r="Q2324">
        <f t="shared" si="297"/>
        <v>6.0000000000000053</v>
      </c>
      <c r="R2324">
        <f t="shared" si="298"/>
        <v>6.9999999999999396</v>
      </c>
    </row>
    <row r="2325" spans="1:18">
      <c r="A2325" s="9">
        <v>40102</v>
      </c>
      <c r="B2325">
        <v>0.64</v>
      </c>
      <c r="C2325">
        <v>1.35</v>
      </c>
      <c r="D2325">
        <v>1.95</v>
      </c>
      <c r="E2325">
        <v>2.4</v>
      </c>
      <c r="F2325">
        <v>2.74</v>
      </c>
      <c r="G2325">
        <v>3.22</v>
      </c>
      <c r="H2325">
        <v>3.61</v>
      </c>
      <c r="I2325">
        <v>4.1900000000000004</v>
      </c>
      <c r="K2325">
        <f t="shared" si="291"/>
        <v>1.0000000000000009</v>
      </c>
      <c r="L2325">
        <f t="shared" si="292"/>
        <v>4.0000000000000036</v>
      </c>
      <c r="M2325">
        <f t="shared" si="293"/>
        <v>4.0000000000000036</v>
      </c>
      <c r="N2325">
        <f t="shared" si="294"/>
        <v>2.9999999999999805</v>
      </c>
      <c r="O2325">
        <f t="shared" si="295"/>
        <v>2.0000000000000018</v>
      </c>
      <c r="P2325">
        <f t="shared" si="296"/>
        <v>1.0000000000000231</v>
      </c>
      <c r="Q2325">
        <f t="shared" si="297"/>
        <v>0.99999999999997868</v>
      </c>
      <c r="R2325">
        <f t="shared" si="298"/>
        <v>1.0000000000000675</v>
      </c>
    </row>
    <row r="2326" spans="1:18">
      <c r="A2326" s="9">
        <v>40105</v>
      </c>
      <c r="B2326">
        <v>0.64</v>
      </c>
      <c r="C2326">
        <v>1.34</v>
      </c>
      <c r="D2326">
        <v>1.94</v>
      </c>
      <c r="E2326">
        <v>2.39</v>
      </c>
      <c r="F2326">
        <v>2.73</v>
      </c>
      <c r="G2326">
        <v>3.19</v>
      </c>
      <c r="H2326">
        <v>3.57</v>
      </c>
      <c r="I2326">
        <v>4.1399999999999997</v>
      </c>
      <c r="K2326">
        <f t="shared" si="291"/>
        <v>0</v>
      </c>
      <c r="L2326">
        <f t="shared" si="292"/>
        <v>-1.0000000000000009</v>
      </c>
      <c r="M2326">
        <f t="shared" si="293"/>
        <v>-1.0000000000000009</v>
      </c>
      <c r="N2326">
        <f t="shared" si="294"/>
        <v>-0.99999999999997868</v>
      </c>
      <c r="O2326">
        <f t="shared" si="295"/>
        <v>-1.0000000000000231</v>
      </c>
      <c r="P2326">
        <f t="shared" si="296"/>
        <v>-3.0000000000000249</v>
      </c>
      <c r="Q2326">
        <f t="shared" si="297"/>
        <v>-4.0000000000000036</v>
      </c>
      <c r="R2326">
        <f t="shared" si="298"/>
        <v>-5.0000000000000711</v>
      </c>
    </row>
    <row r="2327" spans="1:18">
      <c r="A2327" s="9">
        <v>40106</v>
      </c>
      <c r="B2327">
        <v>0.62</v>
      </c>
      <c r="C2327">
        <v>1.3</v>
      </c>
      <c r="D2327">
        <v>1.88</v>
      </c>
      <c r="E2327">
        <v>2.3199999999999998</v>
      </c>
      <c r="F2327">
        <v>2.66</v>
      </c>
      <c r="G2327">
        <v>3.12</v>
      </c>
      <c r="H2327">
        <v>3.51</v>
      </c>
      <c r="I2327">
        <v>4.0599999999999996</v>
      </c>
      <c r="K2327">
        <f t="shared" si="291"/>
        <v>-2.0000000000000018</v>
      </c>
      <c r="L2327">
        <f t="shared" si="292"/>
        <v>-4.0000000000000036</v>
      </c>
      <c r="M2327">
        <f t="shared" si="293"/>
        <v>-6.0000000000000053</v>
      </c>
      <c r="N2327">
        <f t="shared" si="294"/>
        <v>-7.0000000000000284</v>
      </c>
      <c r="O2327">
        <f t="shared" si="295"/>
        <v>-6.999999999999984</v>
      </c>
      <c r="P2327">
        <f t="shared" si="296"/>
        <v>-6.999999999999984</v>
      </c>
      <c r="Q2327">
        <f t="shared" si="297"/>
        <v>-6.0000000000000053</v>
      </c>
      <c r="R2327">
        <f t="shared" si="298"/>
        <v>-8.0000000000000071</v>
      </c>
    </row>
    <row r="2328" spans="1:18">
      <c r="A2328" s="9">
        <v>40107</v>
      </c>
      <c r="B2328">
        <v>0.64</v>
      </c>
      <c r="C2328">
        <v>1.33</v>
      </c>
      <c r="D2328">
        <v>1.93</v>
      </c>
      <c r="E2328">
        <v>2.39</v>
      </c>
      <c r="F2328">
        <v>2.73</v>
      </c>
      <c r="G2328">
        <v>3.21</v>
      </c>
      <c r="H2328">
        <v>3.59</v>
      </c>
      <c r="I2328">
        <v>4.1500000000000004</v>
      </c>
      <c r="K2328">
        <f t="shared" si="291"/>
        <v>2.0000000000000018</v>
      </c>
      <c r="L2328">
        <f t="shared" si="292"/>
        <v>3.0000000000000027</v>
      </c>
      <c r="M2328">
        <f t="shared" si="293"/>
        <v>5.0000000000000044</v>
      </c>
      <c r="N2328">
        <f t="shared" si="294"/>
        <v>7.0000000000000284</v>
      </c>
      <c r="O2328">
        <f t="shared" si="295"/>
        <v>6.999999999999984</v>
      </c>
      <c r="P2328">
        <f t="shared" si="296"/>
        <v>8.9999999999999858</v>
      </c>
      <c r="Q2328">
        <f t="shared" si="297"/>
        <v>8.0000000000000071</v>
      </c>
      <c r="R2328">
        <f t="shared" si="298"/>
        <v>9.0000000000000746</v>
      </c>
    </row>
    <row r="2329" spans="1:18">
      <c r="A2329" s="9">
        <v>40108</v>
      </c>
      <c r="B2329">
        <v>0.62</v>
      </c>
      <c r="C2329">
        <v>1.31</v>
      </c>
      <c r="D2329">
        <v>1.91</v>
      </c>
      <c r="E2329">
        <v>2.37</v>
      </c>
      <c r="F2329">
        <v>2.72</v>
      </c>
      <c r="G2329">
        <v>3.2</v>
      </c>
      <c r="H2329">
        <v>3.59</v>
      </c>
      <c r="I2329">
        <v>4.16</v>
      </c>
      <c r="K2329">
        <f t="shared" si="291"/>
        <v>-2.0000000000000018</v>
      </c>
      <c r="L2329">
        <f t="shared" si="292"/>
        <v>-2.0000000000000018</v>
      </c>
      <c r="M2329">
        <f t="shared" si="293"/>
        <v>-2.0000000000000018</v>
      </c>
      <c r="N2329">
        <f t="shared" si="294"/>
        <v>-2.0000000000000018</v>
      </c>
      <c r="O2329">
        <f t="shared" si="295"/>
        <v>-0.99999999999997868</v>
      </c>
      <c r="P2329">
        <f t="shared" si="296"/>
        <v>-0.99999999999997868</v>
      </c>
      <c r="Q2329">
        <f t="shared" si="297"/>
        <v>0</v>
      </c>
      <c r="R2329">
        <f t="shared" si="298"/>
        <v>0.99999999999997868</v>
      </c>
    </row>
    <row r="2330" spans="1:18">
      <c r="A2330" s="9">
        <v>40109</v>
      </c>
      <c r="B2330">
        <v>0.65</v>
      </c>
      <c r="C2330">
        <v>1.37</v>
      </c>
      <c r="D2330">
        <v>1.97</v>
      </c>
      <c r="E2330">
        <v>2.4300000000000002</v>
      </c>
      <c r="F2330">
        <v>2.78</v>
      </c>
      <c r="G2330">
        <v>3.25</v>
      </c>
      <c r="H2330">
        <v>3.64</v>
      </c>
      <c r="I2330">
        <v>4.1900000000000004</v>
      </c>
      <c r="K2330">
        <f t="shared" si="291"/>
        <v>3.0000000000000027</v>
      </c>
      <c r="L2330">
        <f t="shared" si="292"/>
        <v>6.0000000000000053</v>
      </c>
      <c r="M2330">
        <f t="shared" si="293"/>
        <v>6.0000000000000053</v>
      </c>
      <c r="N2330">
        <f t="shared" si="294"/>
        <v>6.0000000000000053</v>
      </c>
      <c r="O2330">
        <f t="shared" si="295"/>
        <v>5.9999999999999609</v>
      </c>
      <c r="P2330">
        <f t="shared" si="296"/>
        <v>4.9999999999999822</v>
      </c>
      <c r="Q2330">
        <f t="shared" si="297"/>
        <v>5.0000000000000266</v>
      </c>
      <c r="R2330">
        <f t="shared" si="298"/>
        <v>3.0000000000000249</v>
      </c>
    </row>
    <row r="2331" spans="1:18">
      <c r="A2331" s="9">
        <v>40112</v>
      </c>
      <c r="B2331">
        <v>0.67</v>
      </c>
      <c r="C2331">
        <v>1.41</v>
      </c>
      <c r="D2331">
        <v>2.04</v>
      </c>
      <c r="E2331">
        <v>2.5</v>
      </c>
      <c r="F2331">
        <v>2.86</v>
      </c>
      <c r="G2331">
        <v>3.35</v>
      </c>
      <c r="H2331">
        <v>3.74</v>
      </c>
      <c r="I2331">
        <v>4.3</v>
      </c>
      <c r="K2331">
        <f t="shared" si="291"/>
        <v>2.0000000000000018</v>
      </c>
      <c r="L2331">
        <f t="shared" si="292"/>
        <v>3.9999999999999813</v>
      </c>
      <c r="M2331">
        <f t="shared" si="293"/>
        <v>7.0000000000000062</v>
      </c>
      <c r="N2331">
        <f t="shared" si="294"/>
        <v>6.999999999999984</v>
      </c>
      <c r="O2331">
        <f t="shared" si="295"/>
        <v>8.0000000000000071</v>
      </c>
      <c r="P2331">
        <f t="shared" si="296"/>
        <v>10.000000000000009</v>
      </c>
      <c r="Q2331">
        <f t="shared" si="297"/>
        <v>10.000000000000009</v>
      </c>
      <c r="R2331">
        <f t="shared" si="298"/>
        <v>10.999999999999943</v>
      </c>
    </row>
    <row r="2332" spans="1:18">
      <c r="A2332" s="9">
        <v>40113</v>
      </c>
      <c r="B2332">
        <v>0.64</v>
      </c>
      <c r="C2332">
        <v>1.36</v>
      </c>
      <c r="D2332">
        <v>1.97</v>
      </c>
      <c r="E2332">
        <v>2.4500000000000002</v>
      </c>
      <c r="F2332">
        <v>2.81</v>
      </c>
      <c r="G2332">
        <v>3.31</v>
      </c>
      <c r="H2332">
        <v>3.7</v>
      </c>
      <c r="I2332">
        <v>4.28</v>
      </c>
      <c r="K2332">
        <f t="shared" si="291"/>
        <v>-3.0000000000000027</v>
      </c>
      <c r="L2332">
        <f t="shared" si="292"/>
        <v>-4.9999999999999822</v>
      </c>
      <c r="M2332">
        <f t="shared" si="293"/>
        <v>-7.0000000000000062</v>
      </c>
      <c r="N2332">
        <f t="shared" si="294"/>
        <v>-4.9999999999999822</v>
      </c>
      <c r="O2332">
        <f t="shared" si="295"/>
        <v>-4.9999999999999822</v>
      </c>
      <c r="P2332">
        <f t="shared" si="296"/>
        <v>-4.0000000000000036</v>
      </c>
      <c r="Q2332">
        <f t="shared" si="297"/>
        <v>-4.0000000000000036</v>
      </c>
      <c r="R2332">
        <f t="shared" si="298"/>
        <v>-1.9999999999999574</v>
      </c>
    </row>
    <row r="2333" spans="1:18">
      <c r="A2333" s="9">
        <v>40114</v>
      </c>
      <c r="B2333">
        <v>0.59</v>
      </c>
      <c r="C2333">
        <v>1.26</v>
      </c>
      <c r="D2333">
        <v>1.87</v>
      </c>
      <c r="E2333">
        <v>2.33</v>
      </c>
      <c r="F2333">
        <v>2.69</v>
      </c>
      <c r="G2333">
        <v>3.18</v>
      </c>
      <c r="H2333">
        <v>3.58</v>
      </c>
      <c r="I2333">
        <v>4.16</v>
      </c>
      <c r="K2333">
        <f t="shared" si="291"/>
        <v>-5.0000000000000044</v>
      </c>
      <c r="L2333">
        <f t="shared" si="292"/>
        <v>-10.000000000000009</v>
      </c>
      <c r="M2333">
        <f t="shared" si="293"/>
        <v>-9.9999999999999858</v>
      </c>
      <c r="N2333">
        <f t="shared" si="294"/>
        <v>-12.000000000000011</v>
      </c>
      <c r="O2333">
        <f t="shared" si="295"/>
        <v>-12.000000000000011</v>
      </c>
      <c r="P2333">
        <f t="shared" si="296"/>
        <v>-12.999999999999989</v>
      </c>
      <c r="Q2333">
        <f t="shared" si="297"/>
        <v>-12.000000000000011</v>
      </c>
      <c r="R2333">
        <f t="shared" si="298"/>
        <v>-12.000000000000011</v>
      </c>
    </row>
    <row r="2334" spans="1:18">
      <c r="A2334" s="9">
        <v>40115</v>
      </c>
      <c r="B2334">
        <v>0.62</v>
      </c>
      <c r="C2334">
        <v>1.31</v>
      </c>
      <c r="D2334">
        <v>1.93</v>
      </c>
      <c r="E2334">
        <v>2.4</v>
      </c>
      <c r="F2334">
        <v>2.76</v>
      </c>
      <c r="G2334">
        <v>3.25</v>
      </c>
      <c r="H2334">
        <v>3.65</v>
      </c>
      <c r="I2334">
        <v>4.22</v>
      </c>
      <c r="K2334">
        <f t="shared" si="291"/>
        <v>3.0000000000000027</v>
      </c>
      <c r="L2334">
        <f t="shared" si="292"/>
        <v>5.0000000000000044</v>
      </c>
      <c r="M2334">
        <f t="shared" si="293"/>
        <v>5.9999999999999831</v>
      </c>
      <c r="N2334">
        <f t="shared" si="294"/>
        <v>6.999999999999984</v>
      </c>
      <c r="O2334">
        <f t="shared" si="295"/>
        <v>6.999999999999984</v>
      </c>
      <c r="P2334">
        <f t="shared" si="296"/>
        <v>6.999999999999984</v>
      </c>
      <c r="Q2334">
        <f t="shared" si="297"/>
        <v>6.999999999999984</v>
      </c>
      <c r="R2334">
        <f t="shared" si="298"/>
        <v>5.9999999999999609</v>
      </c>
    </row>
    <row r="2335" spans="1:18">
      <c r="A2335" s="9">
        <v>40116</v>
      </c>
      <c r="B2335">
        <v>0.6</v>
      </c>
      <c r="C2335">
        <v>1.28</v>
      </c>
      <c r="D2335">
        <v>1.9</v>
      </c>
      <c r="E2335">
        <v>2.36</v>
      </c>
      <c r="F2335">
        <v>2.72</v>
      </c>
      <c r="G2335">
        <v>3.22</v>
      </c>
      <c r="H2335">
        <v>3.63</v>
      </c>
      <c r="I2335">
        <v>4.2</v>
      </c>
      <c r="K2335">
        <f t="shared" si="291"/>
        <v>-2.0000000000000018</v>
      </c>
      <c r="L2335">
        <f t="shared" si="292"/>
        <v>-3.0000000000000027</v>
      </c>
      <c r="M2335">
        <f t="shared" si="293"/>
        <v>-3.0000000000000027</v>
      </c>
      <c r="N2335">
        <f t="shared" si="294"/>
        <v>-4.0000000000000036</v>
      </c>
      <c r="O2335">
        <f t="shared" si="295"/>
        <v>-3.9999999999999591</v>
      </c>
      <c r="P2335">
        <f t="shared" si="296"/>
        <v>-2.9999999999999805</v>
      </c>
      <c r="Q2335">
        <f t="shared" si="297"/>
        <v>-2.0000000000000018</v>
      </c>
      <c r="R2335">
        <f t="shared" si="298"/>
        <v>-1.9999999999999574</v>
      </c>
    </row>
    <row r="2336" spans="1:18">
      <c r="A2336" s="9">
        <v>40119</v>
      </c>
      <c r="B2336">
        <v>0.59</v>
      </c>
      <c r="C2336">
        <v>1.27</v>
      </c>
      <c r="D2336">
        <v>1.87</v>
      </c>
      <c r="E2336">
        <v>2.33</v>
      </c>
      <c r="F2336">
        <v>2.68</v>
      </c>
      <c r="G2336">
        <v>3.18</v>
      </c>
      <c r="H2336">
        <v>3.59</v>
      </c>
      <c r="I2336">
        <v>4.16</v>
      </c>
      <c r="K2336">
        <f t="shared" si="291"/>
        <v>-1.0000000000000009</v>
      </c>
      <c r="L2336">
        <f t="shared" si="292"/>
        <v>-1.0000000000000009</v>
      </c>
      <c r="M2336">
        <f t="shared" si="293"/>
        <v>-2.9999999999999805</v>
      </c>
      <c r="N2336">
        <f t="shared" si="294"/>
        <v>-2.9999999999999805</v>
      </c>
      <c r="O2336">
        <f t="shared" si="295"/>
        <v>-4.0000000000000036</v>
      </c>
      <c r="P2336">
        <f t="shared" si="296"/>
        <v>-4.0000000000000036</v>
      </c>
      <c r="Q2336">
        <f t="shared" si="297"/>
        <v>-4.0000000000000036</v>
      </c>
      <c r="R2336">
        <f t="shared" si="298"/>
        <v>-4.0000000000000036</v>
      </c>
    </row>
    <row r="2337" spans="1:18">
      <c r="A2337" s="9">
        <v>40120</v>
      </c>
      <c r="B2337">
        <v>0.59</v>
      </c>
      <c r="C2337">
        <v>1.27</v>
      </c>
      <c r="D2337">
        <v>1.87</v>
      </c>
      <c r="E2337">
        <v>2.34</v>
      </c>
      <c r="F2337">
        <v>2.71</v>
      </c>
      <c r="G2337">
        <v>3.21</v>
      </c>
      <c r="H2337">
        <v>3.62</v>
      </c>
      <c r="I2337">
        <v>4.2</v>
      </c>
      <c r="K2337">
        <f t="shared" si="291"/>
        <v>0</v>
      </c>
      <c r="L2337">
        <f t="shared" si="292"/>
        <v>0</v>
      </c>
      <c r="M2337">
        <f t="shared" si="293"/>
        <v>0</v>
      </c>
      <c r="N2337">
        <f t="shared" si="294"/>
        <v>0.99999999999997868</v>
      </c>
      <c r="O2337">
        <f t="shared" si="295"/>
        <v>2.9999999999999805</v>
      </c>
      <c r="P2337">
        <f t="shared" si="296"/>
        <v>2.9999999999999805</v>
      </c>
      <c r="Q2337">
        <f t="shared" si="297"/>
        <v>3.0000000000000249</v>
      </c>
      <c r="R2337">
        <f t="shared" si="298"/>
        <v>4.0000000000000036</v>
      </c>
    </row>
    <row r="2338" spans="1:18">
      <c r="A2338" s="9">
        <v>40121</v>
      </c>
      <c r="B2338">
        <v>0.62</v>
      </c>
      <c r="C2338">
        <v>1.31</v>
      </c>
      <c r="D2338">
        <v>1.92</v>
      </c>
      <c r="E2338">
        <v>2.39</v>
      </c>
      <c r="F2338">
        <v>2.76</v>
      </c>
      <c r="G2338">
        <v>3.26</v>
      </c>
      <c r="H2338">
        <v>3.68</v>
      </c>
      <c r="I2338">
        <v>4.2699999999999996</v>
      </c>
      <c r="K2338">
        <f t="shared" si="291"/>
        <v>3.0000000000000027</v>
      </c>
      <c r="L2338">
        <f t="shared" si="292"/>
        <v>4.0000000000000036</v>
      </c>
      <c r="M2338">
        <f t="shared" si="293"/>
        <v>4.9999999999999822</v>
      </c>
      <c r="N2338">
        <f t="shared" si="294"/>
        <v>5.0000000000000266</v>
      </c>
      <c r="O2338">
        <f t="shared" si="295"/>
        <v>4.9999999999999822</v>
      </c>
      <c r="P2338">
        <f t="shared" si="296"/>
        <v>4.9999999999999822</v>
      </c>
      <c r="Q2338">
        <f t="shared" si="297"/>
        <v>6.0000000000000053</v>
      </c>
      <c r="R2338">
        <f t="shared" si="298"/>
        <v>6.9999999999999396</v>
      </c>
    </row>
    <row r="2339" spans="1:18">
      <c r="A2339" s="9">
        <v>40122</v>
      </c>
      <c r="B2339">
        <v>0.56000000000000005</v>
      </c>
      <c r="C2339">
        <v>1.24</v>
      </c>
      <c r="D2339">
        <v>1.87</v>
      </c>
      <c r="E2339">
        <v>2.36</v>
      </c>
      <c r="F2339">
        <v>2.74</v>
      </c>
      <c r="G2339">
        <v>3.27</v>
      </c>
      <c r="H2339">
        <v>3.7</v>
      </c>
      <c r="I2339">
        <v>4.32</v>
      </c>
      <c r="K2339">
        <f t="shared" si="291"/>
        <v>-5.9999999999999947</v>
      </c>
      <c r="L2339">
        <f t="shared" si="292"/>
        <v>-7.0000000000000062</v>
      </c>
      <c r="M2339">
        <f t="shared" si="293"/>
        <v>-4.9999999999999822</v>
      </c>
      <c r="N2339">
        <f t="shared" si="294"/>
        <v>-3.0000000000000249</v>
      </c>
      <c r="O2339">
        <f t="shared" si="295"/>
        <v>-1.9999999999999574</v>
      </c>
      <c r="P2339">
        <f t="shared" si="296"/>
        <v>1.0000000000000231</v>
      </c>
      <c r="Q2339">
        <f t="shared" si="297"/>
        <v>2.0000000000000018</v>
      </c>
      <c r="R2339">
        <f t="shared" si="298"/>
        <v>5.0000000000000711</v>
      </c>
    </row>
    <row r="2340" spans="1:18">
      <c r="A2340" s="9">
        <v>40123</v>
      </c>
      <c r="B2340">
        <v>0.53</v>
      </c>
      <c r="C2340">
        <v>1.2</v>
      </c>
      <c r="D2340">
        <v>1.82</v>
      </c>
      <c r="E2340">
        <v>2.2999999999999998</v>
      </c>
      <c r="F2340">
        <v>2.68</v>
      </c>
      <c r="G2340">
        <v>3.22</v>
      </c>
      <c r="H2340">
        <v>3.68</v>
      </c>
      <c r="I2340">
        <v>4.3099999999999996</v>
      </c>
      <c r="K2340">
        <f t="shared" si="291"/>
        <v>-3.0000000000000027</v>
      </c>
      <c r="L2340">
        <f t="shared" si="292"/>
        <v>-4.0000000000000036</v>
      </c>
      <c r="M2340">
        <f t="shared" si="293"/>
        <v>-5.0000000000000044</v>
      </c>
      <c r="N2340">
        <f t="shared" si="294"/>
        <v>-6.0000000000000053</v>
      </c>
      <c r="O2340">
        <f t="shared" si="295"/>
        <v>-6.0000000000000053</v>
      </c>
      <c r="P2340">
        <f t="shared" si="296"/>
        <v>-4.9999999999999822</v>
      </c>
      <c r="Q2340">
        <f t="shared" si="297"/>
        <v>-2.0000000000000018</v>
      </c>
      <c r="R2340">
        <f t="shared" si="298"/>
        <v>-1.0000000000000675</v>
      </c>
    </row>
    <row r="2341" spans="1:18">
      <c r="A2341" s="9">
        <v>40126</v>
      </c>
      <c r="B2341">
        <v>0.52</v>
      </c>
      <c r="C2341">
        <v>1.18</v>
      </c>
      <c r="D2341">
        <v>1.8</v>
      </c>
      <c r="E2341">
        <v>2.2799999999999998</v>
      </c>
      <c r="F2341">
        <v>2.64</v>
      </c>
      <c r="G2341">
        <v>3.18</v>
      </c>
      <c r="H2341">
        <v>3.63</v>
      </c>
      <c r="I2341">
        <v>4.2699999999999996</v>
      </c>
      <c r="K2341">
        <f t="shared" si="291"/>
        <v>-1.0000000000000009</v>
      </c>
      <c r="L2341">
        <f t="shared" si="292"/>
        <v>-2.0000000000000018</v>
      </c>
      <c r="M2341">
        <f t="shared" si="293"/>
        <v>-2.0000000000000018</v>
      </c>
      <c r="N2341">
        <f t="shared" si="294"/>
        <v>-2.0000000000000018</v>
      </c>
      <c r="O2341">
        <f t="shared" si="295"/>
        <v>-4.0000000000000036</v>
      </c>
      <c r="P2341">
        <f t="shared" si="296"/>
        <v>-4.0000000000000036</v>
      </c>
      <c r="Q2341">
        <f t="shared" si="297"/>
        <v>-5.0000000000000266</v>
      </c>
      <c r="R2341">
        <f t="shared" si="298"/>
        <v>-4.0000000000000036</v>
      </c>
    </row>
    <row r="2342" spans="1:18">
      <c r="A2342" s="9">
        <v>40127</v>
      </c>
      <c r="B2342">
        <v>0.52</v>
      </c>
      <c r="C2342">
        <v>1.17</v>
      </c>
      <c r="D2342">
        <v>1.78</v>
      </c>
      <c r="E2342">
        <v>2.25</v>
      </c>
      <c r="F2342">
        <v>2.62</v>
      </c>
      <c r="G2342">
        <v>3.15</v>
      </c>
      <c r="H2342">
        <v>3.59</v>
      </c>
      <c r="I2342">
        <v>4.2300000000000004</v>
      </c>
      <c r="K2342">
        <f t="shared" si="291"/>
        <v>0</v>
      </c>
      <c r="L2342">
        <f t="shared" si="292"/>
        <v>-1.0000000000000009</v>
      </c>
      <c r="M2342">
        <f t="shared" si="293"/>
        <v>-2.0000000000000018</v>
      </c>
      <c r="N2342">
        <f t="shared" si="294"/>
        <v>-2.9999999999999805</v>
      </c>
      <c r="O2342">
        <f t="shared" si="295"/>
        <v>-2.0000000000000018</v>
      </c>
      <c r="P2342">
        <f t="shared" si="296"/>
        <v>-3.0000000000000249</v>
      </c>
      <c r="Q2342">
        <f t="shared" si="297"/>
        <v>-4.0000000000000036</v>
      </c>
      <c r="R2342">
        <f t="shared" si="298"/>
        <v>-3.9999999999999147</v>
      </c>
    </row>
    <row r="2343" spans="1:18">
      <c r="A2343" s="9">
        <v>40129</v>
      </c>
      <c r="B2343">
        <v>0.5</v>
      </c>
      <c r="C2343">
        <v>1.1599999999999999</v>
      </c>
      <c r="D2343">
        <v>1.76</v>
      </c>
      <c r="E2343">
        <v>2.2400000000000002</v>
      </c>
      <c r="F2343">
        <v>2.61</v>
      </c>
      <c r="G2343">
        <v>3.15</v>
      </c>
      <c r="H2343">
        <v>3.6</v>
      </c>
      <c r="I2343">
        <v>4.2699999999999996</v>
      </c>
      <c r="K2343">
        <f t="shared" si="291"/>
        <v>-2.0000000000000018</v>
      </c>
      <c r="L2343">
        <f t="shared" si="292"/>
        <v>-1.0000000000000009</v>
      </c>
      <c r="M2343">
        <f t="shared" si="293"/>
        <v>-2.0000000000000018</v>
      </c>
      <c r="N2343">
        <f t="shared" si="294"/>
        <v>-0.99999999999997868</v>
      </c>
      <c r="O2343">
        <f t="shared" si="295"/>
        <v>-1.0000000000000231</v>
      </c>
      <c r="P2343">
        <f t="shared" si="296"/>
        <v>0</v>
      </c>
      <c r="Q2343">
        <f t="shared" si="297"/>
        <v>1.0000000000000231</v>
      </c>
      <c r="R2343">
        <f t="shared" si="298"/>
        <v>3.9999999999999147</v>
      </c>
    </row>
    <row r="2344" spans="1:18">
      <c r="A2344" s="9">
        <v>40130</v>
      </c>
      <c r="B2344">
        <v>0.5</v>
      </c>
      <c r="C2344">
        <v>1.1499999999999999</v>
      </c>
      <c r="D2344">
        <v>1.76</v>
      </c>
      <c r="E2344">
        <v>2.23</v>
      </c>
      <c r="F2344">
        <v>2.6</v>
      </c>
      <c r="G2344">
        <v>3.13</v>
      </c>
      <c r="H2344">
        <v>3.57</v>
      </c>
      <c r="I2344">
        <v>4.25</v>
      </c>
      <c r="K2344">
        <f t="shared" si="291"/>
        <v>0</v>
      </c>
      <c r="L2344">
        <f t="shared" si="292"/>
        <v>-1.0000000000000009</v>
      </c>
      <c r="M2344">
        <f t="shared" si="293"/>
        <v>0</v>
      </c>
      <c r="N2344">
        <f t="shared" si="294"/>
        <v>-1.0000000000000231</v>
      </c>
      <c r="O2344">
        <f t="shared" si="295"/>
        <v>-0.99999999999997868</v>
      </c>
      <c r="P2344">
        <f t="shared" si="296"/>
        <v>-2.0000000000000018</v>
      </c>
      <c r="Q2344">
        <f t="shared" si="297"/>
        <v>-3.0000000000000249</v>
      </c>
      <c r="R2344">
        <f t="shared" si="298"/>
        <v>-1.9999999999999574</v>
      </c>
    </row>
    <row r="2345" spans="1:18">
      <c r="A2345" s="9">
        <v>40133</v>
      </c>
      <c r="B2345">
        <v>0.49</v>
      </c>
      <c r="C2345">
        <v>1.1299999999999999</v>
      </c>
      <c r="D2345">
        <v>1.73</v>
      </c>
      <c r="E2345">
        <v>2.19</v>
      </c>
      <c r="F2345">
        <v>2.56</v>
      </c>
      <c r="G2345">
        <v>3.07</v>
      </c>
      <c r="H2345">
        <v>3.5</v>
      </c>
      <c r="I2345">
        <v>4.16</v>
      </c>
      <c r="K2345">
        <f t="shared" si="291"/>
        <v>-1.0000000000000009</v>
      </c>
      <c r="L2345">
        <f t="shared" si="292"/>
        <v>-2.0000000000000018</v>
      </c>
      <c r="M2345">
        <f t="shared" si="293"/>
        <v>-3.0000000000000027</v>
      </c>
      <c r="N2345">
        <f t="shared" si="294"/>
        <v>-4.0000000000000036</v>
      </c>
      <c r="O2345">
        <f t="shared" si="295"/>
        <v>-4.0000000000000036</v>
      </c>
      <c r="P2345">
        <f t="shared" si="296"/>
        <v>-6.0000000000000053</v>
      </c>
      <c r="Q2345">
        <f t="shared" si="297"/>
        <v>-6.999999999999984</v>
      </c>
      <c r="R2345">
        <f t="shared" si="298"/>
        <v>-8.9999999999999858</v>
      </c>
    </row>
    <row r="2346" spans="1:18">
      <c r="A2346" s="9">
        <v>40134</v>
      </c>
      <c r="B2346">
        <v>0.48</v>
      </c>
      <c r="C2346">
        <v>1.08</v>
      </c>
      <c r="D2346">
        <v>1.66</v>
      </c>
      <c r="E2346">
        <v>2.12</v>
      </c>
      <c r="F2346">
        <v>2.48</v>
      </c>
      <c r="G2346">
        <v>3.01</v>
      </c>
      <c r="H2346">
        <v>3.45</v>
      </c>
      <c r="I2346">
        <v>4.13</v>
      </c>
      <c r="K2346">
        <f t="shared" si="291"/>
        <v>-1.0000000000000009</v>
      </c>
      <c r="L2346">
        <f t="shared" si="292"/>
        <v>-4.9999999999999822</v>
      </c>
      <c r="M2346">
        <f t="shared" si="293"/>
        <v>-7.0000000000000062</v>
      </c>
      <c r="N2346">
        <f t="shared" si="294"/>
        <v>-6.999999999999984</v>
      </c>
      <c r="O2346">
        <f t="shared" si="295"/>
        <v>-8.0000000000000071</v>
      </c>
      <c r="P2346">
        <f t="shared" si="296"/>
        <v>-6.0000000000000053</v>
      </c>
      <c r="Q2346">
        <f t="shared" si="297"/>
        <v>-4.9999999999999822</v>
      </c>
      <c r="R2346">
        <f t="shared" si="298"/>
        <v>-3.0000000000000249</v>
      </c>
    </row>
    <row r="2347" spans="1:18">
      <c r="A2347" s="9">
        <v>40135</v>
      </c>
      <c r="B2347">
        <v>0.45</v>
      </c>
      <c r="C2347">
        <v>1.05</v>
      </c>
      <c r="D2347">
        <v>1.63</v>
      </c>
      <c r="E2347">
        <v>2.1</v>
      </c>
      <c r="F2347">
        <v>2.4700000000000002</v>
      </c>
      <c r="G2347">
        <v>3</v>
      </c>
      <c r="H2347">
        <v>3.45</v>
      </c>
      <c r="I2347">
        <v>4.1500000000000004</v>
      </c>
      <c r="K2347">
        <f t="shared" si="291"/>
        <v>-2.9999999999999973</v>
      </c>
      <c r="L2347">
        <f t="shared" si="292"/>
        <v>-3.0000000000000027</v>
      </c>
      <c r="M2347">
        <f t="shared" si="293"/>
        <v>-3.0000000000000027</v>
      </c>
      <c r="N2347">
        <f t="shared" si="294"/>
        <v>-2.0000000000000018</v>
      </c>
      <c r="O2347">
        <f t="shared" si="295"/>
        <v>-0.99999999999997868</v>
      </c>
      <c r="P2347">
        <f t="shared" si="296"/>
        <v>-0.99999999999997868</v>
      </c>
      <c r="Q2347">
        <f t="shared" si="297"/>
        <v>0</v>
      </c>
      <c r="R2347">
        <f t="shared" si="298"/>
        <v>2.0000000000000462</v>
      </c>
    </row>
    <row r="2348" spans="1:18">
      <c r="A2348" s="9">
        <v>40136</v>
      </c>
      <c r="B2348">
        <v>0.43</v>
      </c>
      <c r="C2348">
        <v>1.01</v>
      </c>
      <c r="D2348">
        <v>1.59</v>
      </c>
      <c r="E2348">
        <v>2.0699999999999998</v>
      </c>
      <c r="F2348">
        <v>2.4500000000000002</v>
      </c>
      <c r="G2348">
        <v>2.98</v>
      </c>
      <c r="H2348">
        <v>3.43</v>
      </c>
      <c r="I2348">
        <v>4.13</v>
      </c>
      <c r="K2348">
        <f t="shared" si="291"/>
        <v>-2.0000000000000018</v>
      </c>
      <c r="L2348">
        <f t="shared" si="292"/>
        <v>-4.0000000000000036</v>
      </c>
      <c r="M2348">
        <f t="shared" si="293"/>
        <v>-3.9999999999999813</v>
      </c>
      <c r="N2348">
        <f t="shared" si="294"/>
        <v>-3.0000000000000249</v>
      </c>
      <c r="O2348">
        <f t="shared" si="295"/>
        <v>-2.0000000000000018</v>
      </c>
      <c r="P2348">
        <f t="shared" si="296"/>
        <v>-2.0000000000000018</v>
      </c>
      <c r="Q2348">
        <f t="shared" si="297"/>
        <v>-2.0000000000000018</v>
      </c>
      <c r="R2348">
        <f t="shared" si="298"/>
        <v>-2.0000000000000462</v>
      </c>
    </row>
    <row r="2349" spans="1:18">
      <c r="A2349" s="9">
        <v>40137</v>
      </c>
      <c r="B2349">
        <v>0.44</v>
      </c>
      <c r="C2349">
        <v>1.02</v>
      </c>
      <c r="D2349">
        <v>1.61</v>
      </c>
      <c r="E2349">
        <v>2.09</v>
      </c>
      <c r="F2349">
        <v>2.4700000000000002</v>
      </c>
      <c r="G2349">
        <v>3.01</v>
      </c>
      <c r="H2349">
        <v>3.46</v>
      </c>
      <c r="I2349">
        <v>4.1900000000000004</v>
      </c>
      <c r="K2349">
        <f t="shared" si="291"/>
        <v>1.0000000000000009</v>
      </c>
      <c r="L2349">
        <f t="shared" si="292"/>
        <v>1.0000000000000009</v>
      </c>
      <c r="M2349">
        <f t="shared" si="293"/>
        <v>2.0000000000000018</v>
      </c>
      <c r="N2349">
        <f t="shared" si="294"/>
        <v>2.0000000000000018</v>
      </c>
      <c r="O2349">
        <f t="shared" si="295"/>
        <v>2.0000000000000018</v>
      </c>
      <c r="P2349">
        <f t="shared" si="296"/>
        <v>2.9999999999999805</v>
      </c>
      <c r="Q2349">
        <f t="shared" si="297"/>
        <v>2.9999999999999805</v>
      </c>
      <c r="R2349">
        <f t="shared" si="298"/>
        <v>6.0000000000000497</v>
      </c>
    </row>
    <row r="2350" spans="1:18">
      <c r="A2350" s="9">
        <v>40140</v>
      </c>
      <c r="B2350">
        <v>0.45</v>
      </c>
      <c r="C2350">
        <v>1.06</v>
      </c>
      <c r="D2350">
        <v>1.66</v>
      </c>
      <c r="E2350">
        <v>2.13</v>
      </c>
      <c r="F2350">
        <v>2.5</v>
      </c>
      <c r="G2350">
        <v>3.03</v>
      </c>
      <c r="H2350">
        <v>3.49</v>
      </c>
      <c r="I2350">
        <v>4.1900000000000004</v>
      </c>
      <c r="K2350">
        <f t="shared" si="291"/>
        <v>1.0000000000000009</v>
      </c>
      <c r="L2350">
        <f t="shared" si="292"/>
        <v>4.0000000000000036</v>
      </c>
      <c r="M2350">
        <f t="shared" si="293"/>
        <v>4.9999999999999822</v>
      </c>
      <c r="N2350">
        <f t="shared" si="294"/>
        <v>4.0000000000000036</v>
      </c>
      <c r="O2350">
        <f t="shared" si="295"/>
        <v>2.9999999999999805</v>
      </c>
      <c r="P2350">
        <f t="shared" si="296"/>
        <v>2.0000000000000018</v>
      </c>
      <c r="Q2350">
        <f t="shared" si="297"/>
        <v>3.0000000000000249</v>
      </c>
      <c r="R2350">
        <f t="shared" si="298"/>
        <v>0</v>
      </c>
    </row>
    <row r="2351" spans="1:18">
      <c r="A2351" s="9">
        <v>40141</v>
      </c>
      <c r="B2351">
        <v>0.45</v>
      </c>
      <c r="C2351">
        <v>1.04</v>
      </c>
      <c r="D2351">
        <v>1.63</v>
      </c>
      <c r="E2351">
        <v>2.1</v>
      </c>
      <c r="F2351">
        <v>2.4700000000000002</v>
      </c>
      <c r="G2351">
        <v>3</v>
      </c>
      <c r="H2351">
        <v>3.45</v>
      </c>
      <c r="I2351">
        <v>4.16</v>
      </c>
      <c r="K2351">
        <f t="shared" si="291"/>
        <v>0</v>
      </c>
      <c r="L2351">
        <f t="shared" si="292"/>
        <v>-2.0000000000000018</v>
      </c>
      <c r="M2351">
        <f t="shared" si="293"/>
        <v>-3.0000000000000027</v>
      </c>
      <c r="N2351">
        <f t="shared" si="294"/>
        <v>-2.9999999999999805</v>
      </c>
      <c r="O2351">
        <f t="shared" si="295"/>
        <v>-2.9999999999999805</v>
      </c>
      <c r="P2351">
        <f t="shared" si="296"/>
        <v>-2.9999999999999805</v>
      </c>
      <c r="Q2351">
        <f t="shared" si="297"/>
        <v>-4.0000000000000036</v>
      </c>
      <c r="R2351">
        <f t="shared" si="298"/>
        <v>-3.0000000000000249</v>
      </c>
    </row>
    <row r="2352" spans="1:18">
      <c r="A2352" s="9">
        <v>40142</v>
      </c>
      <c r="B2352">
        <v>0.45</v>
      </c>
      <c r="C2352">
        <v>1.03</v>
      </c>
      <c r="D2352">
        <v>1.61</v>
      </c>
      <c r="E2352">
        <v>2.0699999999999998</v>
      </c>
      <c r="F2352">
        <v>2.4300000000000002</v>
      </c>
      <c r="G2352">
        <v>2.96</v>
      </c>
      <c r="H2352">
        <v>3.42</v>
      </c>
      <c r="I2352">
        <v>4.1399999999999997</v>
      </c>
      <c r="K2352">
        <f t="shared" si="291"/>
        <v>0</v>
      </c>
      <c r="L2352">
        <f t="shared" si="292"/>
        <v>-1.0000000000000009</v>
      </c>
      <c r="M2352">
        <f t="shared" si="293"/>
        <v>-1.9999999999999796</v>
      </c>
      <c r="N2352">
        <f t="shared" si="294"/>
        <v>-3.0000000000000249</v>
      </c>
      <c r="O2352">
        <f t="shared" si="295"/>
        <v>-4.0000000000000036</v>
      </c>
      <c r="P2352">
        <f t="shared" si="296"/>
        <v>-4.0000000000000036</v>
      </c>
      <c r="Q2352">
        <f t="shared" si="297"/>
        <v>-3.0000000000000249</v>
      </c>
      <c r="R2352">
        <f t="shared" si="298"/>
        <v>-2.0000000000000462</v>
      </c>
    </row>
    <row r="2353" spans="1:18">
      <c r="A2353" s="9">
        <v>40144</v>
      </c>
      <c r="B2353">
        <v>0.48</v>
      </c>
      <c r="C2353">
        <v>1.04</v>
      </c>
      <c r="D2353">
        <v>1.59</v>
      </c>
      <c r="E2353">
        <v>2.0299999999999998</v>
      </c>
      <c r="F2353">
        <v>2.38</v>
      </c>
      <c r="G2353">
        <v>2.88</v>
      </c>
      <c r="H2353">
        <v>3.33</v>
      </c>
      <c r="I2353">
        <v>4.07</v>
      </c>
      <c r="K2353">
        <f t="shared" si="291"/>
        <v>2.9999999999999973</v>
      </c>
      <c r="L2353">
        <f t="shared" si="292"/>
        <v>1.0000000000000009</v>
      </c>
      <c r="M2353">
        <f t="shared" si="293"/>
        <v>-2.0000000000000018</v>
      </c>
      <c r="N2353">
        <f t="shared" si="294"/>
        <v>-4.0000000000000036</v>
      </c>
      <c r="O2353">
        <f t="shared" si="295"/>
        <v>-5.0000000000000266</v>
      </c>
      <c r="P2353">
        <f t="shared" si="296"/>
        <v>-8.0000000000000071</v>
      </c>
      <c r="Q2353">
        <f t="shared" si="297"/>
        <v>-8.9999999999999858</v>
      </c>
      <c r="R2353">
        <f t="shared" si="298"/>
        <v>-6.9999999999999396</v>
      </c>
    </row>
    <row r="2354" spans="1:18">
      <c r="A2354" s="9">
        <v>40147</v>
      </c>
      <c r="B2354">
        <v>0.47</v>
      </c>
      <c r="C2354">
        <v>1.01</v>
      </c>
      <c r="D2354">
        <v>1.56</v>
      </c>
      <c r="E2354">
        <v>2.0099999999999998</v>
      </c>
      <c r="F2354">
        <v>2.36</v>
      </c>
      <c r="G2354">
        <v>2.87</v>
      </c>
      <c r="H2354">
        <v>3.32</v>
      </c>
      <c r="I2354">
        <v>4.05</v>
      </c>
      <c r="K2354">
        <f t="shared" si="291"/>
        <v>-1.0000000000000009</v>
      </c>
      <c r="L2354">
        <f t="shared" si="292"/>
        <v>-3.0000000000000027</v>
      </c>
      <c r="M2354">
        <f t="shared" si="293"/>
        <v>-3.0000000000000027</v>
      </c>
      <c r="N2354">
        <f t="shared" si="294"/>
        <v>-2.0000000000000018</v>
      </c>
      <c r="O2354">
        <f t="shared" si="295"/>
        <v>-2.0000000000000018</v>
      </c>
      <c r="P2354">
        <f t="shared" si="296"/>
        <v>-0.99999999999997868</v>
      </c>
      <c r="Q2354">
        <f t="shared" si="297"/>
        <v>-1.0000000000000231</v>
      </c>
      <c r="R2354">
        <f t="shared" si="298"/>
        <v>-2.0000000000000462</v>
      </c>
    </row>
    <row r="2355" spans="1:18">
      <c r="A2355" s="9">
        <v>40148</v>
      </c>
      <c r="B2355">
        <v>0.45</v>
      </c>
      <c r="C2355">
        <v>0.98</v>
      </c>
      <c r="D2355">
        <v>1.51</v>
      </c>
      <c r="E2355">
        <v>1.96</v>
      </c>
      <c r="F2355">
        <v>2.33</v>
      </c>
      <c r="G2355">
        <v>2.86</v>
      </c>
      <c r="H2355">
        <v>3.33</v>
      </c>
      <c r="I2355">
        <v>4.0599999999999996</v>
      </c>
      <c r="K2355">
        <f t="shared" si="291"/>
        <v>-1.9999999999999962</v>
      </c>
      <c r="L2355">
        <f t="shared" si="292"/>
        <v>-3.0000000000000027</v>
      </c>
      <c r="M2355">
        <f t="shared" si="293"/>
        <v>-5.0000000000000044</v>
      </c>
      <c r="N2355">
        <f t="shared" si="294"/>
        <v>-4.9999999999999822</v>
      </c>
      <c r="O2355">
        <f t="shared" si="295"/>
        <v>-2.9999999999999805</v>
      </c>
      <c r="P2355">
        <f t="shared" si="296"/>
        <v>-1.0000000000000231</v>
      </c>
      <c r="Q2355">
        <f t="shared" si="297"/>
        <v>1.0000000000000231</v>
      </c>
      <c r="R2355">
        <f t="shared" si="298"/>
        <v>0.99999999999997868</v>
      </c>
    </row>
    <row r="2356" spans="1:18">
      <c r="A2356" s="9">
        <v>40149</v>
      </c>
      <c r="B2356">
        <v>0.49</v>
      </c>
      <c r="C2356">
        <v>1.03</v>
      </c>
      <c r="D2356">
        <v>1.58</v>
      </c>
      <c r="E2356">
        <v>2.04</v>
      </c>
      <c r="F2356">
        <v>2.41</v>
      </c>
      <c r="G2356">
        <v>2.94</v>
      </c>
      <c r="H2356">
        <v>3.41</v>
      </c>
      <c r="I2356">
        <v>4.12</v>
      </c>
      <c r="K2356">
        <f t="shared" si="291"/>
        <v>3.9999999999999982</v>
      </c>
      <c r="L2356">
        <f t="shared" si="292"/>
        <v>5.0000000000000044</v>
      </c>
      <c r="M2356">
        <f t="shared" si="293"/>
        <v>7.0000000000000062</v>
      </c>
      <c r="N2356">
        <f t="shared" si="294"/>
        <v>8.0000000000000071</v>
      </c>
      <c r="O2356">
        <f t="shared" si="295"/>
        <v>8.0000000000000071</v>
      </c>
      <c r="P2356">
        <f t="shared" si="296"/>
        <v>8.0000000000000071</v>
      </c>
      <c r="Q2356">
        <f t="shared" si="297"/>
        <v>8.0000000000000071</v>
      </c>
      <c r="R2356">
        <f t="shared" si="298"/>
        <v>6.0000000000000497</v>
      </c>
    </row>
    <row r="2357" spans="1:18">
      <c r="A2357" s="9">
        <v>40150</v>
      </c>
      <c r="B2357">
        <v>0.51</v>
      </c>
      <c r="C2357">
        <v>1.08</v>
      </c>
      <c r="D2357">
        <v>1.63</v>
      </c>
      <c r="E2357">
        <v>2.1</v>
      </c>
      <c r="F2357">
        <v>2.4700000000000002</v>
      </c>
      <c r="G2357">
        <v>3.01</v>
      </c>
      <c r="H2357">
        <v>3.48</v>
      </c>
      <c r="I2357">
        <v>4.1500000000000004</v>
      </c>
      <c r="K2357">
        <f t="shared" si="291"/>
        <v>2.0000000000000018</v>
      </c>
      <c r="L2357">
        <f t="shared" si="292"/>
        <v>5.0000000000000044</v>
      </c>
      <c r="M2357">
        <f t="shared" si="293"/>
        <v>4.9999999999999822</v>
      </c>
      <c r="N2357">
        <f t="shared" si="294"/>
        <v>6.0000000000000053</v>
      </c>
      <c r="O2357">
        <f t="shared" si="295"/>
        <v>6.0000000000000053</v>
      </c>
      <c r="P2357">
        <f t="shared" si="296"/>
        <v>6.999999999999984</v>
      </c>
      <c r="Q2357">
        <f t="shared" si="297"/>
        <v>6.999999999999984</v>
      </c>
      <c r="R2357">
        <f t="shared" si="298"/>
        <v>3.0000000000000249</v>
      </c>
    </row>
    <row r="2358" spans="1:18">
      <c r="A2358" s="9">
        <v>40151</v>
      </c>
      <c r="B2358">
        <v>0.59</v>
      </c>
      <c r="C2358">
        <v>1.22</v>
      </c>
      <c r="D2358">
        <v>1.81</v>
      </c>
      <c r="E2358">
        <v>2.27</v>
      </c>
      <c r="F2358">
        <v>2.64</v>
      </c>
      <c r="G2358">
        <v>3.17</v>
      </c>
      <c r="H2358">
        <v>3.63</v>
      </c>
      <c r="I2358">
        <v>4.28</v>
      </c>
      <c r="K2358">
        <f t="shared" si="291"/>
        <v>7.9999999999999964</v>
      </c>
      <c r="L2358">
        <f t="shared" si="292"/>
        <v>13.999999999999989</v>
      </c>
      <c r="M2358">
        <f t="shared" si="293"/>
        <v>18.000000000000014</v>
      </c>
      <c r="N2358">
        <f t="shared" si="294"/>
        <v>16.999999999999993</v>
      </c>
      <c r="O2358">
        <f t="shared" si="295"/>
        <v>16.999999999999993</v>
      </c>
      <c r="P2358">
        <f t="shared" si="296"/>
        <v>16.000000000000014</v>
      </c>
      <c r="Q2358">
        <f t="shared" si="297"/>
        <v>14.999999999999991</v>
      </c>
      <c r="R2358">
        <f t="shared" si="298"/>
        <v>12.999999999999989</v>
      </c>
    </row>
    <row r="2359" spans="1:18">
      <c r="A2359" s="9">
        <v>40154</v>
      </c>
      <c r="B2359">
        <v>0.56000000000000005</v>
      </c>
      <c r="C2359">
        <v>1.18</v>
      </c>
      <c r="D2359">
        <v>1.75</v>
      </c>
      <c r="E2359">
        <v>2.2200000000000002</v>
      </c>
      <c r="F2359">
        <v>2.59</v>
      </c>
      <c r="G2359">
        <v>3.12</v>
      </c>
      <c r="H2359">
        <v>3.6</v>
      </c>
      <c r="I2359">
        <v>4.26</v>
      </c>
      <c r="K2359">
        <f t="shared" si="291"/>
        <v>-2.9999999999999916</v>
      </c>
      <c r="L2359">
        <f t="shared" si="292"/>
        <v>-4.0000000000000036</v>
      </c>
      <c r="M2359">
        <f t="shared" si="293"/>
        <v>-6.0000000000000053</v>
      </c>
      <c r="N2359">
        <f t="shared" si="294"/>
        <v>-4.9999999999999822</v>
      </c>
      <c r="O2359">
        <f t="shared" si="295"/>
        <v>-5.0000000000000266</v>
      </c>
      <c r="P2359">
        <f t="shared" si="296"/>
        <v>-4.9999999999999822</v>
      </c>
      <c r="Q2359">
        <f t="shared" si="297"/>
        <v>-2.9999999999999805</v>
      </c>
      <c r="R2359">
        <f t="shared" si="298"/>
        <v>-2.0000000000000462</v>
      </c>
    </row>
    <row r="2360" spans="1:18">
      <c r="A2360" s="9">
        <v>40155</v>
      </c>
      <c r="B2360">
        <v>0.54</v>
      </c>
      <c r="C2360">
        <v>1.1200000000000001</v>
      </c>
      <c r="D2360">
        <v>1.67</v>
      </c>
      <c r="E2360">
        <v>2.13</v>
      </c>
      <c r="F2360">
        <v>2.5</v>
      </c>
      <c r="G2360">
        <v>3.04</v>
      </c>
      <c r="H2360">
        <v>3.52</v>
      </c>
      <c r="I2360">
        <v>4.2</v>
      </c>
      <c r="K2360">
        <f t="shared" si="291"/>
        <v>-2.0000000000000018</v>
      </c>
      <c r="L2360">
        <f t="shared" si="292"/>
        <v>-5.9999999999999831</v>
      </c>
      <c r="M2360">
        <f t="shared" si="293"/>
        <v>-8.0000000000000071</v>
      </c>
      <c r="N2360">
        <f t="shared" si="294"/>
        <v>-9.0000000000000302</v>
      </c>
      <c r="O2360">
        <f t="shared" si="295"/>
        <v>-8.9999999999999858</v>
      </c>
      <c r="P2360">
        <f t="shared" si="296"/>
        <v>-8.0000000000000071</v>
      </c>
      <c r="Q2360">
        <f t="shared" si="297"/>
        <v>-8.0000000000000071</v>
      </c>
      <c r="R2360">
        <f t="shared" si="298"/>
        <v>-5.9999999999999609</v>
      </c>
    </row>
    <row r="2361" spans="1:18">
      <c r="A2361" s="9">
        <v>40156</v>
      </c>
      <c r="B2361">
        <v>0.52</v>
      </c>
      <c r="C2361">
        <v>1.08</v>
      </c>
      <c r="D2361">
        <v>1.64</v>
      </c>
      <c r="E2361">
        <v>2.11</v>
      </c>
      <c r="F2361">
        <v>2.4900000000000002</v>
      </c>
      <c r="G2361">
        <v>3.03</v>
      </c>
      <c r="H2361">
        <v>3.52</v>
      </c>
      <c r="I2361">
        <v>4.22</v>
      </c>
      <c r="K2361">
        <f t="shared" si="291"/>
        <v>-2.0000000000000018</v>
      </c>
      <c r="L2361">
        <f t="shared" si="292"/>
        <v>-4.0000000000000036</v>
      </c>
      <c r="M2361">
        <f t="shared" si="293"/>
        <v>-3.0000000000000027</v>
      </c>
      <c r="N2361">
        <f t="shared" si="294"/>
        <v>-2.0000000000000018</v>
      </c>
      <c r="O2361">
        <f t="shared" si="295"/>
        <v>-0.99999999999997868</v>
      </c>
      <c r="P2361">
        <f t="shared" si="296"/>
        <v>-1.0000000000000231</v>
      </c>
      <c r="Q2361">
        <f t="shared" si="297"/>
        <v>0</v>
      </c>
      <c r="R2361">
        <f t="shared" si="298"/>
        <v>1.9999999999999574</v>
      </c>
    </row>
    <row r="2362" spans="1:18">
      <c r="A2362" s="9">
        <v>40157</v>
      </c>
      <c r="B2362">
        <v>0.54</v>
      </c>
      <c r="C2362">
        <v>1.1299999999999999</v>
      </c>
      <c r="D2362">
        <v>1.7</v>
      </c>
      <c r="E2362">
        <v>2.1800000000000002</v>
      </c>
      <c r="F2362">
        <v>2.57</v>
      </c>
      <c r="G2362">
        <v>3.12</v>
      </c>
      <c r="H2362">
        <v>3.61</v>
      </c>
      <c r="I2362">
        <v>4.3099999999999996</v>
      </c>
      <c r="K2362">
        <f t="shared" si="291"/>
        <v>2.0000000000000018</v>
      </c>
      <c r="L2362">
        <f t="shared" si="292"/>
        <v>4.9999999999999822</v>
      </c>
      <c r="M2362">
        <f t="shared" si="293"/>
        <v>6.0000000000000053</v>
      </c>
      <c r="N2362">
        <f t="shared" si="294"/>
        <v>7.0000000000000284</v>
      </c>
      <c r="O2362">
        <f t="shared" si="295"/>
        <v>7.9999999999999627</v>
      </c>
      <c r="P2362">
        <f t="shared" si="296"/>
        <v>9.0000000000000302</v>
      </c>
      <c r="Q2362">
        <f t="shared" si="297"/>
        <v>8.9999999999999858</v>
      </c>
      <c r="R2362">
        <f t="shared" si="298"/>
        <v>8.9999999999999858</v>
      </c>
    </row>
    <row r="2363" spans="1:18">
      <c r="A2363" s="9">
        <v>40158</v>
      </c>
      <c r="B2363">
        <v>0.56999999999999995</v>
      </c>
      <c r="C2363">
        <v>1.18</v>
      </c>
      <c r="D2363">
        <v>1.77</v>
      </c>
      <c r="E2363">
        <v>2.25</v>
      </c>
      <c r="F2363">
        <v>2.65</v>
      </c>
      <c r="G2363">
        <v>3.21</v>
      </c>
      <c r="H2363">
        <v>3.7</v>
      </c>
      <c r="I2363">
        <v>4.38</v>
      </c>
      <c r="K2363">
        <f t="shared" si="291"/>
        <v>2.9999999999999916</v>
      </c>
      <c r="L2363">
        <f t="shared" si="292"/>
        <v>5.0000000000000044</v>
      </c>
      <c r="M2363">
        <f t="shared" si="293"/>
        <v>7.0000000000000062</v>
      </c>
      <c r="N2363">
        <f t="shared" si="294"/>
        <v>6.999999999999984</v>
      </c>
      <c r="O2363">
        <f t="shared" si="295"/>
        <v>8.0000000000000071</v>
      </c>
      <c r="P2363">
        <f t="shared" si="296"/>
        <v>8.9999999999999858</v>
      </c>
      <c r="Q2363">
        <f t="shared" si="297"/>
        <v>9.0000000000000302</v>
      </c>
      <c r="R2363">
        <f t="shared" si="298"/>
        <v>7.0000000000000284</v>
      </c>
    </row>
    <row r="2364" spans="1:18">
      <c r="A2364" s="9">
        <v>40161</v>
      </c>
      <c r="B2364">
        <v>0.56000000000000005</v>
      </c>
      <c r="C2364">
        <v>1.17</v>
      </c>
      <c r="D2364">
        <v>1.76</v>
      </c>
      <c r="E2364">
        <v>2.2599999999999998</v>
      </c>
      <c r="F2364">
        <v>2.66</v>
      </c>
      <c r="G2364">
        <v>3.2</v>
      </c>
      <c r="H2364">
        <v>3.67</v>
      </c>
      <c r="I2364">
        <v>4.32</v>
      </c>
      <c r="K2364">
        <f t="shared" si="291"/>
        <v>-0.99999999999998979</v>
      </c>
      <c r="L2364">
        <f t="shared" si="292"/>
        <v>-1.0000000000000009</v>
      </c>
      <c r="M2364">
        <f t="shared" si="293"/>
        <v>-1.0000000000000009</v>
      </c>
      <c r="N2364">
        <f t="shared" si="294"/>
        <v>0.99999999999997868</v>
      </c>
      <c r="O2364">
        <f t="shared" si="295"/>
        <v>1.0000000000000231</v>
      </c>
      <c r="P2364">
        <f t="shared" si="296"/>
        <v>-0.99999999999997868</v>
      </c>
      <c r="Q2364">
        <f t="shared" si="297"/>
        <v>-3.0000000000000249</v>
      </c>
      <c r="R2364">
        <f t="shared" si="298"/>
        <v>-5.9999999999999609</v>
      </c>
    </row>
    <row r="2365" spans="1:18">
      <c r="A2365" s="9">
        <v>40162</v>
      </c>
      <c r="B2365">
        <v>0.59</v>
      </c>
      <c r="C2365">
        <v>1.23</v>
      </c>
      <c r="D2365">
        <v>1.83</v>
      </c>
      <c r="E2365">
        <v>2.33</v>
      </c>
      <c r="F2365">
        <v>2.73</v>
      </c>
      <c r="G2365">
        <v>3.28</v>
      </c>
      <c r="H2365">
        <v>3.74</v>
      </c>
      <c r="I2365">
        <v>4.3600000000000003</v>
      </c>
      <c r="K2365">
        <f t="shared" si="291"/>
        <v>2.9999999999999916</v>
      </c>
      <c r="L2365">
        <f t="shared" si="292"/>
        <v>6.0000000000000053</v>
      </c>
      <c r="M2365">
        <f t="shared" si="293"/>
        <v>7.0000000000000062</v>
      </c>
      <c r="N2365">
        <f t="shared" si="294"/>
        <v>7.0000000000000284</v>
      </c>
      <c r="O2365">
        <f t="shared" si="295"/>
        <v>6.999999999999984</v>
      </c>
      <c r="P2365">
        <f t="shared" si="296"/>
        <v>7.9999999999999627</v>
      </c>
      <c r="Q2365">
        <f t="shared" si="297"/>
        <v>7.0000000000000284</v>
      </c>
      <c r="R2365">
        <f t="shared" si="298"/>
        <v>4.0000000000000036</v>
      </c>
    </row>
    <row r="2366" spans="1:18">
      <c r="A2366" s="9">
        <v>40163</v>
      </c>
      <c r="B2366">
        <v>0.56999999999999995</v>
      </c>
      <c r="C2366">
        <v>1.19</v>
      </c>
      <c r="D2366">
        <v>1.78</v>
      </c>
      <c r="E2366">
        <v>2.2799999999999998</v>
      </c>
      <c r="F2366">
        <v>2.69</v>
      </c>
      <c r="G2366">
        <v>3.24</v>
      </c>
      <c r="H2366">
        <v>3.71</v>
      </c>
      <c r="I2366">
        <v>4.3499999999999996</v>
      </c>
      <c r="K2366">
        <f t="shared" si="291"/>
        <v>-2.0000000000000018</v>
      </c>
      <c r="L2366">
        <f t="shared" si="292"/>
        <v>-4.0000000000000036</v>
      </c>
      <c r="M2366">
        <f t="shared" si="293"/>
        <v>-5.0000000000000044</v>
      </c>
      <c r="N2366">
        <f t="shared" si="294"/>
        <v>-5.0000000000000266</v>
      </c>
      <c r="O2366">
        <f t="shared" si="295"/>
        <v>-4.0000000000000036</v>
      </c>
      <c r="P2366">
        <f t="shared" si="296"/>
        <v>-3.9999999999999591</v>
      </c>
      <c r="Q2366">
        <f t="shared" si="297"/>
        <v>-3.0000000000000249</v>
      </c>
      <c r="R2366">
        <f t="shared" si="298"/>
        <v>-1.0000000000000675</v>
      </c>
    </row>
    <row r="2367" spans="1:18">
      <c r="A2367" s="9">
        <v>40164</v>
      </c>
      <c r="B2367">
        <v>0.54</v>
      </c>
      <c r="C2367">
        <v>1.1399999999999999</v>
      </c>
      <c r="D2367">
        <v>1.73</v>
      </c>
      <c r="E2367">
        <v>2.2400000000000002</v>
      </c>
      <c r="F2367">
        <v>2.64</v>
      </c>
      <c r="G2367">
        <v>3.19</v>
      </c>
      <c r="H2367">
        <v>3.67</v>
      </c>
      <c r="I2367">
        <v>4.3099999999999996</v>
      </c>
      <c r="K2367">
        <f t="shared" si="291"/>
        <v>-2.9999999999999916</v>
      </c>
      <c r="L2367">
        <f t="shared" si="292"/>
        <v>-5.0000000000000044</v>
      </c>
      <c r="M2367">
        <f t="shared" si="293"/>
        <v>-5.0000000000000044</v>
      </c>
      <c r="N2367">
        <f t="shared" si="294"/>
        <v>-3.9999999999999591</v>
      </c>
      <c r="O2367">
        <f t="shared" si="295"/>
        <v>-4.9999999999999822</v>
      </c>
      <c r="P2367">
        <f t="shared" si="296"/>
        <v>-5.0000000000000266</v>
      </c>
      <c r="Q2367">
        <f t="shared" si="297"/>
        <v>-4.0000000000000036</v>
      </c>
      <c r="R2367">
        <f t="shared" si="298"/>
        <v>-4.0000000000000036</v>
      </c>
    </row>
    <row r="2368" spans="1:18">
      <c r="A2368" s="9">
        <v>40165</v>
      </c>
      <c r="B2368">
        <v>0.53</v>
      </c>
      <c r="C2368">
        <v>1.1200000000000001</v>
      </c>
      <c r="D2368">
        <v>1.72</v>
      </c>
      <c r="E2368">
        <v>2.2200000000000002</v>
      </c>
      <c r="F2368">
        <v>2.62</v>
      </c>
      <c r="G2368">
        <v>3.17</v>
      </c>
      <c r="H2368">
        <v>3.64</v>
      </c>
      <c r="I2368">
        <v>4.26</v>
      </c>
      <c r="K2368">
        <f t="shared" si="291"/>
        <v>-1.0000000000000009</v>
      </c>
      <c r="L2368">
        <f t="shared" si="292"/>
        <v>-1.9999999999999796</v>
      </c>
      <c r="M2368">
        <f t="shared" si="293"/>
        <v>-1.0000000000000009</v>
      </c>
      <c r="N2368">
        <f t="shared" si="294"/>
        <v>-2.0000000000000018</v>
      </c>
      <c r="O2368">
        <f t="shared" si="295"/>
        <v>-2.0000000000000018</v>
      </c>
      <c r="P2368">
        <f t="shared" si="296"/>
        <v>-2.0000000000000018</v>
      </c>
      <c r="Q2368">
        <f t="shared" si="297"/>
        <v>-2.9999999999999805</v>
      </c>
      <c r="R2368">
        <f t="shared" si="298"/>
        <v>-4.9999999999999822</v>
      </c>
    </row>
    <row r="2369" spans="1:18">
      <c r="A2369" s="9">
        <v>40168</v>
      </c>
      <c r="B2369">
        <v>0.55000000000000004</v>
      </c>
      <c r="C2369">
        <v>1.19</v>
      </c>
      <c r="D2369">
        <v>1.82</v>
      </c>
      <c r="E2369">
        <v>2.33</v>
      </c>
      <c r="F2369">
        <v>2.74</v>
      </c>
      <c r="G2369">
        <v>3.31</v>
      </c>
      <c r="H2369">
        <v>3.78</v>
      </c>
      <c r="I2369">
        <v>4.3899999999999997</v>
      </c>
      <c r="K2369">
        <f t="shared" si="291"/>
        <v>2.0000000000000018</v>
      </c>
      <c r="L2369">
        <f t="shared" si="292"/>
        <v>6.999999999999984</v>
      </c>
      <c r="M2369">
        <f t="shared" si="293"/>
        <v>10.000000000000009</v>
      </c>
      <c r="N2369">
        <f t="shared" si="294"/>
        <v>10.999999999999988</v>
      </c>
      <c r="O2369">
        <f t="shared" si="295"/>
        <v>12.000000000000011</v>
      </c>
      <c r="P2369">
        <f t="shared" si="296"/>
        <v>14.000000000000012</v>
      </c>
      <c r="Q2369">
        <f t="shared" si="297"/>
        <v>13.999999999999968</v>
      </c>
      <c r="R2369">
        <f t="shared" si="298"/>
        <v>12.999999999999989</v>
      </c>
    </row>
    <row r="2370" spans="1:18">
      <c r="A2370" s="9">
        <v>40169</v>
      </c>
      <c r="B2370">
        <v>0.56000000000000005</v>
      </c>
      <c r="C2370">
        <v>1.24</v>
      </c>
      <c r="D2370">
        <v>1.89</v>
      </c>
      <c r="E2370">
        <v>2.4300000000000002</v>
      </c>
      <c r="F2370">
        <v>2.85</v>
      </c>
      <c r="G2370">
        <v>3.43</v>
      </c>
      <c r="H2370">
        <v>3.92</v>
      </c>
      <c r="I2370">
        <v>4.5</v>
      </c>
      <c r="K2370">
        <f t="shared" si="291"/>
        <v>1.0000000000000009</v>
      </c>
      <c r="L2370">
        <f t="shared" si="292"/>
        <v>5.0000000000000044</v>
      </c>
      <c r="M2370">
        <f t="shared" si="293"/>
        <v>6.999999999999984</v>
      </c>
      <c r="N2370">
        <f t="shared" si="294"/>
        <v>10.000000000000009</v>
      </c>
      <c r="O2370">
        <f t="shared" si="295"/>
        <v>10.999999999999988</v>
      </c>
      <c r="P2370">
        <f t="shared" si="296"/>
        <v>12.000000000000011</v>
      </c>
      <c r="Q2370">
        <f t="shared" si="297"/>
        <v>14.000000000000012</v>
      </c>
      <c r="R2370">
        <f t="shared" si="298"/>
        <v>11.000000000000032</v>
      </c>
    </row>
    <row r="2371" spans="1:18">
      <c r="A2371" s="9">
        <v>40170</v>
      </c>
      <c r="B2371">
        <v>0.57999999999999996</v>
      </c>
      <c r="C2371">
        <v>1.26</v>
      </c>
      <c r="D2371">
        <v>1.9</v>
      </c>
      <c r="E2371">
        <v>2.42</v>
      </c>
      <c r="F2371">
        <v>2.83</v>
      </c>
      <c r="G2371">
        <v>3.39</v>
      </c>
      <c r="H2371">
        <v>3.87</v>
      </c>
      <c r="I2371">
        <v>4.45</v>
      </c>
      <c r="K2371">
        <f t="shared" si="291"/>
        <v>1.9999999999999907</v>
      </c>
      <c r="L2371">
        <f t="shared" si="292"/>
        <v>2.0000000000000018</v>
      </c>
      <c r="M2371">
        <f t="shared" si="293"/>
        <v>1.0000000000000009</v>
      </c>
      <c r="N2371">
        <f t="shared" si="294"/>
        <v>-1.0000000000000231</v>
      </c>
      <c r="O2371">
        <f t="shared" si="295"/>
        <v>-2.0000000000000018</v>
      </c>
      <c r="P2371">
        <f t="shared" si="296"/>
        <v>-4.0000000000000036</v>
      </c>
      <c r="Q2371">
        <f t="shared" si="297"/>
        <v>-4.9999999999999822</v>
      </c>
      <c r="R2371">
        <f t="shared" si="298"/>
        <v>-4.9999999999999822</v>
      </c>
    </row>
    <row r="2372" spans="1:18">
      <c r="A2372" s="9">
        <v>40171</v>
      </c>
      <c r="B2372">
        <v>0.62</v>
      </c>
      <c r="C2372">
        <v>1.32</v>
      </c>
      <c r="D2372">
        <v>1.97</v>
      </c>
      <c r="E2372">
        <v>2.4900000000000002</v>
      </c>
      <c r="F2372">
        <v>2.9</v>
      </c>
      <c r="G2372">
        <v>3.46</v>
      </c>
      <c r="H2372">
        <v>3.93</v>
      </c>
      <c r="I2372">
        <v>4.53</v>
      </c>
      <c r="K2372">
        <f t="shared" si="291"/>
        <v>4.0000000000000036</v>
      </c>
      <c r="L2372">
        <f t="shared" si="292"/>
        <v>6.0000000000000053</v>
      </c>
      <c r="M2372">
        <f t="shared" si="293"/>
        <v>7.0000000000000062</v>
      </c>
      <c r="N2372">
        <f t="shared" si="294"/>
        <v>7.0000000000000284</v>
      </c>
      <c r="O2372">
        <f t="shared" si="295"/>
        <v>6.999999999999984</v>
      </c>
      <c r="P2372">
        <f t="shared" si="296"/>
        <v>6.999999999999984</v>
      </c>
      <c r="Q2372">
        <f t="shared" si="297"/>
        <v>6.0000000000000053</v>
      </c>
      <c r="R2372">
        <f t="shared" si="298"/>
        <v>8.0000000000000071</v>
      </c>
    </row>
    <row r="2373" spans="1:18">
      <c r="A2373" s="9">
        <v>40175</v>
      </c>
      <c r="B2373">
        <v>0.64</v>
      </c>
      <c r="C2373">
        <v>1.37</v>
      </c>
      <c r="D2373">
        <v>2.0099999999999998</v>
      </c>
      <c r="E2373">
        <v>2.54</v>
      </c>
      <c r="F2373">
        <v>2.95</v>
      </c>
      <c r="G2373">
        <v>3.52</v>
      </c>
      <c r="H2373">
        <v>3.98</v>
      </c>
      <c r="I2373">
        <v>4.57</v>
      </c>
      <c r="K2373">
        <f t="shared" ref="K2373:K2436" si="299">(B2373-B2372)*100</f>
        <v>2.0000000000000018</v>
      </c>
      <c r="L2373">
        <f t="shared" ref="L2373:L2436" si="300">(C2373-C2372)*100</f>
        <v>5.0000000000000044</v>
      </c>
      <c r="M2373">
        <f t="shared" ref="M2373:M2436" si="301">(D2373-D2372)*100</f>
        <v>3.9999999999999813</v>
      </c>
      <c r="N2373">
        <f t="shared" ref="N2373:N2436" si="302">(E2373-E2372)*100</f>
        <v>4.9999999999999822</v>
      </c>
      <c r="O2373">
        <f t="shared" ref="O2373:O2436" si="303">(F2373-F2372)*100</f>
        <v>5.0000000000000266</v>
      </c>
      <c r="P2373">
        <f t="shared" ref="P2373:P2436" si="304">(G2373-G2372)*100</f>
        <v>6.0000000000000053</v>
      </c>
      <c r="Q2373">
        <f t="shared" ref="Q2373:Q2436" si="305">(H2373-H2372)*100</f>
        <v>4.9999999999999822</v>
      </c>
      <c r="R2373">
        <f t="shared" ref="R2373:R2436" si="306">(I2373-I2372)*100</f>
        <v>4.0000000000000036</v>
      </c>
    </row>
    <row r="2374" spans="1:18">
      <c r="A2374" s="9">
        <v>40176</v>
      </c>
      <c r="B2374">
        <v>0.66</v>
      </c>
      <c r="C2374">
        <v>1.4</v>
      </c>
      <c r="D2374">
        <v>2.0499999999999998</v>
      </c>
      <c r="E2374">
        <v>2.57</v>
      </c>
      <c r="F2374">
        <v>2.98</v>
      </c>
      <c r="G2374">
        <v>3.53</v>
      </c>
      <c r="H2374">
        <v>3.98</v>
      </c>
      <c r="I2374">
        <v>4.5599999999999996</v>
      </c>
      <c r="K2374">
        <f t="shared" si="299"/>
        <v>2.0000000000000018</v>
      </c>
      <c r="L2374">
        <f t="shared" si="300"/>
        <v>2.9999999999999805</v>
      </c>
      <c r="M2374">
        <f t="shared" si="301"/>
        <v>4.0000000000000036</v>
      </c>
      <c r="N2374">
        <f t="shared" si="302"/>
        <v>2.9999999999999805</v>
      </c>
      <c r="O2374">
        <f t="shared" si="303"/>
        <v>2.9999999999999805</v>
      </c>
      <c r="P2374">
        <f t="shared" si="304"/>
        <v>0.99999999999997868</v>
      </c>
      <c r="Q2374">
        <f t="shared" si="305"/>
        <v>0</v>
      </c>
      <c r="R2374">
        <f t="shared" si="306"/>
        <v>-1.0000000000000675</v>
      </c>
    </row>
    <row r="2375" spans="1:18">
      <c r="A2375" s="9">
        <v>40177</v>
      </c>
      <c r="B2375">
        <v>0.66</v>
      </c>
      <c r="C2375">
        <v>1.38</v>
      </c>
      <c r="D2375">
        <v>2.02</v>
      </c>
      <c r="E2375">
        <v>2.54</v>
      </c>
      <c r="F2375">
        <v>2.94</v>
      </c>
      <c r="G2375">
        <v>3.48</v>
      </c>
      <c r="H2375">
        <v>3.93</v>
      </c>
      <c r="I2375">
        <v>4.49</v>
      </c>
      <c r="K2375">
        <f t="shared" si="299"/>
        <v>0</v>
      </c>
      <c r="L2375">
        <f t="shared" si="300"/>
        <v>-2.0000000000000018</v>
      </c>
      <c r="M2375">
        <f t="shared" si="301"/>
        <v>-2.9999999999999805</v>
      </c>
      <c r="N2375">
        <f t="shared" si="302"/>
        <v>-2.9999999999999805</v>
      </c>
      <c r="O2375">
        <f t="shared" si="303"/>
        <v>-4.0000000000000036</v>
      </c>
      <c r="P2375">
        <f t="shared" si="304"/>
        <v>-4.9999999999999822</v>
      </c>
      <c r="Q2375">
        <f t="shared" si="305"/>
        <v>-4.9999999999999822</v>
      </c>
      <c r="R2375">
        <f t="shared" si="306"/>
        <v>-6.9999999999999396</v>
      </c>
    </row>
    <row r="2376" spans="1:18">
      <c r="A2376" s="9">
        <v>40178</v>
      </c>
      <c r="B2376">
        <v>0.69</v>
      </c>
      <c r="C2376">
        <v>1.46</v>
      </c>
      <c r="D2376">
        <v>2.1</v>
      </c>
      <c r="E2376">
        <v>2.62</v>
      </c>
      <c r="F2376">
        <v>3.02</v>
      </c>
      <c r="G2376">
        <v>3.56</v>
      </c>
      <c r="H2376">
        <v>4.01</v>
      </c>
      <c r="I2376">
        <v>4.5599999999999996</v>
      </c>
      <c r="K2376">
        <f t="shared" si="299"/>
        <v>2.9999999999999916</v>
      </c>
      <c r="L2376">
        <f t="shared" si="300"/>
        <v>8.0000000000000071</v>
      </c>
      <c r="M2376">
        <f t="shared" si="301"/>
        <v>8.0000000000000071</v>
      </c>
      <c r="N2376">
        <f t="shared" si="302"/>
        <v>8.0000000000000071</v>
      </c>
      <c r="O2376">
        <f t="shared" si="303"/>
        <v>8.0000000000000071</v>
      </c>
      <c r="P2376">
        <f t="shared" si="304"/>
        <v>8.0000000000000071</v>
      </c>
      <c r="Q2376">
        <f t="shared" si="305"/>
        <v>7.9999999999999627</v>
      </c>
      <c r="R2376">
        <f t="shared" si="306"/>
        <v>6.9999999999999396</v>
      </c>
    </row>
    <row r="2377" spans="1:18">
      <c r="A2377" s="9">
        <v>40182</v>
      </c>
      <c r="B2377">
        <v>0.65</v>
      </c>
      <c r="C2377">
        <v>1.38</v>
      </c>
      <c r="D2377">
        <v>2.02</v>
      </c>
      <c r="E2377">
        <v>2.5299999999999998</v>
      </c>
      <c r="F2377">
        <v>2.93</v>
      </c>
      <c r="G2377">
        <v>3.48</v>
      </c>
      <c r="H2377">
        <v>3.93</v>
      </c>
      <c r="I2377">
        <v>4.51</v>
      </c>
      <c r="K2377">
        <f t="shared" si="299"/>
        <v>-3.9999999999999925</v>
      </c>
      <c r="L2377">
        <f t="shared" si="300"/>
        <v>-8.0000000000000071</v>
      </c>
      <c r="M2377">
        <f t="shared" si="301"/>
        <v>-8.0000000000000071</v>
      </c>
      <c r="N2377">
        <f t="shared" si="302"/>
        <v>-9.0000000000000302</v>
      </c>
      <c r="O2377">
        <f t="shared" si="303"/>
        <v>-8.9999999999999858</v>
      </c>
      <c r="P2377">
        <f t="shared" si="304"/>
        <v>-8.0000000000000071</v>
      </c>
      <c r="Q2377">
        <f t="shared" si="305"/>
        <v>-7.9999999999999627</v>
      </c>
      <c r="R2377">
        <f t="shared" si="306"/>
        <v>-4.9999999999999822</v>
      </c>
    </row>
    <row r="2378" spans="1:18">
      <c r="A2378" s="9">
        <v>40183</v>
      </c>
      <c r="B2378">
        <v>0.61</v>
      </c>
      <c r="C2378">
        <v>1.3</v>
      </c>
      <c r="D2378">
        <v>1.93</v>
      </c>
      <c r="E2378">
        <v>2.4500000000000002</v>
      </c>
      <c r="F2378">
        <v>2.86</v>
      </c>
      <c r="G2378">
        <v>3.41</v>
      </c>
      <c r="H2378">
        <v>3.87</v>
      </c>
      <c r="I2378">
        <v>4.46</v>
      </c>
      <c r="K2378">
        <f t="shared" si="299"/>
        <v>-4.0000000000000036</v>
      </c>
      <c r="L2378">
        <f t="shared" si="300"/>
        <v>-7.9999999999999849</v>
      </c>
      <c r="M2378">
        <f t="shared" si="301"/>
        <v>-9.0000000000000071</v>
      </c>
      <c r="N2378">
        <f t="shared" si="302"/>
        <v>-7.9999999999999627</v>
      </c>
      <c r="O2378">
        <f t="shared" si="303"/>
        <v>-7.0000000000000284</v>
      </c>
      <c r="P2378">
        <f t="shared" si="304"/>
        <v>-6.999999999999984</v>
      </c>
      <c r="Q2378">
        <f t="shared" si="305"/>
        <v>-6.0000000000000053</v>
      </c>
      <c r="R2378">
        <f t="shared" si="306"/>
        <v>-4.9999999999999822</v>
      </c>
    </row>
    <row r="2379" spans="1:18">
      <c r="A2379" s="9">
        <v>40184</v>
      </c>
      <c r="B2379">
        <v>0.6</v>
      </c>
      <c r="C2379">
        <v>1.32</v>
      </c>
      <c r="D2379">
        <v>1.96</v>
      </c>
      <c r="E2379">
        <v>2.4700000000000002</v>
      </c>
      <c r="F2379">
        <v>2.89</v>
      </c>
      <c r="G2379">
        <v>3.45</v>
      </c>
      <c r="H2379">
        <v>3.92</v>
      </c>
      <c r="I2379">
        <v>4.5199999999999996</v>
      </c>
      <c r="K2379">
        <f t="shared" si="299"/>
        <v>-1.0000000000000009</v>
      </c>
      <c r="L2379">
        <f t="shared" si="300"/>
        <v>2.0000000000000018</v>
      </c>
      <c r="M2379">
        <f t="shared" si="301"/>
        <v>3.0000000000000027</v>
      </c>
      <c r="N2379">
        <f t="shared" si="302"/>
        <v>2.0000000000000018</v>
      </c>
      <c r="O2379">
        <f t="shared" si="303"/>
        <v>3.0000000000000249</v>
      </c>
      <c r="P2379">
        <f t="shared" si="304"/>
        <v>4.0000000000000036</v>
      </c>
      <c r="Q2379">
        <f t="shared" si="305"/>
        <v>4.9999999999999822</v>
      </c>
      <c r="R2379">
        <f t="shared" si="306"/>
        <v>5.9999999999999609</v>
      </c>
    </row>
    <row r="2380" spans="1:18">
      <c r="A2380" s="9">
        <v>40185</v>
      </c>
      <c r="B2380">
        <v>0.56999999999999995</v>
      </c>
      <c r="C2380">
        <v>1.28</v>
      </c>
      <c r="D2380">
        <v>1.93</v>
      </c>
      <c r="E2380">
        <v>2.4700000000000002</v>
      </c>
      <c r="F2380">
        <v>2.88</v>
      </c>
      <c r="G2380">
        <v>3.45</v>
      </c>
      <c r="H2380">
        <v>3.92</v>
      </c>
      <c r="I2380">
        <v>4.53</v>
      </c>
      <c r="K2380">
        <f t="shared" si="299"/>
        <v>-3.0000000000000027</v>
      </c>
      <c r="L2380">
        <f t="shared" si="300"/>
        <v>-4.0000000000000036</v>
      </c>
      <c r="M2380">
        <f t="shared" si="301"/>
        <v>-3.0000000000000027</v>
      </c>
      <c r="N2380">
        <f t="shared" si="302"/>
        <v>0</v>
      </c>
      <c r="O2380">
        <f t="shared" si="303"/>
        <v>-1.0000000000000231</v>
      </c>
      <c r="P2380">
        <f t="shared" si="304"/>
        <v>0</v>
      </c>
      <c r="Q2380">
        <f t="shared" si="305"/>
        <v>0</v>
      </c>
      <c r="R2380">
        <f t="shared" si="306"/>
        <v>1.0000000000000675</v>
      </c>
    </row>
    <row r="2381" spans="1:18">
      <c r="A2381" s="9">
        <v>40186</v>
      </c>
      <c r="B2381">
        <v>0.55000000000000004</v>
      </c>
      <c r="C2381">
        <v>1.26</v>
      </c>
      <c r="D2381">
        <v>1.93</v>
      </c>
      <c r="E2381">
        <v>2.4700000000000002</v>
      </c>
      <c r="F2381">
        <v>2.89</v>
      </c>
      <c r="G2381">
        <v>3.46</v>
      </c>
      <c r="H2381">
        <v>3.94</v>
      </c>
      <c r="I2381">
        <v>4.58</v>
      </c>
      <c r="K2381">
        <f t="shared" si="299"/>
        <v>-1.9999999999999907</v>
      </c>
      <c r="L2381">
        <f t="shared" si="300"/>
        <v>-2.0000000000000018</v>
      </c>
      <c r="M2381">
        <f t="shared" si="301"/>
        <v>0</v>
      </c>
      <c r="N2381">
        <f t="shared" si="302"/>
        <v>0</v>
      </c>
      <c r="O2381">
        <f t="shared" si="303"/>
        <v>1.0000000000000231</v>
      </c>
      <c r="P2381">
        <f t="shared" si="304"/>
        <v>0.99999999999997868</v>
      </c>
      <c r="Q2381">
        <f t="shared" si="305"/>
        <v>2.0000000000000018</v>
      </c>
      <c r="R2381">
        <f t="shared" si="306"/>
        <v>4.9999999999999822</v>
      </c>
    </row>
    <row r="2382" spans="1:18">
      <c r="A2382" s="9">
        <v>40189</v>
      </c>
      <c r="B2382">
        <v>0.53</v>
      </c>
      <c r="C2382">
        <v>1.2</v>
      </c>
      <c r="D2382">
        <v>1.87</v>
      </c>
      <c r="E2382">
        <v>2.41</v>
      </c>
      <c r="F2382">
        <v>2.84</v>
      </c>
      <c r="G2382">
        <v>3.41</v>
      </c>
      <c r="H2382">
        <v>3.91</v>
      </c>
      <c r="I2382">
        <v>4.5599999999999996</v>
      </c>
      <c r="K2382">
        <f t="shared" si="299"/>
        <v>-2.0000000000000018</v>
      </c>
      <c r="L2382">
        <f t="shared" si="300"/>
        <v>-6.0000000000000053</v>
      </c>
      <c r="M2382">
        <f t="shared" si="301"/>
        <v>-5.9999999999999831</v>
      </c>
      <c r="N2382">
        <f t="shared" si="302"/>
        <v>-6.0000000000000053</v>
      </c>
      <c r="O2382">
        <f t="shared" si="303"/>
        <v>-5.0000000000000266</v>
      </c>
      <c r="P2382">
        <f t="shared" si="304"/>
        <v>-4.9999999999999822</v>
      </c>
      <c r="Q2382">
        <f t="shared" si="305"/>
        <v>-2.9999999999999805</v>
      </c>
      <c r="R2382">
        <f t="shared" si="306"/>
        <v>-2.0000000000000462</v>
      </c>
    </row>
    <row r="2383" spans="1:18">
      <c r="A2383" s="9">
        <v>40190</v>
      </c>
      <c r="B2383">
        <v>0.51</v>
      </c>
      <c r="C2383">
        <v>1.18</v>
      </c>
      <c r="D2383">
        <v>1.82</v>
      </c>
      <c r="E2383">
        <v>2.35</v>
      </c>
      <c r="F2383">
        <v>2.78</v>
      </c>
      <c r="G2383">
        <v>3.35</v>
      </c>
      <c r="H2383">
        <v>3.83</v>
      </c>
      <c r="I2383">
        <v>4.5</v>
      </c>
      <c r="K2383">
        <f t="shared" si="299"/>
        <v>-2.0000000000000018</v>
      </c>
      <c r="L2383">
        <f t="shared" si="300"/>
        <v>-2.0000000000000018</v>
      </c>
      <c r="M2383">
        <f t="shared" si="301"/>
        <v>-5.0000000000000044</v>
      </c>
      <c r="N2383">
        <f t="shared" si="302"/>
        <v>-6.0000000000000053</v>
      </c>
      <c r="O2383">
        <f t="shared" si="303"/>
        <v>-6.0000000000000053</v>
      </c>
      <c r="P2383">
        <f t="shared" si="304"/>
        <v>-6.0000000000000053</v>
      </c>
      <c r="Q2383">
        <f t="shared" si="305"/>
        <v>-8.0000000000000071</v>
      </c>
      <c r="R2383">
        <f t="shared" si="306"/>
        <v>-5.9999999999999609</v>
      </c>
    </row>
    <row r="2384" spans="1:18">
      <c r="A2384" s="9">
        <v>40191</v>
      </c>
      <c r="B2384">
        <v>0.53</v>
      </c>
      <c r="C2384">
        <v>1.19</v>
      </c>
      <c r="D2384">
        <v>1.82</v>
      </c>
      <c r="E2384">
        <v>2.36</v>
      </c>
      <c r="F2384">
        <v>2.77</v>
      </c>
      <c r="G2384">
        <v>3.34</v>
      </c>
      <c r="H2384">
        <v>3.82</v>
      </c>
      <c r="I2384">
        <v>4.49</v>
      </c>
      <c r="K2384">
        <f t="shared" si="299"/>
        <v>2.0000000000000018</v>
      </c>
      <c r="L2384">
        <f t="shared" si="300"/>
        <v>1.0000000000000009</v>
      </c>
      <c r="M2384">
        <f t="shared" si="301"/>
        <v>0</v>
      </c>
      <c r="N2384">
        <f t="shared" si="302"/>
        <v>0.99999999999997868</v>
      </c>
      <c r="O2384">
        <f t="shared" si="303"/>
        <v>-0.99999999999997868</v>
      </c>
      <c r="P2384">
        <f t="shared" si="304"/>
        <v>-1.0000000000000231</v>
      </c>
      <c r="Q2384">
        <f t="shared" si="305"/>
        <v>-1.0000000000000231</v>
      </c>
      <c r="R2384">
        <f t="shared" si="306"/>
        <v>-0.99999999999997868</v>
      </c>
    </row>
    <row r="2385" spans="1:18">
      <c r="A2385" s="9">
        <v>40192</v>
      </c>
      <c r="B2385">
        <v>0.52</v>
      </c>
      <c r="C2385">
        <v>1.18</v>
      </c>
      <c r="D2385">
        <v>1.83</v>
      </c>
      <c r="E2385">
        <v>2.36</v>
      </c>
      <c r="F2385">
        <v>2.77</v>
      </c>
      <c r="G2385">
        <v>3.36</v>
      </c>
      <c r="H2385">
        <v>3.85</v>
      </c>
      <c r="I2385">
        <v>4.53</v>
      </c>
      <c r="K2385">
        <f t="shared" si="299"/>
        <v>-1.0000000000000009</v>
      </c>
      <c r="L2385">
        <f t="shared" si="300"/>
        <v>-1.0000000000000009</v>
      </c>
      <c r="M2385">
        <f t="shared" si="301"/>
        <v>1.0000000000000009</v>
      </c>
      <c r="N2385">
        <f t="shared" si="302"/>
        <v>0</v>
      </c>
      <c r="O2385">
        <f t="shared" si="303"/>
        <v>0</v>
      </c>
      <c r="P2385">
        <f t="shared" si="304"/>
        <v>2.0000000000000018</v>
      </c>
      <c r="Q2385">
        <f t="shared" si="305"/>
        <v>3.0000000000000249</v>
      </c>
      <c r="R2385">
        <f t="shared" si="306"/>
        <v>4.0000000000000036</v>
      </c>
    </row>
    <row r="2386" spans="1:18">
      <c r="A2386" s="9">
        <v>40193</v>
      </c>
      <c r="B2386">
        <v>0.5</v>
      </c>
      <c r="C2386">
        <v>1.1399999999999999</v>
      </c>
      <c r="D2386">
        <v>1.76</v>
      </c>
      <c r="E2386">
        <v>2.27</v>
      </c>
      <c r="F2386">
        <v>2.69</v>
      </c>
      <c r="G2386">
        <v>3.27</v>
      </c>
      <c r="H2386">
        <v>3.76</v>
      </c>
      <c r="I2386">
        <v>4.4400000000000004</v>
      </c>
      <c r="K2386">
        <f t="shared" si="299"/>
        <v>-2.0000000000000018</v>
      </c>
      <c r="L2386">
        <f t="shared" si="300"/>
        <v>-4.0000000000000036</v>
      </c>
      <c r="M2386">
        <f t="shared" si="301"/>
        <v>-7.0000000000000062</v>
      </c>
      <c r="N2386">
        <f t="shared" si="302"/>
        <v>-8.9999999999999858</v>
      </c>
      <c r="O2386">
        <f t="shared" si="303"/>
        <v>-8.0000000000000071</v>
      </c>
      <c r="P2386">
        <f t="shared" si="304"/>
        <v>-8.9999999999999858</v>
      </c>
      <c r="Q2386">
        <f t="shared" si="305"/>
        <v>-9.0000000000000302</v>
      </c>
      <c r="R2386">
        <f t="shared" si="306"/>
        <v>-8.9999999999999858</v>
      </c>
    </row>
    <row r="2387" spans="1:18">
      <c r="A2387" s="9">
        <v>40197</v>
      </c>
      <c r="B2387">
        <v>0.51</v>
      </c>
      <c r="C2387">
        <v>1.1599999999999999</v>
      </c>
      <c r="D2387">
        <v>1.79</v>
      </c>
      <c r="E2387">
        <v>2.3199999999999998</v>
      </c>
      <c r="F2387">
        <v>2.74</v>
      </c>
      <c r="G2387">
        <v>3.33</v>
      </c>
      <c r="H2387">
        <v>3.82</v>
      </c>
      <c r="I2387">
        <v>4.5</v>
      </c>
      <c r="K2387">
        <f t="shared" si="299"/>
        <v>1.0000000000000009</v>
      </c>
      <c r="L2387">
        <f t="shared" si="300"/>
        <v>2.0000000000000018</v>
      </c>
      <c r="M2387">
        <f t="shared" si="301"/>
        <v>3.0000000000000027</v>
      </c>
      <c r="N2387">
        <f t="shared" si="302"/>
        <v>4.9999999999999822</v>
      </c>
      <c r="O2387">
        <f t="shared" si="303"/>
        <v>5.0000000000000266</v>
      </c>
      <c r="P2387">
        <f t="shared" si="304"/>
        <v>6.0000000000000053</v>
      </c>
      <c r="Q2387">
        <f t="shared" si="305"/>
        <v>6.0000000000000053</v>
      </c>
      <c r="R2387">
        <f t="shared" si="306"/>
        <v>5.9999999999999609</v>
      </c>
    </row>
    <row r="2388" spans="1:18">
      <c r="A2388" s="9">
        <v>40198</v>
      </c>
      <c r="B2388">
        <v>0.5</v>
      </c>
      <c r="C2388">
        <v>1.1299999999999999</v>
      </c>
      <c r="D2388">
        <v>1.75</v>
      </c>
      <c r="E2388">
        <v>2.27</v>
      </c>
      <c r="F2388">
        <v>2.69</v>
      </c>
      <c r="G2388">
        <v>3.27</v>
      </c>
      <c r="H2388">
        <v>3.75</v>
      </c>
      <c r="I2388">
        <v>4.43</v>
      </c>
      <c r="K2388">
        <f t="shared" si="299"/>
        <v>-1.0000000000000009</v>
      </c>
      <c r="L2388">
        <f t="shared" si="300"/>
        <v>-3.0000000000000027</v>
      </c>
      <c r="M2388">
        <f t="shared" si="301"/>
        <v>-4.0000000000000036</v>
      </c>
      <c r="N2388">
        <f t="shared" si="302"/>
        <v>-4.9999999999999822</v>
      </c>
      <c r="O2388">
        <f t="shared" si="303"/>
        <v>-5.0000000000000266</v>
      </c>
      <c r="P2388">
        <f t="shared" si="304"/>
        <v>-6.0000000000000053</v>
      </c>
      <c r="Q2388">
        <f t="shared" si="305"/>
        <v>-6.999999999999984</v>
      </c>
      <c r="R2388">
        <f t="shared" si="306"/>
        <v>-7.0000000000000284</v>
      </c>
    </row>
    <row r="2389" spans="1:18">
      <c r="A2389" s="9">
        <v>40199</v>
      </c>
      <c r="B2389">
        <v>0.51</v>
      </c>
      <c r="C2389">
        <v>1.1499999999999999</v>
      </c>
      <c r="D2389">
        <v>1.77</v>
      </c>
      <c r="E2389">
        <v>2.2799999999999998</v>
      </c>
      <c r="F2389">
        <v>2.7</v>
      </c>
      <c r="G2389">
        <v>3.26</v>
      </c>
      <c r="H2389">
        <v>3.74</v>
      </c>
      <c r="I2389">
        <v>4.41</v>
      </c>
      <c r="K2389">
        <f t="shared" si="299"/>
        <v>1.0000000000000009</v>
      </c>
      <c r="L2389">
        <f t="shared" si="300"/>
        <v>2.0000000000000018</v>
      </c>
      <c r="M2389">
        <f t="shared" si="301"/>
        <v>2.0000000000000018</v>
      </c>
      <c r="N2389">
        <f t="shared" si="302"/>
        <v>0.99999999999997868</v>
      </c>
      <c r="O2389">
        <f t="shared" si="303"/>
        <v>1.0000000000000231</v>
      </c>
      <c r="P2389">
        <f t="shared" si="304"/>
        <v>-1.0000000000000231</v>
      </c>
      <c r="Q2389">
        <f t="shared" si="305"/>
        <v>-0.99999999999997868</v>
      </c>
      <c r="R2389">
        <f t="shared" si="306"/>
        <v>-1.9999999999999574</v>
      </c>
    </row>
    <row r="2390" spans="1:18">
      <c r="A2390" s="9">
        <v>40200</v>
      </c>
      <c r="B2390">
        <v>0.5</v>
      </c>
      <c r="C2390">
        <v>1.1299999999999999</v>
      </c>
      <c r="D2390">
        <v>1.75</v>
      </c>
      <c r="E2390">
        <v>2.2599999999999998</v>
      </c>
      <c r="F2390">
        <v>2.68</v>
      </c>
      <c r="G2390">
        <v>3.25</v>
      </c>
      <c r="H2390">
        <v>3.74</v>
      </c>
      <c r="I2390">
        <v>4.4400000000000004</v>
      </c>
      <c r="K2390">
        <f t="shared" si="299"/>
        <v>-1.0000000000000009</v>
      </c>
      <c r="L2390">
        <f t="shared" si="300"/>
        <v>-2.0000000000000018</v>
      </c>
      <c r="M2390">
        <f t="shared" si="301"/>
        <v>-2.0000000000000018</v>
      </c>
      <c r="N2390">
        <f t="shared" si="302"/>
        <v>-2.0000000000000018</v>
      </c>
      <c r="O2390">
        <f t="shared" si="303"/>
        <v>-2.0000000000000018</v>
      </c>
      <c r="P2390">
        <f t="shared" si="304"/>
        <v>-0.99999999999997868</v>
      </c>
      <c r="Q2390">
        <f t="shared" si="305"/>
        <v>0</v>
      </c>
      <c r="R2390">
        <f t="shared" si="306"/>
        <v>3.0000000000000249</v>
      </c>
    </row>
    <row r="2391" spans="1:18">
      <c r="A2391" s="9">
        <v>40203</v>
      </c>
      <c r="B2391">
        <v>0.49</v>
      </c>
      <c r="C2391">
        <v>1.1100000000000001</v>
      </c>
      <c r="D2391">
        <v>1.73</v>
      </c>
      <c r="E2391">
        <v>2.25</v>
      </c>
      <c r="F2391">
        <v>2.67</v>
      </c>
      <c r="G2391">
        <v>3.25</v>
      </c>
      <c r="H2391">
        <v>3.74</v>
      </c>
      <c r="I2391">
        <v>4.43</v>
      </c>
      <c r="K2391">
        <f t="shared" si="299"/>
        <v>-1.0000000000000009</v>
      </c>
      <c r="L2391">
        <f t="shared" si="300"/>
        <v>-1.9999999999999796</v>
      </c>
      <c r="M2391">
        <f t="shared" si="301"/>
        <v>-2.0000000000000018</v>
      </c>
      <c r="N2391">
        <f t="shared" si="302"/>
        <v>-0.99999999999997868</v>
      </c>
      <c r="O2391">
        <f t="shared" si="303"/>
        <v>-1.0000000000000231</v>
      </c>
      <c r="P2391">
        <f t="shared" si="304"/>
        <v>0</v>
      </c>
      <c r="Q2391">
        <f t="shared" si="305"/>
        <v>0</v>
      </c>
      <c r="R2391">
        <f t="shared" si="306"/>
        <v>-1.0000000000000675</v>
      </c>
    </row>
    <row r="2392" spans="1:18">
      <c r="A2392" s="9">
        <v>40204</v>
      </c>
      <c r="B2392">
        <v>0.48</v>
      </c>
      <c r="C2392">
        <v>1.1000000000000001</v>
      </c>
      <c r="D2392">
        <v>1.72</v>
      </c>
      <c r="E2392">
        <v>2.23</v>
      </c>
      <c r="F2392">
        <v>2.65</v>
      </c>
      <c r="G2392">
        <v>3.23</v>
      </c>
      <c r="H2392">
        <v>3.72</v>
      </c>
      <c r="I2392">
        <v>4.43</v>
      </c>
      <c r="K2392">
        <f t="shared" si="299"/>
        <v>-1.0000000000000009</v>
      </c>
      <c r="L2392">
        <f t="shared" si="300"/>
        <v>-1.0000000000000009</v>
      </c>
      <c r="M2392">
        <f t="shared" si="301"/>
        <v>-1.0000000000000009</v>
      </c>
      <c r="N2392">
        <f t="shared" si="302"/>
        <v>-2.0000000000000018</v>
      </c>
      <c r="O2392">
        <f t="shared" si="303"/>
        <v>-2.0000000000000018</v>
      </c>
      <c r="P2392">
        <f t="shared" si="304"/>
        <v>-2.0000000000000018</v>
      </c>
      <c r="Q2392">
        <f t="shared" si="305"/>
        <v>-2.0000000000000018</v>
      </c>
      <c r="R2392">
        <f t="shared" si="306"/>
        <v>0</v>
      </c>
    </row>
    <row r="2393" spans="1:18">
      <c r="A2393" s="9">
        <v>40205</v>
      </c>
      <c r="B2393">
        <v>0.48</v>
      </c>
      <c r="C2393">
        <v>1.0900000000000001</v>
      </c>
      <c r="D2393">
        <v>1.7</v>
      </c>
      <c r="E2393">
        <v>2.2200000000000002</v>
      </c>
      <c r="F2393">
        <v>2.64</v>
      </c>
      <c r="G2393">
        <v>3.22</v>
      </c>
      <c r="H2393">
        <v>3.72</v>
      </c>
      <c r="I2393">
        <v>4.42</v>
      </c>
      <c r="K2393">
        <f t="shared" si="299"/>
        <v>0</v>
      </c>
      <c r="L2393">
        <f t="shared" si="300"/>
        <v>-1.0000000000000009</v>
      </c>
      <c r="M2393">
        <f t="shared" si="301"/>
        <v>-2.0000000000000018</v>
      </c>
      <c r="N2393">
        <f t="shared" si="302"/>
        <v>-0.99999999999997868</v>
      </c>
      <c r="O2393">
        <f t="shared" si="303"/>
        <v>-0.99999999999997868</v>
      </c>
      <c r="P2393">
        <f t="shared" si="304"/>
        <v>-0.99999999999997868</v>
      </c>
      <c r="Q2393">
        <f t="shared" si="305"/>
        <v>0</v>
      </c>
      <c r="R2393">
        <f t="shared" si="306"/>
        <v>-0.99999999999997868</v>
      </c>
    </row>
    <row r="2394" spans="1:18">
      <c r="A2394" s="9">
        <v>40206</v>
      </c>
      <c r="B2394">
        <v>0.5</v>
      </c>
      <c r="C2394">
        <v>1.1499999999999999</v>
      </c>
      <c r="D2394">
        <v>1.78</v>
      </c>
      <c r="E2394">
        <v>2.2999999999999998</v>
      </c>
      <c r="F2394">
        <v>2.72</v>
      </c>
      <c r="G2394">
        <v>3.3</v>
      </c>
      <c r="H2394">
        <v>3.78</v>
      </c>
      <c r="I2394">
        <v>4.47</v>
      </c>
      <c r="K2394">
        <f t="shared" si="299"/>
        <v>2.0000000000000018</v>
      </c>
      <c r="L2394">
        <f t="shared" si="300"/>
        <v>5.9999999999999831</v>
      </c>
      <c r="M2394">
        <f t="shared" si="301"/>
        <v>8.0000000000000071</v>
      </c>
      <c r="N2394">
        <f t="shared" si="302"/>
        <v>7.9999999999999627</v>
      </c>
      <c r="O2394">
        <f t="shared" si="303"/>
        <v>8.0000000000000071</v>
      </c>
      <c r="P2394">
        <f t="shared" si="304"/>
        <v>7.9999999999999627</v>
      </c>
      <c r="Q2394">
        <f t="shared" si="305"/>
        <v>5.9999999999999609</v>
      </c>
      <c r="R2394">
        <f t="shared" si="306"/>
        <v>4.9999999999999822</v>
      </c>
    </row>
    <row r="2395" spans="1:18">
      <c r="A2395" s="9">
        <v>40207</v>
      </c>
      <c r="B2395">
        <v>0.51</v>
      </c>
      <c r="C2395">
        <v>1.1499999999999999</v>
      </c>
      <c r="D2395">
        <v>1.77</v>
      </c>
      <c r="E2395">
        <v>2.2799999999999998</v>
      </c>
      <c r="F2395">
        <v>2.7</v>
      </c>
      <c r="G2395">
        <v>3.28</v>
      </c>
      <c r="H2395">
        <v>3.77</v>
      </c>
      <c r="I2395">
        <v>4.4400000000000004</v>
      </c>
      <c r="K2395">
        <f t="shared" si="299"/>
        <v>1.0000000000000009</v>
      </c>
      <c r="L2395">
        <f t="shared" si="300"/>
        <v>0</v>
      </c>
      <c r="M2395">
        <f t="shared" si="301"/>
        <v>-1.0000000000000009</v>
      </c>
      <c r="N2395">
        <f t="shared" si="302"/>
        <v>-2.0000000000000018</v>
      </c>
      <c r="O2395">
        <f t="shared" si="303"/>
        <v>-2.0000000000000018</v>
      </c>
      <c r="P2395">
        <f t="shared" si="304"/>
        <v>-2.0000000000000018</v>
      </c>
      <c r="Q2395">
        <f t="shared" si="305"/>
        <v>-0.99999999999997868</v>
      </c>
      <c r="R2395">
        <f t="shared" si="306"/>
        <v>-2.9999999999999361</v>
      </c>
    </row>
    <row r="2396" spans="1:18">
      <c r="A2396" s="9">
        <v>40210</v>
      </c>
      <c r="B2396">
        <v>0.51</v>
      </c>
      <c r="C2396">
        <v>1.1499999999999999</v>
      </c>
      <c r="D2396">
        <v>1.77</v>
      </c>
      <c r="E2396">
        <v>2.2799999999999998</v>
      </c>
      <c r="F2396">
        <v>2.7</v>
      </c>
      <c r="G2396">
        <v>3.28</v>
      </c>
      <c r="H2396">
        <v>3.78</v>
      </c>
      <c r="I2396">
        <v>4.46</v>
      </c>
      <c r="K2396">
        <f t="shared" si="299"/>
        <v>0</v>
      </c>
      <c r="L2396">
        <f t="shared" si="300"/>
        <v>0</v>
      </c>
      <c r="M2396">
        <f t="shared" si="301"/>
        <v>0</v>
      </c>
      <c r="N2396">
        <f t="shared" si="302"/>
        <v>0</v>
      </c>
      <c r="O2396">
        <f t="shared" si="303"/>
        <v>0</v>
      </c>
      <c r="P2396">
        <f t="shared" si="304"/>
        <v>0</v>
      </c>
      <c r="Q2396">
        <f t="shared" si="305"/>
        <v>0.99999999999997868</v>
      </c>
      <c r="R2396">
        <f t="shared" si="306"/>
        <v>1.9999999999999574</v>
      </c>
    </row>
    <row r="2397" spans="1:18">
      <c r="A2397" s="9">
        <v>40211</v>
      </c>
      <c r="B2397">
        <v>0.5</v>
      </c>
      <c r="C2397">
        <v>1.1299999999999999</v>
      </c>
      <c r="D2397">
        <v>1.74</v>
      </c>
      <c r="E2397">
        <v>2.2599999999999998</v>
      </c>
      <c r="F2397">
        <v>2.68</v>
      </c>
      <c r="G2397">
        <v>3.27</v>
      </c>
      <c r="H2397">
        <v>3.78</v>
      </c>
      <c r="I2397">
        <v>4.47</v>
      </c>
      <c r="K2397">
        <f t="shared" si="299"/>
        <v>-1.0000000000000009</v>
      </c>
      <c r="L2397">
        <f t="shared" si="300"/>
        <v>-2.0000000000000018</v>
      </c>
      <c r="M2397">
        <f t="shared" si="301"/>
        <v>-3.0000000000000027</v>
      </c>
      <c r="N2397">
        <f t="shared" si="302"/>
        <v>-2.0000000000000018</v>
      </c>
      <c r="O2397">
        <f t="shared" si="303"/>
        <v>-2.0000000000000018</v>
      </c>
      <c r="P2397">
        <f t="shared" si="304"/>
        <v>-0.99999999999997868</v>
      </c>
      <c r="Q2397">
        <f t="shared" si="305"/>
        <v>0</v>
      </c>
      <c r="R2397">
        <f t="shared" si="306"/>
        <v>0.99999999999997868</v>
      </c>
    </row>
    <row r="2398" spans="1:18">
      <c r="A2398" s="9">
        <v>40212</v>
      </c>
      <c r="B2398">
        <v>0.52</v>
      </c>
      <c r="C2398">
        <v>1.1599999999999999</v>
      </c>
      <c r="D2398">
        <v>1.77</v>
      </c>
      <c r="E2398">
        <v>2.29</v>
      </c>
      <c r="F2398">
        <v>2.71</v>
      </c>
      <c r="G2398">
        <v>3.3</v>
      </c>
      <c r="H2398">
        <v>3.8</v>
      </c>
      <c r="I2398">
        <v>4.49</v>
      </c>
      <c r="K2398">
        <f t="shared" si="299"/>
        <v>2.0000000000000018</v>
      </c>
      <c r="L2398">
        <f t="shared" si="300"/>
        <v>3.0000000000000027</v>
      </c>
      <c r="M2398">
        <f t="shared" si="301"/>
        <v>3.0000000000000027</v>
      </c>
      <c r="N2398">
        <f t="shared" si="302"/>
        <v>3.0000000000000249</v>
      </c>
      <c r="O2398">
        <f t="shared" si="303"/>
        <v>2.9999999999999805</v>
      </c>
      <c r="P2398">
        <f t="shared" si="304"/>
        <v>2.9999999999999805</v>
      </c>
      <c r="Q2398">
        <f t="shared" si="305"/>
        <v>2.0000000000000018</v>
      </c>
      <c r="R2398">
        <f t="shared" si="306"/>
        <v>2.0000000000000462</v>
      </c>
    </row>
    <row r="2399" spans="1:18">
      <c r="A2399" s="9">
        <v>40213</v>
      </c>
      <c r="B2399">
        <v>0.5</v>
      </c>
      <c r="C2399">
        <v>1.1100000000000001</v>
      </c>
      <c r="D2399">
        <v>1.71</v>
      </c>
      <c r="E2399">
        <v>2.2200000000000002</v>
      </c>
      <c r="F2399">
        <v>2.64</v>
      </c>
      <c r="G2399">
        <v>3.23</v>
      </c>
      <c r="H2399">
        <v>3.74</v>
      </c>
      <c r="I2399">
        <v>4.45</v>
      </c>
      <c r="K2399">
        <f t="shared" si="299"/>
        <v>-2.0000000000000018</v>
      </c>
      <c r="L2399">
        <f t="shared" si="300"/>
        <v>-4.9999999999999822</v>
      </c>
      <c r="M2399">
        <f t="shared" si="301"/>
        <v>-6.0000000000000053</v>
      </c>
      <c r="N2399">
        <f t="shared" si="302"/>
        <v>-6.999999999999984</v>
      </c>
      <c r="O2399">
        <f t="shared" si="303"/>
        <v>-6.999999999999984</v>
      </c>
      <c r="P2399">
        <f t="shared" si="304"/>
        <v>-6.999999999999984</v>
      </c>
      <c r="Q2399">
        <f t="shared" si="305"/>
        <v>-5.9999999999999609</v>
      </c>
      <c r="R2399">
        <f t="shared" si="306"/>
        <v>-4.0000000000000036</v>
      </c>
    </row>
    <row r="2400" spans="1:18">
      <c r="A2400" s="9">
        <v>40214</v>
      </c>
      <c r="B2400">
        <v>0.49</v>
      </c>
      <c r="C2400">
        <v>1.08</v>
      </c>
      <c r="D2400">
        <v>1.68</v>
      </c>
      <c r="E2400">
        <v>2.1800000000000002</v>
      </c>
      <c r="F2400">
        <v>2.6</v>
      </c>
      <c r="G2400">
        <v>3.19</v>
      </c>
      <c r="H2400">
        <v>3.7</v>
      </c>
      <c r="I2400">
        <v>4.4000000000000004</v>
      </c>
      <c r="K2400">
        <f t="shared" si="299"/>
        <v>-1.0000000000000009</v>
      </c>
      <c r="L2400">
        <f t="shared" si="300"/>
        <v>-3.0000000000000027</v>
      </c>
      <c r="M2400">
        <f t="shared" si="301"/>
        <v>-3.0000000000000027</v>
      </c>
      <c r="N2400">
        <f t="shared" si="302"/>
        <v>-4.0000000000000036</v>
      </c>
      <c r="O2400">
        <f t="shared" si="303"/>
        <v>-4.0000000000000036</v>
      </c>
      <c r="P2400">
        <f t="shared" si="304"/>
        <v>-4.0000000000000036</v>
      </c>
      <c r="Q2400">
        <f t="shared" si="305"/>
        <v>-4.0000000000000036</v>
      </c>
      <c r="R2400">
        <f t="shared" si="306"/>
        <v>-4.9999999999999822</v>
      </c>
    </row>
    <row r="2401" spans="1:18">
      <c r="A2401" s="9">
        <v>40217</v>
      </c>
      <c r="B2401">
        <v>0.51</v>
      </c>
      <c r="C2401">
        <v>1.0900000000000001</v>
      </c>
      <c r="D2401">
        <v>1.68</v>
      </c>
      <c r="E2401">
        <v>2.19</v>
      </c>
      <c r="F2401">
        <v>2.6</v>
      </c>
      <c r="G2401">
        <v>3.19</v>
      </c>
      <c r="H2401">
        <v>3.69</v>
      </c>
      <c r="I2401">
        <v>4.38</v>
      </c>
      <c r="K2401">
        <f t="shared" si="299"/>
        <v>2.0000000000000018</v>
      </c>
      <c r="L2401">
        <f t="shared" si="300"/>
        <v>1.0000000000000009</v>
      </c>
      <c r="M2401">
        <f t="shared" si="301"/>
        <v>0</v>
      </c>
      <c r="N2401">
        <f t="shared" si="302"/>
        <v>0.99999999999997868</v>
      </c>
      <c r="O2401">
        <f t="shared" si="303"/>
        <v>0</v>
      </c>
      <c r="P2401">
        <f t="shared" si="304"/>
        <v>0</v>
      </c>
      <c r="Q2401">
        <f t="shared" si="305"/>
        <v>-1.0000000000000231</v>
      </c>
      <c r="R2401">
        <f t="shared" si="306"/>
        <v>-2.0000000000000462</v>
      </c>
    </row>
    <row r="2402" spans="1:18">
      <c r="A2402" s="9">
        <v>40218</v>
      </c>
      <c r="B2402">
        <v>0.51</v>
      </c>
      <c r="C2402">
        <v>1.0900000000000001</v>
      </c>
      <c r="D2402">
        <v>1.68</v>
      </c>
      <c r="E2402">
        <v>2.1800000000000002</v>
      </c>
      <c r="F2402">
        <v>2.6</v>
      </c>
      <c r="G2402">
        <v>3.18</v>
      </c>
      <c r="H2402">
        <v>3.68</v>
      </c>
      <c r="I2402">
        <v>4.3600000000000003</v>
      </c>
      <c r="K2402">
        <f t="shared" si="299"/>
        <v>0</v>
      </c>
      <c r="L2402">
        <f t="shared" si="300"/>
        <v>0</v>
      </c>
      <c r="M2402">
        <f t="shared" si="301"/>
        <v>0</v>
      </c>
      <c r="N2402">
        <f t="shared" si="302"/>
        <v>-0.99999999999997868</v>
      </c>
      <c r="O2402">
        <f t="shared" si="303"/>
        <v>0</v>
      </c>
      <c r="P2402">
        <f t="shared" si="304"/>
        <v>-0.99999999999997868</v>
      </c>
      <c r="Q2402">
        <f t="shared" si="305"/>
        <v>-0.99999999999997868</v>
      </c>
      <c r="R2402">
        <f t="shared" si="306"/>
        <v>-1.9999999999999574</v>
      </c>
    </row>
    <row r="2403" spans="1:18">
      <c r="A2403" s="9">
        <v>40219</v>
      </c>
      <c r="B2403">
        <v>0.54</v>
      </c>
      <c r="C2403">
        <v>1.1499999999999999</v>
      </c>
      <c r="D2403">
        <v>1.75</v>
      </c>
      <c r="E2403">
        <v>2.25</v>
      </c>
      <c r="F2403">
        <v>2.66</v>
      </c>
      <c r="G2403">
        <v>3.24</v>
      </c>
      <c r="H2403">
        <v>3.74</v>
      </c>
      <c r="I2403">
        <v>4.42</v>
      </c>
      <c r="K2403">
        <f t="shared" si="299"/>
        <v>3.0000000000000027</v>
      </c>
      <c r="L2403">
        <f t="shared" si="300"/>
        <v>5.9999999999999831</v>
      </c>
      <c r="M2403">
        <f t="shared" si="301"/>
        <v>7.0000000000000062</v>
      </c>
      <c r="N2403">
        <f t="shared" si="302"/>
        <v>6.999999999999984</v>
      </c>
      <c r="O2403">
        <f t="shared" si="303"/>
        <v>6.0000000000000053</v>
      </c>
      <c r="P2403">
        <f t="shared" si="304"/>
        <v>6.0000000000000053</v>
      </c>
      <c r="Q2403">
        <f t="shared" si="305"/>
        <v>6.0000000000000053</v>
      </c>
      <c r="R2403">
        <f t="shared" si="306"/>
        <v>5.9999999999999609</v>
      </c>
    </row>
    <row r="2404" spans="1:18">
      <c r="A2404" s="9">
        <v>40220</v>
      </c>
      <c r="B2404">
        <v>0.55000000000000004</v>
      </c>
      <c r="C2404">
        <v>1.17</v>
      </c>
      <c r="D2404">
        <v>1.79</v>
      </c>
      <c r="E2404">
        <v>2.31</v>
      </c>
      <c r="F2404">
        <v>2.73</v>
      </c>
      <c r="G2404">
        <v>3.32</v>
      </c>
      <c r="H2404">
        <v>3.83</v>
      </c>
      <c r="I2404">
        <v>4.53</v>
      </c>
      <c r="K2404">
        <f t="shared" si="299"/>
        <v>1.0000000000000009</v>
      </c>
      <c r="L2404">
        <f t="shared" si="300"/>
        <v>2.0000000000000018</v>
      </c>
      <c r="M2404">
        <f t="shared" si="301"/>
        <v>4.0000000000000036</v>
      </c>
      <c r="N2404">
        <f t="shared" si="302"/>
        <v>6.0000000000000053</v>
      </c>
      <c r="O2404">
        <f t="shared" si="303"/>
        <v>6.999999999999984</v>
      </c>
      <c r="P2404">
        <f t="shared" si="304"/>
        <v>7.9999999999999627</v>
      </c>
      <c r="Q2404">
        <f t="shared" si="305"/>
        <v>8.9999999999999858</v>
      </c>
      <c r="R2404">
        <f t="shared" si="306"/>
        <v>11.000000000000032</v>
      </c>
    </row>
    <row r="2405" spans="1:18">
      <c r="A2405" s="9">
        <v>40221</v>
      </c>
      <c r="B2405">
        <v>0.52</v>
      </c>
      <c r="C2405">
        <v>1.1100000000000001</v>
      </c>
      <c r="D2405">
        <v>1.72</v>
      </c>
      <c r="E2405">
        <v>2.2400000000000002</v>
      </c>
      <c r="F2405">
        <v>2.66</v>
      </c>
      <c r="G2405">
        <v>3.26</v>
      </c>
      <c r="H2405">
        <v>3.78</v>
      </c>
      <c r="I2405">
        <v>4.51</v>
      </c>
      <c r="K2405">
        <f t="shared" si="299"/>
        <v>-3.0000000000000027</v>
      </c>
      <c r="L2405">
        <f t="shared" si="300"/>
        <v>-5.9999999999999831</v>
      </c>
      <c r="M2405">
        <f t="shared" si="301"/>
        <v>-7.0000000000000062</v>
      </c>
      <c r="N2405">
        <f t="shared" si="302"/>
        <v>-6.999999999999984</v>
      </c>
      <c r="O2405">
        <f t="shared" si="303"/>
        <v>-6.999999999999984</v>
      </c>
      <c r="P2405">
        <f t="shared" si="304"/>
        <v>-6.0000000000000053</v>
      </c>
      <c r="Q2405">
        <f t="shared" si="305"/>
        <v>-5.0000000000000266</v>
      </c>
      <c r="R2405">
        <f t="shared" si="306"/>
        <v>-2.0000000000000462</v>
      </c>
    </row>
    <row r="2406" spans="1:18">
      <c r="A2406" s="9">
        <v>40225</v>
      </c>
      <c r="B2406">
        <v>0.52</v>
      </c>
      <c r="C2406">
        <v>1.1399999999999999</v>
      </c>
      <c r="D2406">
        <v>1.75</v>
      </c>
      <c r="E2406">
        <v>2.27</v>
      </c>
      <c r="F2406">
        <v>2.69</v>
      </c>
      <c r="G2406">
        <v>3.29</v>
      </c>
      <c r="H2406">
        <v>3.81</v>
      </c>
      <c r="I2406">
        <v>4.53</v>
      </c>
      <c r="K2406">
        <f t="shared" si="299"/>
        <v>0</v>
      </c>
      <c r="L2406">
        <f t="shared" si="300"/>
        <v>2.9999999999999805</v>
      </c>
      <c r="M2406">
        <f t="shared" si="301"/>
        <v>3.0000000000000027</v>
      </c>
      <c r="N2406">
        <f t="shared" si="302"/>
        <v>2.9999999999999805</v>
      </c>
      <c r="O2406">
        <f t="shared" si="303"/>
        <v>2.9999999999999805</v>
      </c>
      <c r="P2406">
        <f t="shared" si="304"/>
        <v>3.0000000000000249</v>
      </c>
      <c r="Q2406">
        <f t="shared" si="305"/>
        <v>3.0000000000000249</v>
      </c>
      <c r="R2406">
        <f t="shared" si="306"/>
        <v>2.0000000000000462</v>
      </c>
    </row>
    <row r="2407" spans="1:18">
      <c r="A2407" s="9">
        <v>40226</v>
      </c>
      <c r="B2407">
        <v>0.51</v>
      </c>
      <c r="C2407">
        <v>1.1100000000000001</v>
      </c>
      <c r="D2407">
        <v>1.72</v>
      </c>
      <c r="E2407">
        <v>2.2400000000000002</v>
      </c>
      <c r="F2407">
        <v>2.67</v>
      </c>
      <c r="G2407">
        <v>3.27</v>
      </c>
      <c r="H2407">
        <v>3.8</v>
      </c>
      <c r="I2407">
        <v>4.54</v>
      </c>
      <c r="K2407">
        <f t="shared" si="299"/>
        <v>-1.0000000000000009</v>
      </c>
      <c r="L2407">
        <f t="shared" si="300"/>
        <v>-2.9999999999999805</v>
      </c>
      <c r="M2407">
        <f t="shared" si="301"/>
        <v>-3.0000000000000027</v>
      </c>
      <c r="N2407">
        <f t="shared" si="302"/>
        <v>-2.9999999999999805</v>
      </c>
      <c r="O2407">
        <f t="shared" si="303"/>
        <v>-2.0000000000000018</v>
      </c>
      <c r="P2407">
        <f t="shared" si="304"/>
        <v>-2.0000000000000018</v>
      </c>
      <c r="Q2407">
        <f t="shared" si="305"/>
        <v>-1.0000000000000231</v>
      </c>
      <c r="R2407">
        <f t="shared" si="306"/>
        <v>0.99999999999997868</v>
      </c>
    </row>
    <row r="2408" spans="1:18">
      <c r="A2408" s="9">
        <v>40227</v>
      </c>
      <c r="B2408">
        <v>0.51</v>
      </c>
      <c r="C2408">
        <v>1.1399999999999999</v>
      </c>
      <c r="D2408">
        <v>1.77</v>
      </c>
      <c r="E2408">
        <v>2.2999999999999998</v>
      </c>
      <c r="F2408">
        <v>2.72</v>
      </c>
      <c r="G2408">
        <v>3.33</v>
      </c>
      <c r="H2408">
        <v>3.85</v>
      </c>
      <c r="I2408">
        <v>4.59</v>
      </c>
      <c r="K2408">
        <f t="shared" si="299"/>
        <v>0</v>
      </c>
      <c r="L2408">
        <f t="shared" si="300"/>
        <v>2.9999999999999805</v>
      </c>
      <c r="M2408">
        <f t="shared" si="301"/>
        <v>5.0000000000000044</v>
      </c>
      <c r="N2408">
        <f t="shared" si="302"/>
        <v>5.9999999999999609</v>
      </c>
      <c r="O2408">
        <f t="shared" si="303"/>
        <v>5.0000000000000266</v>
      </c>
      <c r="P2408">
        <f t="shared" si="304"/>
        <v>6.0000000000000053</v>
      </c>
      <c r="Q2408">
        <f t="shared" si="305"/>
        <v>5.0000000000000266</v>
      </c>
      <c r="R2408">
        <f t="shared" si="306"/>
        <v>4.9999999999999822</v>
      </c>
    </row>
    <row r="2409" spans="1:18">
      <c r="A2409" s="9">
        <v>40228</v>
      </c>
      <c r="B2409">
        <v>0.55000000000000004</v>
      </c>
      <c r="C2409">
        <v>1.22</v>
      </c>
      <c r="D2409">
        <v>1.88</v>
      </c>
      <c r="E2409">
        <v>2.4</v>
      </c>
      <c r="F2409">
        <v>2.82</v>
      </c>
      <c r="G2409">
        <v>3.41</v>
      </c>
      <c r="H2409">
        <v>3.91</v>
      </c>
      <c r="I2409">
        <v>4.5999999999999996</v>
      </c>
      <c r="K2409">
        <f t="shared" si="299"/>
        <v>4.0000000000000036</v>
      </c>
      <c r="L2409">
        <f t="shared" si="300"/>
        <v>8.0000000000000071</v>
      </c>
      <c r="M2409">
        <f t="shared" si="301"/>
        <v>10.999999999999988</v>
      </c>
      <c r="N2409">
        <f t="shared" si="302"/>
        <v>10.000000000000009</v>
      </c>
      <c r="O2409">
        <f t="shared" si="303"/>
        <v>9.9999999999999645</v>
      </c>
      <c r="P2409">
        <f t="shared" si="304"/>
        <v>8.0000000000000071</v>
      </c>
      <c r="Q2409">
        <f t="shared" si="305"/>
        <v>6.0000000000000053</v>
      </c>
      <c r="R2409">
        <f t="shared" si="306"/>
        <v>0.99999999999997868</v>
      </c>
    </row>
    <row r="2410" spans="1:18">
      <c r="A2410" s="9">
        <v>40231</v>
      </c>
      <c r="B2410">
        <v>0.53</v>
      </c>
      <c r="C2410">
        <v>1.17</v>
      </c>
      <c r="D2410">
        <v>1.82</v>
      </c>
      <c r="E2410">
        <v>2.35</v>
      </c>
      <c r="F2410">
        <v>2.77</v>
      </c>
      <c r="G2410">
        <v>3.38</v>
      </c>
      <c r="H2410">
        <v>3.88</v>
      </c>
      <c r="I2410">
        <v>4.58</v>
      </c>
      <c r="K2410">
        <f t="shared" si="299"/>
        <v>-2.0000000000000018</v>
      </c>
      <c r="L2410">
        <f t="shared" si="300"/>
        <v>-5.0000000000000044</v>
      </c>
      <c r="M2410">
        <f t="shared" si="301"/>
        <v>-5.9999999999999831</v>
      </c>
      <c r="N2410">
        <f t="shared" si="302"/>
        <v>-4.9999999999999822</v>
      </c>
      <c r="O2410">
        <f t="shared" si="303"/>
        <v>-4.9999999999999822</v>
      </c>
      <c r="P2410">
        <f t="shared" si="304"/>
        <v>-3.0000000000000249</v>
      </c>
      <c r="Q2410">
        <f t="shared" si="305"/>
        <v>-3.0000000000000249</v>
      </c>
      <c r="R2410">
        <f t="shared" si="306"/>
        <v>-1.9999999999999574</v>
      </c>
    </row>
    <row r="2411" spans="1:18">
      <c r="A2411" s="9">
        <v>40232</v>
      </c>
      <c r="B2411">
        <v>0.5</v>
      </c>
      <c r="C2411">
        <v>1.1200000000000001</v>
      </c>
      <c r="D2411">
        <v>1.74</v>
      </c>
      <c r="E2411">
        <v>2.27</v>
      </c>
      <c r="F2411">
        <v>2.71</v>
      </c>
      <c r="G2411">
        <v>3.32</v>
      </c>
      <c r="H2411">
        <v>3.83</v>
      </c>
      <c r="I2411">
        <v>4.54</v>
      </c>
      <c r="K2411">
        <f t="shared" si="299"/>
        <v>-3.0000000000000027</v>
      </c>
      <c r="L2411">
        <f t="shared" si="300"/>
        <v>-4.9999999999999822</v>
      </c>
      <c r="M2411">
        <f t="shared" si="301"/>
        <v>-8.0000000000000071</v>
      </c>
      <c r="N2411">
        <f t="shared" si="302"/>
        <v>-8.0000000000000071</v>
      </c>
      <c r="O2411">
        <f t="shared" si="303"/>
        <v>-6.0000000000000053</v>
      </c>
      <c r="P2411">
        <f t="shared" si="304"/>
        <v>-6.0000000000000053</v>
      </c>
      <c r="Q2411">
        <f t="shared" si="305"/>
        <v>-4.9999999999999822</v>
      </c>
      <c r="R2411">
        <f t="shared" si="306"/>
        <v>-4.0000000000000036</v>
      </c>
    </row>
    <row r="2412" spans="1:18">
      <c r="A2412" s="9">
        <v>40233</v>
      </c>
      <c r="B2412">
        <v>0.49</v>
      </c>
      <c r="C2412">
        <v>1.1000000000000001</v>
      </c>
      <c r="D2412">
        <v>1.73</v>
      </c>
      <c r="E2412">
        <v>2.25</v>
      </c>
      <c r="F2412">
        <v>2.68</v>
      </c>
      <c r="G2412">
        <v>3.26</v>
      </c>
      <c r="H2412">
        <v>3.77</v>
      </c>
      <c r="I2412">
        <v>4.4800000000000004</v>
      </c>
      <c r="K2412">
        <f t="shared" si="299"/>
        <v>-1.0000000000000009</v>
      </c>
      <c r="L2412">
        <f t="shared" si="300"/>
        <v>-2.0000000000000018</v>
      </c>
      <c r="M2412">
        <f t="shared" si="301"/>
        <v>-1.0000000000000009</v>
      </c>
      <c r="N2412">
        <f t="shared" si="302"/>
        <v>-2.0000000000000018</v>
      </c>
      <c r="O2412">
        <f t="shared" si="303"/>
        <v>-2.9999999999999805</v>
      </c>
      <c r="P2412">
        <f t="shared" si="304"/>
        <v>-6.0000000000000053</v>
      </c>
      <c r="Q2412">
        <f t="shared" si="305"/>
        <v>-6.0000000000000053</v>
      </c>
      <c r="R2412">
        <f t="shared" si="306"/>
        <v>-5.9999999999999609</v>
      </c>
    </row>
    <row r="2413" spans="1:18">
      <c r="A2413" s="9">
        <v>40234</v>
      </c>
      <c r="B2413">
        <v>0.47</v>
      </c>
      <c r="C2413">
        <v>1.07</v>
      </c>
      <c r="D2413">
        <v>1.68</v>
      </c>
      <c r="E2413">
        <v>2.2000000000000002</v>
      </c>
      <c r="F2413">
        <v>2.63</v>
      </c>
      <c r="G2413">
        <v>3.22</v>
      </c>
      <c r="H2413">
        <v>3.73</v>
      </c>
      <c r="I2413">
        <v>4.4400000000000004</v>
      </c>
      <c r="K2413">
        <f t="shared" si="299"/>
        <v>-2.0000000000000018</v>
      </c>
      <c r="L2413">
        <f t="shared" si="300"/>
        <v>-3.0000000000000027</v>
      </c>
      <c r="M2413">
        <f t="shared" si="301"/>
        <v>-5.0000000000000044</v>
      </c>
      <c r="N2413">
        <f t="shared" si="302"/>
        <v>-4.9999999999999822</v>
      </c>
      <c r="O2413">
        <f t="shared" si="303"/>
        <v>-5.0000000000000266</v>
      </c>
      <c r="P2413">
        <f t="shared" si="304"/>
        <v>-3.9999999999999591</v>
      </c>
      <c r="Q2413">
        <f t="shared" si="305"/>
        <v>-4.0000000000000036</v>
      </c>
      <c r="R2413">
        <f t="shared" si="306"/>
        <v>-4.0000000000000036</v>
      </c>
    </row>
    <row r="2414" spans="1:18">
      <c r="A2414" s="9">
        <v>40235</v>
      </c>
      <c r="B2414">
        <v>0.47</v>
      </c>
      <c r="C2414">
        <v>1.06</v>
      </c>
      <c r="D2414">
        <v>1.66</v>
      </c>
      <c r="E2414">
        <v>2.17</v>
      </c>
      <c r="F2414">
        <v>2.59</v>
      </c>
      <c r="G2414">
        <v>3.18</v>
      </c>
      <c r="H2414">
        <v>3.7</v>
      </c>
      <c r="I2414">
        <v>4.41</v>
      </c>
      <c r="K2414">
        <f t="shared" si="299"/>
        <v>0</v>
      </c>
      <c r="L2414">
        <f t="shared" si="300"/>
        <v>-1.0000000000000009</v>
      </c>
      <c r="M2414">
        <f t="shared" si="301"/>
        <v>-2.0000000000000018</v>
      </c>
      <c r="N2414">
        <f t="shared" si="302"/>
        <v>-3.0000000000000249</v>
      </c>
      <c r="O2414">
        <f t="shared" si="303"/>
        <v>-4.0000000000000036</v>
      </c>
      <c r="P2414">
        <f t="shared" si="304"/>
        <v>-4.0000000000000036</v>
      </c>
      <c r="Q2414">
        <f t="shared" si="305"/>
        <v>-2.9999999999999805</v>
      </c>
      <c r="R2414">
        <f t="shared" si="306"/>
        <v>-3.0000000000000249</v>
      </c>
    </row>
    <row r="2415" spans="1:18">
      <c r="A2415" s="9">
        <v>40238</v>
      </c>
      <c r="B2415">
        <v>0.47</v>
      </c>
      <c r="C2415">
        <v>1.06</v>
      </c>
      <c r="D2415">
        <v>1.66</v>
      </c>
      <c r="E2415">
        <v>2.1800000000000002</v>
      </c>
      <c r="F2415">
        <v>2.59</v>
      </c>
      <c r="G2415">
        <v>3.19</v>
      </c>
      <c r="H2415">
        <v>3.7</v>
      </c>
      <c r="I2415">
        <v>4.4400000000000004</v>
      </c>
      <c r="K2415">
        <f t="shared" si="299"/>
        <v>0</v>
      </c>
      <c r="L2415">
        <f t="shared" si="300"/>
        <v>0</v>
      </c>
      <c r="M2415">
        <f t="shared" si="301"/>
        <v>0</v>
      </c>
      <c r="N2415">
        <f t="shared" si="302"/>
        <v>1.0000000000000231</v>
      </c>
      <c r="O2415">
        <f t="shared" si="303"/>
        <v>0</v>
      </c>
      <c r="P2415">
        <f t="shared" si="304"/>
        <v>0.99999999999997868</v>
      </c>
      <c r="Q2415">
        <f t="shared" si="305"/>
        <v>0</v>
      </c>
      <c r="R2415">
        <f t="shared" si="306"/>
        <v>3.0000000000000249</v>
      </c>
    </row>
    <row r="2416" spans="1:18">
      <c r="A2416" s="9">
        <v>40239</v>
      </c>
      <c r="B2416">
        <v>0.46</v>
      </c>
      <c r="C2416">
        <v>1.05</v>
      </c>
      <c r="D2416">
        <v>1.66</v>
      </c>
      <c r="E2416">
        <v>2.17</v>
      </c>
      <c r="F2416">
        <v>2.59</v>
      </c>
      <c r="G2416">
        <v>3.19</v>
      </c>
      <c r="H2416">
        <v>3.71</v>
      </c>
      <c r="I2416">
        <v>4.45</v>
      </c>
      <c r="K2416">
        <f t="shared" si="299"/>
        <v>-0.99999999999999534</v>
      </c>
      <c r="L2416">
        <f t="shared" si="300"/>
        <v>-1.0000000000000009</v>
      </c>
      <c r="M2416">
        <f t="shared" si="301"/>
        <v>0</v>
      </c>
      <c r="N2416">
        <f t="shared" si="302"/>
        <v>-1.0000000000000231</v>
      </c>
      <c r="O2416">
        <f t="shared" si="303"/>
        <v>0</v>
      </c>
      <c r="P2416">
        <f t="shared" si="304"/>
        <v>0</v>
      </c>
      <c r="Q2416">
        <f t="shared" si="305"/>
        <v>0.99999999999997868</v>
      </c>
      <c r="R2416">
        <f t="shared" si="306"/>
        <v>0.99999999999997868</v>
      </c>
    </row>
    <row r="2417" spans="1:18">
      <c r="A2417" s="9">
        <v>40240</v>
      </c>
      <c r="B2417">
        <v>0.46</v>
      </c>
      <c r="C2417">
        <v>1.05</v>
      </c>
      <c r="D2417">
        <v>1.65</v>
      </c>
      <c r="E2417">
        <v>2.16</v>
      </c>
      <c r="F2417">
        <v>2.58</v>
      </c>
      <c r="G2417">
        <v>3.18</v>
      </c>
      <c r="H2417">
        <v>3.69</v>
      </c>
      <c r="I2417">
        <v>4.4400000000000004</v>
      </c>
      <c r="K2417">
        <f t="shared" si="299"/>
        <v>0</v>
      </c>
      <c r="L2417">
        <f t="shared" si="300"/>
        <v>0</v>
      </c>
      <c r="M2417">
        <f t="shared" si="301"/>
        <v>-1.0000000000000009</v>
      </c>
      <c r="N2417">
        <f t="shared" si="302"/>
        <v>-0.99999999999997868</v>
      </c>
      <c r="O2417">
        <f t="shared" si="303"/>
        <v>-0.99999999999997868</v>
      </c>
      <c r="P2417">
        <f t="shared" si="304"/>
        <v>-0.99999999999997868</v>
      </c>
      <c r="Q2417">
        <f t="shared" si="305"/>
        <v>-2.0000000000000018</v>
      </c>
      <c r="R2417">
        <f t="shared" si="306"/>
        <v>-0.99999999999997868</v>
      </c>
    </row>
    <row r="2418" spans="1:18">
      <c r="A2418" s="9">
        <v>40241</v>
      </c>
      <c r="B2418">
        <v>0.48</v>
      </c>
      <c r="C2418">
        <v>1.07</v>
      </c>
      <c r="D2418">
        <v>1.65</v>
      </c>
      <c r="E2418">
        <v>2.16</v>
      </c>
      <c r="F2418">
        <v>2.56</v>
      </c>
      <c r="G2418">
        <v>3.14</v>
      </c>
      <c r="H2418">
        <v>3.65</v>
      </c>
      <c r="I2418">
        <v>4.4000000000000004</v>
      </c>
      <c r="K2418">
        <f t="shared" si="299"/>
        <v>1.9999999999999962</v>
      </c>
      <c r="L2418">
        <f t="shared" si="300"/>
        <v>2.0000000000000018</v>
      </c>
      <c r="M2418">
        <f t="shared" si="301"/>
        <v>0</v>
      </c>
      <c r="N2418">
        <f t="shared" si="302"/>
        <v>0</v>
      </c>
      <c r="O2418">
        <f t="shared" si="303"/>
        <v>-2.0000000000000018</v>
      </c>
      <c r="P2418">
        <f t="shared" si="304"/>
        <v>-4.0000000000000036</v>
      </c>
      <c r="Q2418">
        <f t="shared" si="305"/>
        <v>-4.0000000000000036</v>
      </c>
      <c r="R2418">
        <f t="shared" si="306"/>
        <v>-4.0000000000000036</v>
      </c>
    </row>
    <row r="2419" spans="1:18">
      <c r="A2419" s="9">
        <v>40242</v>
      </c>
      <c r="B2419">
        <v>0.52</v>
      </c>
      <c r="C2419">
        <v>1.1399999999999999</v>
      </c>
      <c r="D2419">
        <v>1.74</v>
      </c>
      <c r="E2419">
        <v>2.23</v>
      </c>
      <c r="F2419">
        <v>2.65</v>
      </c>
      <c r="G2419">
        <v>3.24</v>
      </c>
      <c r="H2419">
        <v>3.74</v>
      </c>
      <c r="I2419">
        <v>4.49</v>
      </c>
      <c r="K2419">
        <f t="shared" si="299"/>
        <v>4.0000000000000036</v>
      </c>
      <c r="L2419">
        <f t="shared" si="300"/>
        <v>6.999999999999984</v>
      </c>
      <c r="M2419">
        <f t="shared" si="301"/>
        <v>9.0000000000000071</v>
      </c>
      <c r="N2419">
        <f t="shared" si="302"/>
        <v>6.999999999999984</v>
      </c>
      <c r="O2419">
        <f t="shared" si="303"/>
        <v>8.9999999999999858</v>
      </c>
      <c r="P2419">
        <f t="shared" si="304"/>
        <v>10.000000000000009</v>
      </c>
      <c r="Q2419">
        <f t="shared" si="305"/>
        <v>9.0000000000000302</v>
      </c>
      <c r="R2419">
        <f t="shared" si="306"/>
        <v>8.9999999999999858</v>
      </c>
    </row>
    <row r="2420" spans="1:18">
      <c r="A2420" s="9">
        <v>40245</v>
      </c>
      <c r="B2420">
        <v>0.52</v>
      </c>
      <c r="C2420">
        <v>1.1399999999999999</v>
      </c>
      <c r="D2420">
        <v>1.73</v>
      </c>
      <c r="E2420">
        <v>2.23</v>
      </c>
      <c r="F2420">
        <v>2.65</v>
      </c>
      <c r="G2420">
        <v>3.25</v>
      </c>
      <c r="H2420">
        <v>3.77</v>
      </c>
      <c r="I2420">
        <v>4.5199999999999996</v>
      </c>
      <c r="K2420">
        <f t="shared" si="299"/>
        <v>0</v>
      </c>
      <c r="L2420">
        <f t="shared" si="300"/>
        <v>0</v>
      </c>
      <c r="M2420">
        <f t="shared" si="301"/>
        <v>-1.0000000000000009</v>
      </c>
      <c r="N2420">
        <f t="shared" si="302"/>
        <v>0</v>
      </c>
      <c r="O2420">
        <f t="shared" si="303"/>
        <v>0</v>
      </c>
      <c r="P2420">
        <f t="shared" si="304"/>
        <v>0.99999999999997868</v>
      </c>
      <c r="Q2420">
        <f t="shared" si="305"/>
        <v>2.9999999999999805</v>
      </c>
      <c r="R2420">
        <f t="shared" si="306"/>
        <v>2.9999999999999361</v>
      </c>
    </row>
    <row r="2421" spans="1:18">
      <c r="A2421" s="9">
        <v>40246</v>
      </c>
      <c r="B2421">
        <v>0.49</v>
      </c>
      <c r="C2421">
        <v>1.1000000000000001</v>
      </c>
      <c r="D2421">
        <v>1.69</v>
      </c>
      <c r="E2421">
        <v>2.2000000000000002</v>
      </c>
      <c r="F2421">
        <v>2.62</v>
      </c>
      <c r="G2421">
        <v>3.22</v>
      </c>
      <c r="H2421">
        <v>3.75</v>
      </c>
      <c r="I2421">
        <v>4.51</v>
      </c>
      <c r="K2421">
        <f t="shared" si="299"/>
        <v>-3.0000000000000027</v>
      </c>
      <c r="L2421">
        <f t="shared" si="300"/>
        <v>-3.9999999999999813</v>
      </c>
      <c r="M2421">
        <f t="shared" si="301"/>
        <v>-4.0000000000000036</v>
      </c>
      <c r="N2421">
        <f t="shared" si="302"/>
        <v>-2.9999999999999805</v>
      </c>
      <c r="O2421">
        <f t="shared" si="303"/>
        <v>-2.9999999999999805</v>
      </c>
      <c r="P2421">
        <f t="shared" si="304"/>
        <v>-2.9999999999999805</v>
      </c>
      <c r="Q2421">
        <f t="shared" si="305"/>
        <v>-2.0000000000000018</v>
      </c>
      <c r="R2421">
        <f t="shared" si="306"/>
        <v>-0.99999999999997868</v>
      </c>
    </row>
    <row r="2422" spans="1:18">
      <c r="A2422" s="9">
        <v>40247</v>
      </c>
      <c r="B2422">
        <v>0.51</v>
      </c>
      <c r="C2422">
        <v>1.1200000000000001</v>
      </c>
      <c r="D2422">
        <v>1.72</v>
      </c>
      <c r="E2422">
        <v>2.2200000000000002</v>
      </c>
      <c r="F2422">
        <v>2.64</v>
      </c>
      <c r="G2422">
        <v>3.24</v>
      </c>
      <c r="H2422">
        <v>3.76</v>
      </c>
      <c r="I2422">
        <v>4.54</v>
      </c>
      <c r="K2422">
        <f t="shared" si="299"/>
        <v>2.0000000000000018</v>
      </c>
      <c r="L2422">
        <f t="shared" si="300"/>
        <v>2.0000000000000018</v>
      </c>
      <c r="M2422">
        <f t="shared" si="301"/>
        <v>3.0000000000000027</v>
      </c>
      <c r="N2422">
        <f t="shared" si="302"/>
        <v>2.0000000000000018</v>
      </c>
      <c r="O2422">
        <f t="shared" si="303"/>
        <v>2.0000000000000018</v>
      </c>
      <c r="P2422">
        <f t="shared" si="304"/>
        <v>2.0000000000000018</v>
      </c>
      <c r="Q2422">
        <f t="shared" si="305"/>
        <v>0.99999999999997868</v>
      </c>
      <c r="R2422">
        <f t="shared" si="306"/>
        <v>3.0000000000000249</v>
      </c>
    </row>
    <row r="2423" spans="1:18">
      <c r="A2423" s="9">
        <v>40248</v>
      </c>
      <c r="B2423">
        <v>0.53</v>
      </c>
      <c r="C2423">
        <v>1.1499999999999999</v>
      </c>
      <c r="D2423">
        <v>1.75</v>
      </c>
      <c r="E2423">
        <v>2.2599999999999998</v>
      </c>
      <c r="F2423">
        <v>2.67</v>
      </c>
      <c r="G2423">
        <v>3.27</v>
      </c>
      <c r="H2423">
        <v>3.78</v>
      </c>
      <c r="I2423">
        <v>4.54</v>
      </c>
      <c r="K2423">
        <f t="shared" si="299"/>
        <v>2.0000000000000018</v>
      </c>
      <c r="L2423">
        <f t="shared" si="300"/>
        <v>2.9999999999999805</v>
      </c>
      <c r="M2423">
        <f t="shared" si="301"/>
        <v>3.0000000000000027</v>
      </c>
      <c r="N2423">
        <f t="shared" si="302"/>
        <v>3.9999999999999591</v>
      </c>
      <c r="O2423">
        <f t="shared" si="303"/>
        <v>2.9999999999999805</v>
      </c>
      <c r="P2423">
        <f t="shared" si="304"/>
        <v>2.9999999999999805</v>
      </c>
      <c r="Q2423">
        <f t="shared" si="305"/>
        <v>2.0000000000000018</v>
      </c>
      <c r="R2423">
        <f t="shared" si="306"/>
        <v>0</v>
      </c>
    </row>
    <row r="2424" spans="1:18">
      <c r="A2424" s="9">
        <v>40249</v>
      </c>
      <c r="B2424">
        <v>0.54</v>
      </c>
      <c r="C2424">
        <v>1.17</v>
      </c>
      <c r="D2424">
        <v>1.77</v>
      </c>
      <c r="E2424">
        <v>2.27</v>
      </c>
      <c r="F2424">
        <v>2.68</v>
      </c>
      <c r="G2424">
        <v>3.26</v>
      </c>
      <c r="H2424">
        <v>3.76</v>
      </c>
      <c r="I2424">
        <v>4.49</v>
      </c>
      <c r="K2424">
        <f t="shared" si="299"/>
        <v>1.0000000000000009</v>
      </c>
      <c r="L2424">
        <f t="shared" si="300"/>
        <v>2.0000000000000018</v>
      </c>
      <c r="M2424">
        <f t="shared" si="301"/>
        <v>2.0000000000000018</v>
      </c>
      <c r="N2424">
        <f t="shared" si="302"/>
        <v>1.0000000000000231</v>
      </c>
      <c r="O2424">
        <f t="shared" si="303"/>
        <v>1.0000000000000231</v>
      </c>
      <c r="P2424">
        <f t="shared" si="304"/>
        <v>-1.0000000000000231</v>
      </c>
      <c r="Q2424">
        <f t="shared" si="305"/>
        <v>-2.0000000000000018</v>
      </c>
      <c r="R2424">
        <f t="shared" si="306"/>
        <v>-4.9999999999999822</v>
      </c>
    </row>
    <row r="2425" spans="1:18">
      <c r="A2425" s="9">
        <v>40252</v>
      </c>
      <c r="B2425">
        <v>0.54</v>
      </c>
      <c r="C2425">
        <v>1.1599999999999999</v>
      </c>
      <c r="D2425">
        <v>1.76</v>
      </c>
      <c r="E2425">
        <v>2.27</v>
      </c>
      <c r="F2425">
        <v>2.67</v>
      </c>
      <c r="G2425">
        <v>3.26</v>
      </c>
      <c r="H2425">
        <v>3.77</v>
      </c>
      <c r="I2425">
        <v>4.51</v>
      </c>
      <c r="K2425">
        <f t="shared" si="299"/>
        <v>0</v>
      </c>
      <c r="L2425">
        <f t="shared" si="300"/>
        <v>-1.0000000000000009</v>
      </c>
      <c r="M2425">
        <f t="shared" si="301"/>
        <v>-1.0000000000000009</v>
      </c>
      <c r="N2425">
        <f t="shared" si="302"/>
        <v>0</v>
      </c>
      <c r="O2425">
        <f t="shared" si="303"/>
        <v>-1.0000000000000231</v>
      </c>
      <c r="P2425">
        <f t="shared" si="304"/>
        <v>0</v>
      </c>
      <c r="Q2425">
        <f t="shared" si="305"/>
        <v>1.0000000000000231</v>
      </c>
      <c r="R2425">
        <f t="shared" si="306"/>
        <v>1.9999999999999574</v>
      </c>
    </row>
    <row r="2426" spans="1:18">
      <c r="A2426" s="9">
        <v>40253</v>
      </c>
      <c r="B2426">
        <v>0.53</v>
      </c>
      <c r="C2426">
        <v>1.1399999999999999</v>
      </c>
      <c r="D2426">
        <v>1.74</v>
      </c>
      <c r="E2426">
        <v>2.2400000000000002</v>
      </c>
      <c r="F2426">
        <v>2.64</v>
      </c>
      <c r="G2426">
        <v>3.22</v>
      </c>
      <c r="H2426">
        <v>3.73</v>
      </c>
      <c r="I2426">
        <v>4.4800000000000004</v>
      </c>
      <c r="K2426">
        <f t="shared" si="299"/>
        <v>-1.0000000000000009</v>
      </c>
      <c r="L2426">
        <f t="shared" si="300"/>
        <v>-2.0000000000000018</v>
      </c>
      <c r="M2426">
        <f t="shared" si="301"/>
        <v>-2.0000000000000018</v>
      </c>
      <c r="N2426">
        <f t="shared" si="302"/>
        <v>-2.9999999999999805</v>
      </c>
      <c r="O2426">
        <f t="shared" si="303"/>
        <v>-2.9999999999999805</v>
      </c>
      <c r="P2426">
        <f t="shared" si="304"/>
        <v>-3.9999999999999591</v>
      </c>
      <c r="Q2426">
        <f t="shared" si="305"/>
        <v>-4.0000000000000036</v>
      </c>
      <c r="R2426">
        <f t="shared" si="306"/>
        <v>-2.9999999999999361</v>
      </c>
    </row>
    <row r="2427" spans="1:18">
      <c r="A2427" s="9">
        <v>40254</v>
      </c>
      <c r="B2427">
        <v>0.5</v>
      </c>
      <c r="C2427">
        <v>1.1000000000000001</v>
      </c>
      <c r="D2427">
        <v>1.7</v>
      </c>
      <c r="E2427">
        <v>2.2000000000000002</v>
      </c>
      <c r="F2427">
        <v>2.61</v>
      </c>
      <c r="G2427">
        <v>3.18</v>
      </c>
      <c r="H2427">
        <v>3.68</v>
      </c>
      <c r="I2427">
        <v>4.43</v>
      </c>
      <c r="K2427">
        <f t="shared" si="299"/>
        <v>-3.0000000000000027</v>
      </c>
      <c r="L2427">
        <f t="shared" si="300"/>
        <v>-3.9999999999999813</v>
      </c>
      <c r="M2427">
        <f t="shared" si="301"/>
        <v>-4.0000000000000036</v>
      </c>
      <c r="N2427">
        <f t="shared" si="302"/>
        <v>-4.0000000000000036</v>
      </c>
      <c r="O2427">
        <f t="shared" si="303"/>
        <v>-3.0000000000000249</v>
      </c>
      <c r="P2427">
        <f t="shared" si="304"/>
        <v>-4.0000000000000036</v>
      </c>
      <c r="Q2427">
        <f t="shared" si="305"/>
        <v>-4.9999999999999822</v>
      </c>
      <c r="R2427">
        <f t="shared" si="306"/>
        <v>-5.0000000000000711</v>
      </c>
    </row>
    <row r="2428" spans="1:18">
      <c r="A2428" s="9">
        <v>40255</v>
      </c>
      <c r="B2428">
        <v>0.53</v>
      </c>
      <c r="C2428">
        <v>1.1200000000000001</v>
      </c>
      <c r="D2428">
        <v>1.71</v>
      </c>
      <c r="E2428">
        <v>2.21</v>
      </c>
      <c r="F2428">
        <v>2.61</v>
      </c>
      <c r="G2428">
        <v>3.19</v>
      </c>
      <c r="H2428">
        <v>3.69</v>
      </c>
      <c r="I2428">
        <v>4.43</v>
      </c>
      <c r="K2428">
        <f t="shared" si="299"/>
        <v>3.0000000000000027</v>
      </c>
      <c r="L2428">
        <f t="shared" si="300"/>
        <v>2.0000000000000018</v>
      </c>
      <c r="M2428">
        <f t="shared" si="301"/>
        <v>1.0000000000000009</v>
      </c>
      <c r="N2428">
        <f t="shared" si="302"/>
        <v>0.99999999999997868</v>
      </c>
      <c r="O2428">
        <f t="shared" si="303"/>
        <v>0</v>
      </c>
      <c r="P2428">
        <f t="shared" si="304"/>
        <v>0.99999999999997868</v>
      </c>
      <c r="Q2428">
        <f t="shared" si="305"/>
        <v>0.99999999999997868</v>
      </c>
      <c r="R2428">
        <f t="shared" si="306"/>
        <v>0</v>
      </c>
    </row>
    <row r="2429" spans="1:18">
      <c r="A2429" s="9">
        <v>40256</v>
      </c>
      <c r="B2429">
        <v>0.56000000000000005</v>
      </c>
      <c r="C2429">
        <v>1.1599999999999999</v>
      </c>
      <c r="D2429">
        <v>1.75</v>
      </c>
      <c r="E2429">
        <v>2.25</v>
      </c>
      <c r="F2429">
        <v>2.65</v>
      </c>
      <c r="G2429">
        <v>3.22</v>
      </c>
      <c r="H2429">
        <v>3.71</v>
      </c>
      <c r="I2429">
        <v>4.45</v>
      </c>
      <c r="K2429">
        <f t="shared" si="299"/>
        <v>3.0000000000000027</v>
      </c>
      <c r="L2429">
        <f t="shared" si="300"/>
        <v>3.9999999999999813</v>
      </c>
      <c r="M2429">
        <f t="shared" si="301"/>
        <v>4.0000000000000036</v>
      </c>
      <c r="N2429">
        <f t="shared" si="302"/>
        <v>4.0000000000000036</v>
      </c>
      <c r="O2429">
        <f t="shared" si="303"/>
        <v>4.0000000000000036</v>
      </c>
      <c r="P2429">
        <f t="shared" si="304"/>
        <v>3.0000000000000249</v>
      </c>
      <c r="Q2429">
        <f t="shared" si="305"/>
        <v>2.0000000000000018</v>
      </c>
      <c r="R2429">
        <f t="shared" si="306"/>
        <v>2.0000000000000462</v>
      </c>
    </row>
    <row r="2430" spans="1:18">
      <c r="A2430" s="9">
        <v>40259</v>
      </c>
      <c r="B2430">
        <v>0.56000000000000005</v>
      </c>
      <c r="C2430">
        <v>1.17</v>
      </c>
      <c r="D2430">
        <v>1.76</v>
      </c>
      <c r="E2430">
        <v>2.25</v>
      </c>
      <c r="F2430">
        <v>2.65</v>
      </c>
      <c r="G2430">
        <v>3.22</v>
      </c>
      <c r="H2430">
        <v>3.71</v>
      </c>
      <c r="I2430">
        <v>4.4400000000000004</v>
      </c>
      <c r="K2430">
        <f t="shared" si="299"/>
        <v>0</v>
      </c>
      <c r="L2430">
        <f t="shared" si="300"/>
        <v>1.0000000000000009</v>
      </c>
      <c r="M2430">
        <f t="shared" si="301"/>
        <v>1.0000000000000009</v>
      </c>
      <c r="N2430">
        <f t="shared" si="302"/>
        <v>0</v>
      </c>
      <c r="O2430">
        <f t="shared" si="303"/>
        <v>0</v>
      </c>
      <c r="P2430">
        <f t="shared" si="304"/>
        <v>0</v>
      </c>
      <c r="Q2430">
        <f t="shared" si="305"/>
        <v>0</v>
      </c>
      <c r="R2430">
        <f t="shared" si="306"/>
        <v>-0.99999999999997868</v>
      </c>
    </row>
    <row r="2431" spans="1:18">
      <c r="A2431" s="9">
        <v>40260</v>
      </c>
      <c r="B2431">
        <v>0.54</v>
      </c>
      <c r="C2431">
        <v>1.1299999999999999</v>
      </c>
      <c r="D2431">
        <v>1.72</v>
      </c>
      <c r="E2431">
        <v>2.21</v>
      </c>
      <c r="F2431">
        <v>2.6</v>
      </c>
      <c r="G2431">
        <v>3.17</v>
      </c>
      <c r="H2431">
        <v>3.66</v>
      </c>
      <c r="I2431">
        <v>4.41</v>
      </c>
      <c r="K2431">
        <f t="shared" si="299"/>
        <v>-2.0000000000000018</v>
      </c>
      <c r="L2431">
        <f t="shared" si="300"/>
        <v>-4.0000000000000036</v>
      </c>
      <c r="M2431">
        <f t="shared" si="301"/>
        <v>-4.0000000000000036</v>
      </c>
      <c r="N2431">
        <f t="shared" si="302"/>
        <v>-4.0000000000000036</v>
      </c>
      <c r="O2431">
        <f t="shared" si="303"/>
        <v>-4.9999999999999822</v>
      </c>
      <c r="P2431">
        <f t="shared" si="304"/>
        <v>-5.0000000000000266</v>
      </c>
      <c r="Q2431">
        <f t="shared" si="305"/>
        <v>-4.9999999999999822</v>
      </c>
      <c r="R2431">
        <f t="shared" si="306"/>
        <v>-3.0000000000000249</v>
      </c>
    </row>
    <row r="2432" spans="1:18">
      <c r="A2432" s="9">
        <v>40261</v>
      </c>
      <c r="B2432">
        <v>0.56999999999999995</v>
      </c>
      <c r="C2432">
        <v>1.17</v>
      </c>
      <c r="D2432">
        <v>1.77</v>
      </c>
      <c r="E2432">
        <v>2.2599999999999998</v>
      </c>
      <c r="F2432">
        <v>2.65</v>
      </c>
      <c r="G2432">
        <v>3.23</v>
      </c>
      <c r="H2432">
        <v>3.71</v>
      </c>
      <c r="I2432">
        <v>4.4400000000000004</v>
      </c>
      <c r="K2432">
        <f t="shared" si="299"/>
        <v>2.9999999999999916</v>
      </c>
      <c r="L2432">
        <f t="shared" si="300"/>
        <v>4.0000000000000036</v>
      </c>
      <c r="M2432">
        <f t="shared" si="301"/>
        <v>5.0000000000000044</v>
      </c>
      <c r="N2432">
        <f t="shared" si="302"/>
        <v>4.9999999999999822</v>
      </c>
      <c r="O2432">
        <f t="shared" si="303"/>
        <v>4.9999999999999822</v>
      </c>
      <c r="P2432">
        <f t="shared" si="304"/>
        <v>6.0000000000000053</v>
      </c>
      <c r="Q2432">
        <f t="shared" si="305"/>
        <v>4.9999999999999822</v>
      </c>
      <c r="R2432">
        <f t="shared" si="306"/>
        <v>3.0000000000000249</v>
      </c>
    </row>
    <row r="2433" spans="1:18">
      <c r="A2433" s="9">
        <v>40262</v>
      </c>
      <c r="B2433">
        <v>0.57999999999999996</v>
      </c>
      <c r="C2433">
        <v>1.21</v>
      </c>
      <c r="D2433">
        <v>1.81</v>
      </c>
      <c r="E2433">
        <v>2.2999999999999998</v>
      </c>
      <c r="F2433">
        <v>2.71</v>
      </c>
      <c r="G2433">
        <v>3.29</v>
      </c>
      <c r="H2433">
        <v>3.78</v>
      </c>
      <c r="I2433">
        <v>4.4800000000000004</v>
      </c>
      <c r="K2433">
        <f t="shared" si="299"/>
        <v>1.0000000000000009</v>
      </c>
      <c r="L2433">
        <f t="shared" si="300"/>
        <v>4.0000000000000036</v>
      </c>
      <c r="M2433">
        <f t="shared" si="301"/>
        <v>4.0000000000000036</v>
      </c>
      <c r="N2433">
        <f t="shared" si="302"/>
        <v>4.0000000000000036</v>
      </c>
      <c r="O2433">
        <f t="shared" si="303"/>
        <v>6.0000000000000053</v>
      </c>
      <c r="P2433">
        <f t="shared" si="304"/>
        <v>6.0000000000000053</v>
      </c>
      <c r="Q2433">
        <f t="shared" si="305"/>
        <v>6.999999999999984</v>
      </c>
      <c r="R2433">
        <f t="shared" si="306"/>
        <v>4.0000000000000036</v>
      </c>
    </row>
    <row r="2434" spans="1:18">
      <c r="A2434" s="9">
        <v>40263</v>
      </c>
      <c r="B2434">
        <v>0.56999999999999995</v>
      </c>
      <c r="C2434">
        <v>1.2</v>
      </c>
      <c r="D2434">
        <v>1.79</v>
      </c>
      <c r="E2434">
        <v>2.2999999999999998</v>
      </c>
      <c r="F2434">
        <v>2.71</v>
      </c>
      <c r="G2434">
        <v>3.3</v>
      </c>
      <c r="H2434">
        <v>3.79</v>
      </c>
      <c r="I2434">
        <v>4.5</v>
      </c>
      <c r="K2434">
        <f t="shared" si="299"/>
        <v>-1.0000000000000009</v>
      </c>
      <c r="L2434">
        <f t="shared" si="300"/>
        <v>-1.0000000000000009</v>
      </c>
      <c r="M2434">
        <f t="shared" si="301"/>
        <v>-2.0000000000000018</v>
      </c>
      <c r="N2434">
        <f t="shared" si="302"/>
        <v>0</v>
      </c>
      <c r="O2434">
        <f t="shared" si="303"/>
        <v>0</v>
      </c>
      <c r="P2434">
        <f t="shared" si="304"/>
        <v>0.99999999999997868</v>
      </c>
      <c r="Q2434">
        <f t="shared" si="305"/>
        <v>1.0000000000000231</v>
      </c>
      <c r="R2434">
        <f t="shared" si="306"/>
        <v>1.9999999999999574</v>
      </c>
    </row>
    <row r="2435" spans="1:18">
      <c r="A2435" s="9">
        <v>40266</v>
      </c>
      <c r="B2435">
        <v>0.56999999999999995</v>
      </c>
      <c r="C2435">
        <v>1.2</v>
      </c>
      <c r="D2435">
        <v>1.8</v>
      </c>
      <c r="E2435">
        <v>2.3199999999999998</v>
      </c>
      <c r="F2435">
        <v>2.73</v>
      </c>
      <c r="G2435">
        <v>3.32</v>
      </c>
      <c r="H2435">
        <v>3.83</v>
      </c>
      <c r="I2435">
        <v>4.55</v>
      </c>
      <c r="K2435">
        <f t="shared" si="299"/>
        <v>0</v>
      </c>
      <c r="L2435">
        <f t="shared" si="300"/>
        <v>0</v>
      </c>
      <c r="M2435">
        <f t="shared" si="301"/>
        <v>1.0000000000000009</v>
      </c>
      <c r="N2435">
        <f t="shared" si="302"/>
        <v>2.0000000000000018</v>
      </c>
      <c r="O2435">
        <f t="shared" si="303"/>
        <v>2.0000000000000018</v>
      </c>
      <c r="P2435">
        <f t="shared" si="304"/>
        <v>2.0000000000000018</v>
      </c>
      <c r="Q2435">
        <f t="shared" si="305"/>
        <v>4.0000000000000036</v>
      </c>
      <c r="R2435">
        <f t="shared" si="306"/>
        <v>4.9999999999999822</v>
      </c>
    </row>
    <row r="2436" spans="1:18">
      <c r="A2436" s="9">
        <v>40267</v>
      </c>
      <c r="B2436">
        <v>0.57999999999999996</v>
      </c>
      <c r="C2436">
        <v>1.23</v>
      </c>
      <c r="D2436">
        <v>1.84</v>
      </c>
      <c r="E2436">
        <v>2.34</v>
      </c>
      <c r="F2436">
        <v>2.76</v>
      </c>
      <c r="G2436">
        <v>3.35</v>
      </c>
      <c r="H2436">
        <v>3.85</v>
      </c>
      <c r="I2436">
        <v>4.5599999999999996</v>
      </c>
      <c r="K2436">
        <f t="shared" si="299"/>
        <v>1.0000000000000009</v>
      </c>
      <c r="L2436">
        <f t="shared" si="300"/>
        <v>3.0000000000000027</v>
      </c>
      <c r="M2436">
        <f t="shared" si="301"/>
        <v>4.0000000000000036</v>
      </c>
      <c r="N2436">
        <f t="shared" si="302"/>
        <v>2.0000000000000018</v>
      </c>
      <c r="O2436">
        <f t="shared" si="303"/>
        <v>2.9999999999999805</v>
      </c>
      <c r="P2436">
        <f t="shared" si="304"/>
        <v>3.0000000000000249</v>
      </c>
      <c r="Q2436">
        <f t="shared" si="305"/>
        <v>2.0000000000000018</v>
      </c>
      <c r="R2436">
        <f t="shared" si="306"/>
        <v>0.99999999999997868</v>
      </c>
    </row>
    <row r="2437" spans="1:18">
      <c r="A2437" s="9">
        <v>40268</v>
      </c>
      <c r="B2437">
        <v>0.57999999999999996</v>
      </c>
      <c r="C2437">
        <v>1.21</v>
      </c>
      <c r="D2437">
        <v>1.82</v>
      </c>
      <c r="E2437">
        <v>2.3199999999999998</v>
      </c>
      <c r="F2437">
        <v>2.74</v>
      </c>
      <c r="G2437">
        <v>3.32</v>
      </c>
      <c r="H2437">
        <v>3.83</v>
      </c>
      <c r="I2437">
        <v>4.54</v>
      </c>
      <c r="K2437">
        <f t="shared" ref="K2437:K2500" si="307">(B2437-B2436)*100</f>
        <v>0</v>
      </c>
      <c r="L2437">
        <f t="shared" ref="L2437:L2500" si="308">(C2437-C2436)*100</f>
        <v>-2.0000000000000018</v>
      </c>
      <c r="M2437">
        <f t="shared" ref="M2437:M2500" si="309">(D2437-D2436)*100</f>
        <v>-2.0000000000000018</v>
      </c>
      <c r="N2437">
        <f t="shared" ref="N2437:N2500" si="310">(E2437-E2436)*100</f>
        <v>-2.0000000000000018</v>
      </c>
      <c r="O2437">
        <f t="shared" ref="O2437:O2500" si="311">(F2437-F2436)*100</f>
        <v>-1.9999999999999574</v>
      </c>
      <c r="P2437">
        <f t="shared" ref="P2437:P2500" si="312">(G2437-G2436)*100</f>
        <v>-3.0000000000000249</v>
      </c>
      <c r="Q2437">
        <f t="shared" ref="Q2437:Q2500" si="313">(H2437-H2436)*100</f>
        <v>-2.0000000000000018</v>
      </c>
      <c r="R2437">
        <f t="shared" ref="R2437:R2500" si="314">(I2437-I2436)*100</f>
        <v>-1.9999999999999574</v>
      </c>
    </row>
    <row r="2438" spans="1:18">
      <c r="A2438" s="9">
        <v>40269</v>
      </c>
      <c r="B2438">
        <v>0.56999999999999995</v>
      </c>
      <c r="C2438">
        <v>1.22</v>
      </c>
      <c r="D2438">
        <v>1.83</v>
      </c>
      <c r="E2438">
        <v>2.35</v>
      </c>
      <c r="F2438">
        <v>2.78</v>
      </c>
      <c r="G2438">
        <v>3.37</v>
      </c>
      <c r="H2438">
        <v>3.89</v>
      </c>
      <c r="I2438">
        <v>4.58</v>
      </c>
      <c r="K2438">
        <f t="shared" si="307"/>
        <v>-1.0000000000000009</v>
      </c>
      <c r="L2438">
        <f t="shared" si="308"/>
        <v>1.0000000000000009</v>
      </c>
      <c r="M2438">
        <f t="shared" si="309"/>
        <v>1.0000000000000009</v>
      </c>
      <c r="N2438">
        <f t="shared" si="310"/>
        <v>3.0000000000000249</v>
      </c>
      <c r="O2438">
        <f t="shared" si="311"/>
        <v>3.9999999999999591</v>
      </c>
      <c r="P2438">
        <f t="shared" si="312"/>
        <v>5.0000000000000266</v>
      </c>
      <c r="Q2438">
        <f t="shared" si="313"/>
        <v>6.0000000000000053</v>
      </c>
      <c r="R2438">
        <f t="shared" si="314"/>
        <v>4.0000000000000036</v>
      </c>
    </row>
    <row r="2439" spans="1:18">
      <c r="A2439" s="9">
        <v>40270</v>
      </c>
      <c r="B2439">
        <v>0.59</v>
      </c>
      <c r="C2439">
        <v>1.27</v>
      </c>
      <c r="D2439">
        <v>1.91</v>
      </c>
      <c r="E2439">
        <v>2.44</v>
      </c>
      <c r="F2439">
        <v>2.87</v>
      </c>
      <c r="G2439">
        <v>3.46</v>
      </c>
      <c r="H2439">
        <v>3.96</v>
      </c>
      <c r="I2439">
        <v>4.63</v>
      </c>
      <c r="K2439">
        <f t="shared" si="307"/>
        <v>2.0000000000000018</v>
      </c>
      <c r="L2439">
        <f t="shared" si="308"/>
        <v>5.0000000000000044</v>
      </c>
      <c r="M2439">
        <f t="shared" si="309"/>
        <v>7.9999999999999849</v>
      </c>
      <c r="N2439">
        <f t="shared" si="310"/>
        <v>8.9999999999999858</v>
      </c>
      <c r="O2439">
        <f t="shared" si="311"/>
        <v>9.0000000000000302</v>
      </c>
      <c r="P2439">
        <f t="shared" si="312"/>
        <v>8.9999999999999858</v>
      </c>
      <c r="Q2439">
        <f t="shared" si="313"/>
        <v>6.999999999999984</v>
      </c>
      <c r="R2439">
        <f t="shared" si="314"/>
        <v>4.9999999999999822</v>
      </c>
    </row>
    <row r="2440" spans="1:18">
      <c r="A2440" s="9">
        <v>40273</v>
      </c>
      <c r="B2440">
        <v>0.61</v>
      </c>
      <c r="C2440">
        <v>1.32</v>
      </c>
      <c r="D2440">
        <v>1.95</v>
      </c>
      <c r="E2440">
        <v>2.48</v>
      </c>
      <c r="F2440">
        <v>2.91</v>
      </c>
      <c r="G2440">
        <v>3.5</v>
      </c>
      <c r="H2440">
        <v>4</v>
      </c>
      <c r="I2440">
        <v>4.66</v>
      </c>
      <c r="K2440">
        <f t="shared" si="307"/>
        <v>2.0000000000000018</v>
      </c>
      <c r="L2440">
        <f t="shared" si="308"/>
        <v>5.0000000000000044</v>
      </c>
      <c r="M2440">
        <f t="shared" si="309"/>
        <v>4.0000000000000036</v>
      </c>
      <c r="N2440">
        <f t="shared" si="310"/>
        <v>4.0000000000000036</v>
      </c>
      <c r="O2440">
        <f t="shared" si="311"/>
        <v>4.0000000000000036</v>
      </c>
      <c r="P2440">
        <f t="shared" si="312"/>
        <v>4.0000000000000036</v>
      </c>
      <c r="Q2440">
        <f t="shared" si="313"/>
        <v>4.0000000000000036</v>
      </c>
      <c r="R2440">
        <f t="shared" si="314"/>
        <v>3.0000000000000249</v>
      </c>
    </row>
    <row r="2441" spans="1:18">
      <c r="A2441" s="9">
        <v>40274</v>
      </c>
      <c r="B2441">
        <v>0.6</v>
      </c>
      <c r="C2441">
        <v>1.3</v>
      </c>
      <c r="D2441">
        <v>1.94</v>
      </c>
      <c r="E2441">
        <v>2.46</v>
      </c>
      <c r="F2441">
        <v>2.89</v>
      </c>
      <c r="G2441">
        <v>3.48</v>
      </c>
      <c r="H2441">
        <v>3.97</v>
      </c>
      <c r="I2441">
        <v>4.6500000000000004</v>
      </c>
      <c r="K2441">
        <f t="shared" si="307"/>
        <v>-1.0000000000000009</v>
      </c>
      <c r="L2441">
        <f t="shared" si="308"/>
        <v>-2.0000000000000018</v>
      </c>
      <c r="M2441">
        <f t="shared" si="309"/>
        <v>-1.0000000000000009</v>
      </c>
      <c r="N2441">
        <f t="shared" si="310"/>
        <v>-2.0000000000000018</v>
      </c>
      <c r="O2441">
        <f t="shared" si="311"/>
        <v>-2.0000000000000018</v>
      </c>
      <c r="P2441">
        <f t="shared" si="312"/>
        <v>-2.0000000000000018</v>
      </c>
      <c r="Q2441">
        <f t="shared" si="313"/>
        <v>-2.9999999999999805</v>
      </c>
      <c r="R2441">
        <f t="shared" si="314"/>
        <v>-0.99999999999997868</v>
      </c>
    </row>
    <row r="2442" spans="1:18">
      <c r="A2442" s="9">
        <v>40275</v>
      </c>
      <c r="B2442">
        <v>0.57999999999999996</v>
      </c>
      <c r="C2442">
        <v>1.24</v>
      </c>
      <c r="D2442">
        <v>1.88</v>
      </c>
      <c r="E2442">
        <v>2.41</v>
      </c>
      <c r="F2442">
        <v>2.84</v>
      </c>
      <c r="G2442">
        <v>3.43</v>
      </c>
      <c r="H2442">
        <v>3.93</v>
      </c>
      <c r="I2442">
        <v>4.63</v>
      </c>
      <c r="K2442">
        <f t="shared" si="307"/>
        <v>-2.0000000000000018</v>
      </c>
      <c r="L2442">
        <f t="shared" si="308"/>
        <v>-6.0000000000000053</v>
      </c>
      <c r="M2442">
        <f t="shared" si="309"/>
        <v>-6.0000000000000053</v>
      </c>
      <c r="N2442">
        <f t="shared" si="310"/>
        <v>-4.9999999999999822</v>
      </c>
      <c r="O2442">
        <f t="shared" si="311"/>
        <v>-5.0000000000000266</v>
      </c>
      <c r="P2442">
        <f t="shared" si="312"/>
        <v>-4.9999999999999822</v>
      </c>
      <c r="Q2442">
        <f t="shared" si="313"/>
        <v>-4.0000000000000036</v>
      </c>
      <c r="R2442">
        <f t="shared" si="314"/>
        <v>-2.0000000000000462</v>
      </c>
    </row>
    <row r="2443" spans="1:18">
      <c r="A2443" s="9">
        <v>40276</v>
      </c>
      <c r="B2443">
        <v>0.55000000000000004</v>
      </c>
      <c r="C2443">
        <v>1.17</v>
      </c>
      <c r="D2443">
        <v>1.8</v>
      </c>
      <c r="E2443">
        <v>2.3199999999999998</v>
      </c>
      <c r="F2443">
        <v>2.73</v>
      </c>
      <c r="G2443">
        <v>3.31</v>
      </c>
      <c r="H2443">
        <v>3.81</v>
      </c>
      <c r="I2443">
        <v>4.5199999999999996</v>
      </c>
      <c r="K2443">
        <f t="shared" si="307"/>
        <v>-2.9999999999999916</v>
      </c>
      <c r="L2443">
        <f t="shared" si="308"/>
        <v>-7.0000000000000062</v>
      </c>
      <c r="M2443">
        <f t="shared" si="309"/>
        <v>-7.9999999999999849</v>
      </c>
      <c r="N2443">
        <f t="shared" si="310"/>
        <v>-9.0000000000000302</v>
      </c>
      <c r="O2443">
        <f t="shared" si="311"/>
        <v>-10.999999999999988</v>
      </c>
      <c r="P2443">
        <f t="shared" si="312"/>
        <v>-12.000000000000011</v>
      </c>
      <c r="Q2443">
        <f t="shared" si="313"/>
        <v>-12.000000000000011</v>
      </c>
      <c r="R2443">
        <f t="shared" si="314"/>
        <v>-11.000000000000032</v>
      </c>
    </row>
    <row r="2444" spans="1:18">
      <c r="A2444" s="9">
        <v>40277</v>
      </c>
      <c r="B2444">
        <v>0.57999999999999996</v>
      </c>
      <c r="C2444">
        <v>1.24</v>
      </c>
      <c r="D2444">
        <v>1.87</v>
      </c>
      <c r="E2444">
        <v>2.4</v>
      </c>
      <c r="F2444">
        <v>2.82</v>
      </c>
      <c r="G2444">
        <v>3.41</v>
      </c>
      <c r="H2444">
        <v>3.9</v>
      </c>
      <c r="I2444">
        <v>4.58</v>
      </c>
      <c r="K2444">
        <f t="shared" si="307"/>
        <v>2.9999999999999916</v>
      </c>
      <c r="L2444">
        <f t="shared" si="308"/>
        <v>7.0000000000000062</v>
      </c>
      <c r="M2444">
        <f t="shared" si="309"/>
        <v>7.0000000000000062</v>
      </c>
      <c r="N2444">
        <f t="shared" si="310"/>
        <v>8.0000000000000071</v>
      </c>
      <c r="O2444">
        <f t="shared" si="311"/>
        <v>8.9999999999999858</v>
      </c>
      <c r="P2444">
        <f t="shared" si="312"/>
        <v>10.000000000000009</v>
      </c>
      <c r="Q2444">
        <f t="shared" si="313"/>
        <v>8.9999999999999858</v>
      </c>
      <c r="R2444">
        <f t="shared" si="314"/>
        <v>6.0000000000000497</v>
      </c>
    </row>
    <row r="2445" spans="1:18">
      <c r="A2445" s="9">
        <v>40280</v>
      </c>
      <c r="B2445">
        <v>0.56999999999999995</v>
      </c>
      <c r="C2445">
        <v>1.21</v>
      </c>
      <c r="D2445">
        <v>1.82</v>
      </c>
      <c r="E2445">
        <v>2.33</v>
      </c>
      <c r="F2445">
        <v>2.75</v>
      </c>
      <c r="G2445">
        <v>3.33</v>
      </c>
      <c r="H2445">
        <v>3.82</v>
      </c>
      <c r="I2445">
        <v>4.51</v>
      </c>
      <c r="K2445">
        <f t="shared" si="307"/>
        <v>-1.0000000000000009</v>
      </c>
      <c r="L2445">
        <f t="shared" si="308"/>
        <v>-3.0000000000000027</v>
      </c>
      <c r="M2445">
        <f t="shared" si="309"/>
        <v>-5.0000000000000044</v>
      </c>
      <c r="N2445">
        <f t="shared" si="310"/>
        <v>-6.999999999999984</v>
      </c>
      <c r="O2445">
        <f t="shared" si="311"/>
        <v>-6.999999999999984</v>
      </c>
      <c r="P2445">
        <f t="shared" si="312"/>
        <v>-8.0000000000000071</v>
      </c>
      <c r="Q2445">
        <f t="shared" si="313"/>
        <v>-8.0000000000000071</v>
      </c>
      <c r="R2445">
        <f t="shared" si="314"/>
        <v>-7.0000000000000284</v>
      </c>
    </row>
    <row r="2446" spans="1:18">
      <c r="A2446" s="9">
        <v>40281</v>
      </c>
      <c r="B2446">
        <v>0.57999999999999996</v>
      </c>
      <c r="C2446">
        <v>1.2</v>
      </c>
      <c r="D2446">
        <v>1.8</v>
      </c>
      <c r="E2446">
        <v>2.3199999999999998</v>
      </c>
      <c r="F2446">
        <v>2.73</v>
      </c>
      <c r="G2446">
        <v>3.3</v>
      </c>
      <c r="H2446">
        <v>3.79</v>
      </c>
      <c r="I2446">
        <v>4.47</v>
      </c>
      <c r="K2446">
        <f t="shared" si="307"/>
        <v>1.0000000000000009</v>
      </c>
      <c r="L2446">
        <f t="shared" si="308"/>
        <v>-1.0000000000000009</v>
      </c>
      <c r="M2446">
        <f t="shared" si="309"/>
        <v>-2.0000000000000018</v>
      </c>
      <c r="N2446">
        <f t="shared" si="310"/>
        <v>-1.0000000000000231</v>
      </c>
      <c r="O2446">
        <f t="shared" si="311"/>
        <v>-2.0000000000000018</v>
      </c>
      <c r="P2446">
        <f t="shared" si="312"/>
        <v>-3.0000000000000249</v>
      </c>
      <c r="Q2446">
        <f t="shared" si="313"/>
        <v>-2.9999999999999805</v>
      </c>
      <c r="R2446">
        <f t="shared" si="314"/>
        <v>-4.0000000000000036</v>
      </c>
    </row>
    <row r="2447" spans="1:18">
      <c r="A2447" s="9">
        <v>40282</v>
      </c>
      <c r="B2447">
        <v>0.56999999999999995</v>
      </c>
      <c r="C2447">
        <v>1.19</v>
      </c>
      <c r="D2447">
        <v>1.79</v>
      </c>
      <c r="E2447">
        <v>2.2999999999999998</v>
      </c>
      <c r="F2447">
        <v>2.71</v>
      </c>
      <c r="G2447">
        <v>3.3</v>
      </c>
      <c r="H2447">
        <v>3.79</v>
      </c>
      <c r="I2447">
        <v>4.4800000000000004</v>
      </c>
      <c r="K2447">
        <f t="shared" si="307"/>
        <v>-1.0000000000000009</v>
      </c>
      <c r="L2447">
        <f t="shared" si="308"/>
        <v>-1.0000000000000009</v>
      </c>
      <c r="M2447">
        <f t="shared" si="309"/>
        <v>-1.0000000000000009</v>
      </c>
      <c r="N2447">
        <f t="shared" si="310"/>
        <v>-2.0000000000000018</v>
      </c>
      <c r="O2447">
        <f t="shared" si="311"/>
        <v>-2.0000000000000018</v>
      </c>
      <c r="P2447">
        <f t="shared" si="312"/>
        <v>0</v>
      </c>
      <c r="Q2447">
        <f t="shared" si="313"/>
        <v>0</v>
      </c>
      <c r="R2447">
        <f t="shared" si="314"/>
        <v>1.0000000000000675</v>
      </c>
    </row>
    <row r="2448" spans="1:18">
      <c r="A2448" s="9">
        <v>40283</v>
      </c>
      <c r="B2448">
        <v>0.56000000000000005</v>
      </c>
      <c r="C2448">
        <v>1.18</v>
      </c>
      <c r="D2448">
        <v>1.79</v>
      </c>
      <c r="E2448">
        <v>2.2999999999999998</v>
      </c>
      <c r="F2448">
        <v>2.73</v>
      </c>
      <c r="G2448">
        <v>3.31</v>
      </c>
      <c r="H2448">
        <v>3.82</v>
      </c>
      <c r="I2448">
        <v>4.51</v>
      </c>
      <c r="K2448">
        <f t="shared" si="307"/>
        <v>-0.99999999999998979</v>
      </c>
      <c r="L2448">
        <f t="shared" si="308"/>
        <v>-1.0000000000000009</v>
      </c>
      <c r="M2448">
        <f t="shared" si="309"/>
        <v>0</v>
      </c>
      <c r="N2448">
        <f t="shared" si="310"/>
        <v>0</v>
      </c>
      <c r="O2448">
        <f t="shared" si="311"/>
        <v>2.0000000000000018</v>
      </c>
      <c r="P2448">
        <f t="shared" si="312"/>
        <v>1.0000000000000231</v>
      </c>
      <c r="Q2448">
        <f t="shared" si="313"/>
        <v>2.9999999999999805</v>
      </c>
      <c r="R2448">
        <f t="shared" si="314"/>
        <v>2.9999999999999361</v>
      </c>
    </row>
    <row r="2449" spans="1:18">
      <c r="A2449" s="9">
        <v>40284</v>
      </c>
      <c r="B2449">
        <v>0.53</v>
      </c>
      <c r="C2449">
        <v>1.1200000000000001</v>
      </c>
      <c r="D2449">
        <v>1.73</v>
      </c>
      <c r="E2449">
        <v>2.2400000000000002</v>
      </c>
      <c r="F2449">
        <v>2.67</v>
      </c>
      <c r="G2449">
        <v>3.26</v>
      </c>
      <c r="H2449">
        <v>3.77</v>
      </c>
      <c r="I2449">
        <v>4.49</v>
      </c>
      <c r="K2449">
        <f t="shared" si="307"/>
        <v>-3.0000000000000027</v>
      </c>
      <c r="L2449">
        <f t="shared" si="308"/>
        <v>-5.9999999999999831</v>
      </c>
      <c r="M2449">
        <f t="shared" si="309"/>
        <v>-6.0000000000000053</v>
      </c>
      <c r="N2449">
        <f t="shared" si="310"/>
        <v>-5.9999999999999609</v>
      </c>
      <c r="O2449">
        <f t="shared" si="311"/>
        <v>-6.0000000000000053</v>
      </c>
      <c r="P2449">
        <f t="shared" si="312"/>
        <v>-5.0000000000000266</v>
      </c>
      <c r="Q2449">
        <f t="shared" si="313"/>
        <v>-4.9999999999999822</v>
      </c>
      <c r="R2449">
        <f t="shared" si="314"/>
        <v>-1.9999999999999574</v>
      </c>
    </row>
    <row r="2450" spans="1:18">
      <c r="A2450" s="9">
        <v>40287</v>
      </c>
      <c r="B2450">
        <v>0.53</v>
      </c>
      <c r="C2450">
        <v>1.1100000000000001</v>
      </c>
      <c r="D2450">
        <v>1.71</v>
      </c>
      <c r="E2450">
        <v>2.2200000000000002</v>
      </c>
      <c r="F2450">
        <v>2.65</v>
      </c>
      <c r="G2450">
        <v>3.25</v>
      </c>
      <c r="H2450">
        <v>3.76</v>
      </c>
      <c r="I2450">
        <v>4.47</v>
      </c>
      <c r="K2450">
        <f t="shared" si="307"/>
        <v>0</v>
      </c>
      <c r="L2450">
        <f t="shared" si="308"/>
        <v>-1.0000000000000009</v>
      </c>
      <c r="M2450">
        <f t="shared" si="309"/>
        <v>-2.0000000000000018</v>
      </c>
      <c r="N2450">
        <f t="shared" si="310"/>
        <v>-2.0000000000000018</v>
      </c>
      <c r="O2450">
        <f t="shared" si="311"/>
        <v>-2.0000000000000018</v>
      </c>
      <c r="P2450">
        <f t="shared" si="312"/>
        <v>-0.99999999999997868</v>
      </c>
      <c r="Q2450">
        <f t="shared" si="313"/>
        <v>-1.0000000000000231</v>
      </c>
      <c r="R2450">
        <f t="shared" si="314"/>
        <v>-2.0000000000000462</v>
      </c>
    </row>
    <row r="2451" spans="1:18">
      <c r="A2451" s="9">
        <v>40288</v>
      </c>
      <c r="B2451">
        <v>0.56000000000000005</v>
      </c>
      <c r="C2451">
        <v>1.17</v>
      </c>
      <c r="D2451">
        <v>1.78</v>
      </c>
      <c r="E2451">
        <v>2.29</v>
      </c>
      <c r="F2451">
        <v>2.71</v>
      </c>
      <c r="G2451">
        <v>3.3</v>
      </c>
      <c r="H2451">
        <v>3.8</v>
      </c>
      <c r="I2451">
        <v>4.5</v>
      </c>
      <c r="K2451">
        <f t="shared" si="307"/>
        <v>3.0000000000000027</v>
      </c>
      <c r="L2451">
        <f t="shared" si="308"/>
        <v>5.9999999999999831</v>
      </c>
      <c r="M2451">
        <f t="shared" si="309"/>
        <v>7.0000000000000062</v>
      </c>
      <c r="N2451">
        <f t="shared" si="310"/>
        <v>6.999999999999984</v>
      </c>
      <c r="O2451">
        <f t="shared" si="311"/>
        <v>6.0000000000000053</v>
      </c>
      <c r="P2451">
        <f t="shared" si="312"/>
        <v>4.9999999999999822</v>
      </c>
      <c r="Q2451">
        <f t="shared" si="313"/>
        <v>4.0000000000000036</v>
      </c>
      <c r="R2451">
        <f t="shared" si="314"/>
        <v>3.0000000000000249</v>
      </c>
    </row>
    <row r="2452" spans="1:18">
      <c r="A2452" s="9">
        <v>40289</v>
      </c>
      <c r="B2452">
        <v>0.59</v>
      </c>
      <c r="C2452">
        <v>1.19</v>
      </c>
      <c r="D2452">
        <v>1.78</v>
      </c>
      <c r="E2452">
        <v>2.2799999999999998</v>
      </c>
      <c r="F2452">
        <v>2.68</v>
      </c>
      <c r="G2452">
        <v>3.26</v>
      </c>
      <c r="H2452">
        <v>3.74</v>
      </c>
      <c r="I2452">
        <v>4.43</v>
      </c>
      <c r="K2452">
        <f t="shared" si="307"/>
        <v>2.9999999999999916</v>
      </c>
      <c r="L2452">
        <f t="shared" si="308"/>
        <v>2.0000000000000018</v>
      </c>
      <c r="M2452">
        <f t="shared" si="309"/>
        <v>0</v>
      </c>
      <c r="N2452">
        <f t="shared" si="310"/>
        <v>-1.0000000000000231</v>
      </c>
      <c r="O2452">
        <f t="shared" si="311"/>
        <v>-2.9999999999999805</v>
      </c>
      <c r="P2452">
        <f t="shared" si="312"/>
        <v>-4.0000000000000036</v>
      </c>
      <c r="Q2452">
        <f t="shared" si="313"/>
        <v>-5.9999999999999609</v>
      </c>
      <c r="R2452">
        <f t="shared" si="314"/>
        <v>-7.0000000000000284</v>
      </c>
    </row>
    <row r="2453" spans="1:18">
      <c r="A2453" s="9">
        <v>40290</v>
      </c>
      <c r="B2453">
        <v>0.57999999999999996</v>
      </c>
      <c r="C2453">
        <v>1.1599999999999999</v>
      </c>
      <c r="D2453">
        <v>1.75</v>
      </c>
      <c r="E2453">
        <v>2.25</v>
      </c>
      <c r="F2453">
        <v>2.65</v>
      </c>
      <c r="G2453">
        <v>3.23</v>
      </c>
      <c r="H2453">
        <v>3.73</v>
      </c>
      <c r="I2453">
        <v>4.41</v>
      </c>
      <c r="K2453">
        <f t="shared" si="307"/>
        <v>-1.0000000000000009</v>
      </c>
      <c r="L2453">
        <f t="shared" si="308"/>
        <v>-3.0000000000000027</v>
      </c>
      <c r="M2453">
        <f t="shared" si="309"/>
        <v>-3.0000000000000027</v>
      </c>
      <c r="N2453">
        <f t="shared" si="310"/>
        <v>-2.9999999999999805</v>
      </c>
      <c r="O2453">
        <f t="shared" si="311"/>
        <v>-3.0000000000000249</v>
      </c>
      <c r="P2453">
        <f t="shared" si="312"/>
        <v>-2.9999999999999805</v>
      </c>
      <c r="Q2453">
        <f t="shared" si="313"/>
        <v>-1.0000000000000231</v>
      </c>
      <c r="R2453">
        <f t="shared" si="314"/>
        <v>-1.9999999999999574</v>
      </c>
    </row>
    <row r="2454" spans="1:18">
      <c r="A2454" s="9">
        <v>40291</v>
      </c>
      <c r="B2454">
        <v>0.62</v>
      </c>
      <c r="C2454">
        <v>1.25</v>
      </c>
      <c r="D2454">
        <v>1.85</v>
      </c>
      <c r="E2454">
        <v>2.35</v>
      </c>
      <c r="F2454">
        <v>2.76</v>
      </c>
      <c r="G2454">
        <v>3.34</v>
      </c>
      <c r="H2454">
        <v>3.82</v>
      </c>
      <c r="I2454">
        <v>4.4800000000000004</v>
      </c>
      <c r="K2454">
        <f t="shared" si="307"/>
        <v>4.0000000000000036</v>
      </c>
      <c r="L2454">
        <f t="shared" si="308"/>
        <v>9.0000000000000071</v>
      </c>
      <c r="M2454">
        <f t="shared" si="309"/>
        <v>10.000000000000009</v>
      </c>
      <c r="N2454">
        <f t="shared" si="310"/>
        <v>10.000000000000009</v>
      </c>
      <c r="O2454">
        <f t="shared" si="311"/>
        <v>10.999999999999988</v>
      </c>
      <c r="P2454">
        <f t="shared" si="312"/>
        <v>10.999999999999988</v>
      </c>
      <c r="Q2454">
        <f t="shared" si="313"/>
        <v>8.9999999999999858</v>
      </c>
      <c r="R2454">
        <f t="shared" si="314"/>
        <v>7.0000000000000284</v>
      </c>
    </row>
    <row r="2455" spans="1:18">
      <c r="A2455" s="9">
        <v>40294</v>
      </c>
      <c r="B2455">
        <v>0.62</v>
      </c>
      <c r="C2455">
        <v>1.24</v>
      </c>
      <c r="D2455">
        <v>1.83</v>
      </c>
      <c r="E2455">
        <v>2.33</v>
      </c>
      <c r="F2455">
        <v>2.74</v>
      </c>
      <c r="G2455">
        <v>3.31</v>
      </c>
      <c r="H2455">
        <v>3.8</v>
      </c>
      <c r="I2455">
        <v>4.46</v>
      </c>
      <c r="K2455">
        <f t="shared" si="307"/>
        <v>0</v>
      </c>
      <c r="L2455">
        <f t="shared" si="308"/>
        <v>-1.0000000000000009</v>
      </c>
      <c r="M2455">
        <f t="shared" si="309"/>
        <v>-2.0000000000000018</v>
      </c>
      <c r="N2455">
        <f t="shared" si="310"/>
        <v>-2.0000000000000018</v>
      </c>
      <c r="O2455">
        <f t="shared" si="311"/>
        <v>-1.9999999999999574</v>
      </c>
      <c r="P2455">
        <f t="shared" si="312"/>
        <v>-2.9999999999999805</v>
      </c>
      <c r="Q2455">
        <f t="shared" si="313"/>
        <v>-2.0000000000000018</v>
      </c>
      <c r="R2455">
        <f t="shared" si="314"/>
        <v>-2.0000000000000462</v>
      </c>
    </row>
    <row r="2456" spans="1:18">
      <c r="A2456" s="9">
        <v>40295</v>
      </c>
      <c r="B2456">
        <v>0.63</v>
      </c>
      <c r="C2456">
        <v>1.22</v>
      </c>
      <c r="D2456">
        <v>1.8</v>
      </c>
      <c r="E2456">
        <v>2.29</v>
      </c>
      <c r="F2456">
        <v>2.7</v>
      </c>
      <c r="G2456">
        <v>3.28</v>
      </c>
      <c r="H2456">
        <v>3.76</v>
      </c>
      <c r="I2456">
        <v>4.43</v>
      </c>
      <c r="K2456">
        <f t="shared" si="307"/>
        <v>1.0000000000000009</v>
      </c>
      <c r="L2456">
        <f t="shared" si="308"/>
        <v>-2.0000000000000018</v>
      </c>
      <c r="M2456">
        <f t="shared" si="309"/>
        <v>-3.0000000000000027</v>
      </c>
      <c r="N2456">
        <f t="shared" si="310"/>
        <v>-4.0000000000000036</v>
      </c>
      <c r="O2456">
        <f t="shared" si="311"/>
        <v>-4.0000000000000036</v>
      </c>
      <c r="P2456">
        <f t="shared" si="312"/>
        <v>-3.0000000000000249</v>
      </c>
      <c r="Q2456">
        <f t="shared" si="313"/>
        <v>-4.0000000000000036</v>
      </c>
      <c r="R2456">
        <f t="shared" si="314"/>
        <v>-3.0000000000000249</v>
      </c>
    </row>
    <row r="2457" spans="1:18">
      <c r="A2457" s="9">
        <v>40296</v>
      </c>
      <c r="B2457">
        <v>0.65</v>
      </c>
      <c r="C2457">
        <v>1.23</v>
      </c>
      <c r="D2457">
        <v>1.79</v>
      </c>
      <c r="E2457">
        <v>2.29</v>
      </c>
      <c r="F2457">
        <v>2.7</v>
      </c>
      <c r="G2457">
        <v>3.27</v>
      </c>
      <c r="H2457">
        <v>3.75</v>
      </c>
      <c r="I2457">
        <v>4.41</v>
      </c>
      <c r="K2457">
        <f t="shared" si="307"/>
        <v>2.0000000000000018</v>
      </c>
      <c r="L2457">
        <f t="shared" si="308"/>
        <v>1.0000000000000009</v>
      </c>
      <c r="M2457">
        <f t="shared" si="309"/>
        <v>-1.0000000000000009</v>
      </c>
      <c r="N2457">
        <f t="shared" si="310"/>
        <v>0</v>
      </c>
      <c r="O2457">
        <f t="shared" si="311"/>
        <v>0</v>
      </c>
      <c r="P2457">
        <f t="shared" si="312"/>
        <v>-0.99999999999997868</v>
      </c>
      <c r="Q2457">
        <f t="shared" si="313"/>
        <v>-0.99999999999997868</v>
      </c>
      <c r="R2457">
        <f t="shared" si="314"/>
        <v>-1.9999999999999574</v>
      </c>
    </row>
    <row r="2458" spans="1:18">
      <c r="A2458" s="9">
        <v>40297</v>
      </c>
      <c r="B2458">
        <v>0.64</v>
      </c>
      <c r="C2458">
        <v>1.22</v>
      </c>
      <c r="D2458">
        <v>1.79</v>
      </c>
      <c r="E2458">
        <v>2.2799999999999998</v>
      </c>
      <c r="F2458">
        <v>2.69</v>
      </c>
      <c r="G2458">
        <v>3.27</v>
      </c>
      <c r="H2458">
        <v>3.75</v>
      </c>
      <c r="I2458">
        <v>4.38</v>
      </c>
      <c r="K2458">
        <f t="shared" si="307"/>
        <v>-1.0000000000000009</v>
      </c>
      <c r="L2458">
        <f t="shared" si="308"/>
        <v>-1.0000000000000009</v>
      </c>
      <c r="M2458">
        <f t="shared" si="309"/>
        <v>0</v>
      </c>
      <c r="N2458">
        <f t="shared" si="310"/>
        <v>-1.0000000000000231</v>
      </c>
      <c r="O2458">
        <f t="shared" si="311"/>
        <v>-1.0000000000000231</v>
      </c>
      <c r="P2458">
        <f t="shared" si="312"/>
        <v>0</v>
      </c>
      <c r="Q2458">
        <f t="shared" si="313"/>
        <v>0</v>
      </c>
      <c r="R2458">
        <f t="shared" si="314"/>
        <v>-3.0000000000000249</v>
      </c>
    </row>
    <row r="2459" spans="1:18">
      <c r="A2459" s="9">
        <v>40298</v>
      </c>
      <c r="B2459">
        <v>0.64</v>
      </c>
      <c r="C2459">
        <v>1.19</v>
      </c>
      <c r="D2459">
        <v>1.74</v>
      </c>
      <c r="E2459">
        <v>2.2200000000000002</v>
      </c>
      <c r="F2459">
        <v>2.63</v>
      </c>
      <c r="G2459">
        <v>3.2</v>
      </c>
      <c r="H2459">
        <v>3.68</v>
      </c>
      <c r="I2459">
        <v>4.32</v>
      </c>
      <c r="K2459">
        <f t="shared" si="307"/>
        <v>0</v>
      </c>
      <c r="L2459">
        <f t="shared" si="308"/>
        <v>-3.0000000000000027</v>
      </c>
      <c r="M2459">
        <f t="shared" si="309"/>
        <v>-5.0000000000000044</v>
      </c>
      <c r="N2459">
        <f t="shared" si="310"/>
        <v>-5.9999999999999609</v>
      </c>
      <c r="O2459">
        <f t="shared" si="311"/>
        <v>-6.0000000000000053</v>
      </c>
      <c r="P2459">
        <f t="shared" si="312"/>
        <v>-6.999999999999984</v>
      </c>
      <c r="Q2459">
        <f t="shared" si="313"/>
        <v>-6.999999999999984</v>
      </c>
      <c r="R2459">
        <f t="shared" si="314"/>
        <v>-5.9999999999999609</v>
      </c>
    </row>
    <row r="2460" spans="1:18">
      <c r="A2460" s="9">
        <v>40301</v>
      </c>
      <c r="B2460">
        <v>0.68</v>
      </c>
      <c r="C2460">
        <v>1.24</v>
      </c>
      <c r="D2460">
        <v>1.79</v>
      </c>
      <c r="E2460">
        <v>2.2599999999999998</v>
      </c>
      <c r="F2460">
        <v>2.67</v>
      </c>
      <c r="G2460">
        <v>3.23</v>
      </c>
      <c r="H2460">
        <v>3.7</v>
      </c>
      <c r="I2460">
        <v>4.33</v>
      </c>
      <c r="K2460">
        <f t="shared" si="307"/>
        <v>4.0000000000000036</v>
      </c>
      <c r="L2460">
        <f t="shared" si="308"/>
        <v>5.0000000000000044</v>
      </c>
      <c r="M2460">
        <f t="shared" si="309"/>
        <v>5.0000000000000044</v>
      </c>
      <c r="N2460">
        <f t="shared" si="310"/>
        <v>3.9999999999999591</v>
      </c>
      <c r="O2460">
        <f t="shared" si="311"/>
        <v>4.0000000000000036</v>
      </c>
      <c r="P2460">
        <f t="shared" si="312"/>
        <v>2.9999999999999805</v>
      </c>
      <c r="Q2460">
        <f t="shared" si="313"/>
        <v>2.0000000000000018</v>
      </c>
      <c r="R2460">
        <f t="shared" si="314"/>
        <v>0.99999999999997868</v>
      </c>
    </row>
    <row r="2461" spans="1:18">
      <c r="A2461" s="9">
        <v>40302</v>
      </c>
      <c r="B2461">
        <v>0.71</v>
      </c>
      <c r="C2461">
        <v>1.24</v>
      </c>
      <c r="D2461">
        <v>1.76</v>
      </c>
      <c r="E2461">
        <v>2.23</v>
      </c>
      <c r="F2461">
        <v>2.62</v>
      </c>
      <c r="G2461">
        <v>3.17</v>
      </c>
      <c r="H2461">
        <v>3.63</v>
      </c>
      <c r="I2461">
        <v>4.24</v>
      </c>
      <c r="K2461">
        <f t="shared" si="307"/>
        <v>2.9999999999999916</v>
      </c>
      <c r="L2461">
        <f t="shared" si="308"/>
        <v>0</v>
      </c>
      <c r="M2461">
        <f t="shared" si="309"/>
        <v>-3.0000000000000027</v>
      </c>
      <c r="N2461">
        <f t="shared" si="310"/>
        <v>-2.9999999999999805</v>
      </c>
      <c r="O2461">
        <f t="shared" si="311"/>
        <v>-4.9999999999999822</v>
      </c>
      <c r="P2461">
        <f t="shared" si="312"/>
        <v>-6.0000000000000053</v>
      </c>
      <c r="Q2461">
        <f t="shared" si="313"/>
        <v>-7.0000000000000284</v>
      </c>
      <c r="R2461">
        <f t="shared" si="314"/>
        <v>-8.9999999999999858</v>
      </c>
    </row>
    <row r="2462" spans="1:18">
      <c r="A2462" s="9">
        <v>40303</v>
      </c>
      <c r="B2462">
        <v>0.71</v>
      </c>
      <c r="C2462">
        <v>1.21</v>
      </c>
      <c r="D2462">
        <v>1.72</v>
      </c>
      <c r="E2462">
        <v>2.19</v>
      </c>
      <c r="F2462">
        <v>2.57</v>
      </c>
      <c r="G2462">
        <v>3.12</v>
      </c>
      <c r="H2462">
        <v>3.58</v>
      </c>
      <c r="I2462">
        <v>4.18</v>
      </c>
      <c r="K2462">
        <f t="shared" si="307"/>
        <v>0</v>
      </c>
      <c r="L2462">
        <f t="shared" si="308"/>
        <v>-3.0000000000000027</v>
      </c>
      <c r="M2462">
        <f t="shared" si="309"/>
        <v>-4.0000000000000036</v>
      </c>
      <c r="N2462">
        <f t="shared" si="310"/>
        <v>-4.0000000000000036</v>
      </c>
      <c r="O2462">
        <f t="shared" si="311"/>
        <v>-5.0000000000000266</v>
      </c>
      <c r="P2462">
        <f t="shared" si="312"/>
        <v>-4.9999999999999822</v>
      </c>
      <c r="Q2462">
        <f t="shared" si="313"/>
        <v>-4.9999999999999822</v>
      </c>
      <c r="R2462">
        <f t="shared" si="314"/>
        <v>-6.0000000000000497</v>
      </c>
    </row>
    <row r="2463" spans="1:18">
      <c r="A2463" s="9">
        <v>40304</v>
      </c>
      <c r="B2463">
        <v>0.72</v>
      </c>
      <c r="C2463">
        <v>1.2</v>
      </c>
      <c r="D2463">
        <v>1.69</v>
      </c>
      <c r="E2463">
        <v>2.14</v>
      </c>
      <c r="F2463">
        <v>2.5299999999999998</v>
      </c>
      <c r="G2463">
        <v>3.07</v>
      </c>
      <c r="H2463">
        <v>3.54</v>
      </c>
      <c r="I2463">
        <v>4.16</v>
      </c>
      <c r="K2463">
        <f t="shared" si="307"/>
        <v>1.0000000000000009</v>
      </c>
      <c r="L2463">
        <f t="shared" si="308"/>
        <v>-1.0000000000000009</v>
      </c>
      <c r="M2463">
        <f t="shared" si="309"/>
        <v>-3.0000000000000027</v>
      </c>
      <c r="N2463">
        <f t="shared" si="310"/>
        <v>-4.9999999999999822</v>
      </c>
      <c r="O2463">
        <f t="shared" si="311"/>
        <v>-4.0000000000000036</v>
      </c>
      <c r="P2463">
        <f t="shared" si="312"/>
        <v>-5.0000000000000266</v>
      </c>
      <c r="Q2463">
        <f t="shared" si="313"/>
        <v>-4.0000000000000036</v>
      </c>
      <c r="R2463">
        <f t="shared" si="314"/>
        <v>-1.9999999999999574</v>
      </c>
    </row>
    <row r="2464" spans="1:18">
      <c r="A2464" s="9">
        <v>40305</v>
      </c>
      <c r="B2464">
        <v>0.81</v>
      </c>
      <c r="C2464">
        <v>1.18</v>
      </c>
      <c r="D2464">
        <v>1.63</v>
      </c>
      <c r="E2464">
        <v>2.06</v>
      </c>
      <c r="F2464">
        <v>2.42</v>
      </c>
      <c r="G2464">
        <v>2.97</v>
      </c>
      <c r="H2464">
        <v>3.41</v>
      </c>
      <c r="I2464">
        <v>3.98</v>
      </c>
      <c r="K2464">
        <f t="shared" si="307"/>
        <v>9.0000000000000071</v>
      </c>
      <c r="L2464">
        <f t="shared" si="308"/>
        <v>-2.0000000000000018</v>
      </c>
      <c r="M2464">
        <f t="shared" si="309"/>
        <v>-6.0000000000000053</v>
      </c>
      <c r="N2464">
        <f t="shared" si="310"/>
        <v>-8.0000000000000071</v>
      </c>
      <c r="O2464">
        <f t="shared" si="311"/>
        <v>-10.999999999999988</v>
      </c>
      <c r="P2464">
        <f t="shared" si="312"/>
        <v>-9.9999999999999645</v>
      </c>
      <c r="Q2464">
        <f t="shared" si="313"/>
        <v>-12.999999999999989</v>
      </c>
      <c r="R2464">
        <f t="shared" si="314"/>
        <v>-18.000000000000014</v>
      </c>
    </row>
    <row r="2465" spans="1:18">
      <c r="A2465" s="9">
        <v>40308</v>
      </c>
      <c r="B2465">
        <v>0.68</v>
      </c>
      <c r="C2465">
        <v>1.1599999999999999</v>
      </c>
      <c r="D2465">
        <v>1.66</v>
      </c>
      <c r="E2465">
        <v>2.12</v>
      </c>
      <c r="F2465">
        <v>2.5299999999999998</v>
      </c>
      <c r="G2465">
        <v>3.11</v>
      </c>
      <c r="H2465">
        <v>3.59</v>
      </c>
      <c r="I2465">
        <v>4.2300000000000004</v>
      </c>
      <c r="K2465">
        <f t="shared" si="307"/>
        <v>-13</v>
      </c>
      <c r="L2465">
        <f t="shared" si="308"/>
        <v>-2.0000000000000018</v>
      </c>
      <c r="M2465">
        <f t="shared" si="309"/>
        <v>3.0000000000000027</v>
      </c>
      <c r="N2465">
        <f t="shared" si="310"/>
        <v>6.0000000000000053</v>
      </c>
      <c r="O2465">
        <f t="shared" si="311"/>
        <v>10.999999999999988</v>
      </c>
      <c r="P2465">
        <f t="shared" si="312"/>
        <v>13.999999999999968</v>
      </c>
      <c r="Q2465">
        <f t="shared" si="313"/>
        <v>17.999999999999972</v>
      </c>
      <c r="R2465">
        <f t="shared" si="314"/>
        <v>25.000000000000043</v>
      </c>
    </row>
    <row r="2466" spans="1:18">
      <c r="A2466" s="9">
        <v>40309</v>
      </c>
      <c r="B2466">
        <v>0.7</v>
      </c>
      <c r="C2466">
        <v>1.1599999999999999</v>
      </c>
      <c r="D2466">
        <v>1.66</v>
      </c>
      <c r="E2466">
        <v>2.13</v>
      </c>
      <c r="F2466">
        <v>2.5299999999999998</v>
      </c>
      <c r="G2466">
        <v>3.11</v>
      </c>
      <c r="H2466">
        <v>3.6</v>
      </c>
      <c r="I2466">
        <v>4.26</v>
      </c>
      <c r="K2466">
        <f t="shared" si="307"/>
        <v>1.9999999999999907</v>
      </c>
      <c r="L2466">
        <f t="shared" si="308"/>
        <v>0</v>
      </c>
      <c r="M2466">
        <f t="shared" si="309"/>
        <v>0</v>
      </c>
      <c r="N2466">
        <f t="shared" si="310"/>
        <v>0.99999999999997868</v>
      </c>
      <c r="O2466">
        <f t="shared" si="311"/>
        <v>0</v>
      </c>
      <c r="P2466">
        <f t="shared" si="312"/>
        <v>0</v>
      </c>
      <c r="Q2466">
        <f t="shared" si="313"/>
        <v>1.0000000000000231</v>
      </c>
      <c r="R2466">
        <f t="shared" si="314"/>
        <v>2.9999999999999361</v>
      </c>
    </row>
    <row r="2467" spans="1:18">
      <c r="A2467" s="9">
        <v>40310</v>
      </c>
      <c r="B2467">
        <v>0.68</v>
      </c>
      <c r="C2467">
        <v>1.1299999999999999</v>
      </c>
      <c r="D2467">
        <v>1.66</v>
      </c>
      <c r="E2467">
        <v>2.13</v>
      </c>
      <c r="F2467">
        <v>2.5299999999999998</v>
      </c>
      <c r="G2467">
        <v>3.12</v>
      </c>
      <c r="H2467">
        <v>3.6</v>
      </c>
      <c r="I2467">
        <v>4.2699999999999996</v>
      </c>
      <c r="K2467">
        <f t="shared" si="307"/>
        <v>-1.9999999999999907</v>
      </c>
      <c r="L2467">
        <f t="shared" si="308"/>
        <v>-3.0000000000000027</v>
      </c>
      <c r="M2467">
        <f t="shared" si="309"/>
        <v>0</v>
      </c>
      <c r="N2467">
        <f t="shared" si="310"/>
        <v>0</v>
      </c>
      <c r="O2467">
        <f t="shared" si="311"/>
        <v>0</v>
      </c>
      <c r="P2467">
        <f t="shared" si="312"/>
        <v>1.0000000000000231</v>
      </c>
      <c r="Q2467">
        <f t="shared" si="313"/>
        <v>0</v>
      </c>
      <c r="R2467">
        <f t="shared" si="314"/>
        <v>0.99999999999997868</v>
      </c>
    </row>
    <row r="2468" spans="1:18">
      <c r="A2468" s="9">
        <v>40311</v>
      </c>
      <c r="B2468">
        <v>0.69</v>
      </c>
      <c r="C2468">
        <v>1.1399999999999999</v>
      </c>
      <c r="D2468">
        <v>1.66</v>
      </c>
      <c r="E2468">
        <v>2.13</v>
      </c>
      <c r="F2468">
        <v>2.5299999999999998</v>
      </c>
      <c r="G2468">
        <v>3.1</v>
      </c>
      <c r="H2468">
        <v>3.59</v>
      </c>
      <c r="I2468">
        <v>4.2699999999999996</v>
      </c>
      <c r="K2468">
        <f t="shared" si="307"/>
        <v>0.99999999999998979</v>
      </c>
      <c r="L2468">
        <f t="shared" si="308"/>
        <v>1.0000000000000009</v>
      </c>
      <c r="M2468">
        <f t="shared" si="309"/>
        <v>0</v>
      </c>
      <c r="N2468">
        <f t="shared" si="310"/>
        <v>0</v>
      </c>
      <c r="O2468">
        <f t="shared" si="311"/>
        <v>0</v>
      </c>
      <c r="P2468">
        <f t="shared" si="312"/>
        <v>-2.0000000000000018</v>
      </c>
      <c r="Q2468">
        <f t="shared" si="313"/>
        <v>-1.0000000000000231</v>
      </c>
      <c r="R2468">
        <f t="shared" si="314"/>
        <v>0</v>
      </c>
    </row>
    <row r="2469" spans="1:18">
      <c r="A2469" s="9">
        <v>40312</v>
      </c>
      <c r="B2469">
        <v>0.74</v>
      </c>
      <c r="C2469">
        <v>1.1200000000000001</v>
      </c>
      <c r="D2469">
        <v>1.6</v>
      </c>
      <c r="E2469">
        <v>2.0499999999999998</v>
      </c>
      <c r="F2469">
        <v>2.44</v>
      </c>
      <c r="G2469">
        <v>3.01</v>
      </c>
      <c r="H2469">
        <v>3.49</v>
      </c>
      <c r="I2469">
        <v>4.16</v>
      </c>
      <c r="K2469">
        <f t="shared" si="307"/>
        <v>5.0000000000000044</v>
      </c>
      <c r="L2469">
        <f t="shared" si="308"/>
        <v>-1.9999999999999796</v>
      </c>
      <c r="M2469">
        <f t="shared" si="309"/>
        <v>-5.9999999999999831</v>
      </c>
      <c r="N2469">
        <f t="shared" si="310"/>
        <v>-8.0000000000000071</v>
      </c>
      <c r="O2469">
        <f t="shared" si="311"/>
        <v>-8.9999999999999858</v>
      </c>
      <c r="P2469">
        <f t="shared" si="312"/>
        <v>-9.0000000000000302</v>
      </c>
      <c r="Q2469">
        <f t="shared" si="313"/>
        <v>-9.9999999999999645</v>
      </c>
      <c r="R2469">
        <f t="shared" si="314"/>
        <v>-10.999999999999943</v>
      </c>
    </row>
    <row r="2470" spans="1:18">
      <c r="A2470" s="9">
        <v>40315</v>
      </c>
      <c r="B2470">
        <v>0.72</v>
      </c>
      <c r="C2470">
        <v>1.1200000000000001</v>
      </c>
      <c r="D2470">
        <v>1.58</v>
      </c>
      <c r="E2470">
        <v>2.04</v>
      </c>
      <c r="F2470">
        <v>2.42</v>
      </c>
      <c r="G2470">
        <v>2.99</v>
      </c>
      <c r="H2470">
        <v>3.47</v>
      </c>
      <c r="I2470">
        <v>4.13</v>
      </c>
      <c r="K2470">
        <f t="shared" si="307"/>
        <v>-2.0000000000000018</v>
      </c>
      <c r="L2470">
        <f t="shared" si="308"/>
        <v>0</v>
      </c>
      <c r="M2470">
        <f t="shared" si="309"/>
        <v>-2.0000000000000018</v>
      </c>
      <c r="N2470">
        <f t="shared" si="310"/>
        <v>-0.99999999999997868</v>
      </c>
      <c r="O2470">
        <f t="shared" si="311"/>
        <v>-2.0000000000000018</v>
      </c>
      <c r="P2470">
        <f t="shared" si="312"/>
        <v>-1.9999999999999574</v>
      </c>
      <c r="Q2470">
        <f t="shared" si="313"/>
        <v>-2.0000000000000018</v>
      </c>
      <c r="R2470">
        <f t="shared" si="314"/>
        <v>-3.0000000000000249</v>
      </c>
    </row>
    <row r="2471" spans="1:18">
      <c r="A2471" s="9">
        <v>40316</v>
      </c>
      <c r="B2471">
        <v>0.73</v>
      </c>
      <c r="C2471">
        <v>1.1299999999999999</v>
      </c>
      <c r="D2471">
        <v>1.6</v>
      </c>
      <c r="E2471">
        <v>2.04</v>
      </c>
      <c r="F2471">
        <v>2.4300000000000002</v>
      </c>
      <c r="G2471">
        <v>3</v>
      </c>
      <c r="H2471">
        <v>3.48</v>
      </c>
      <c r="I2471">
        <v>4.13</v>
      </c>
      <c r="K2471">
        <f t="shared" si="307"/>
        <v>1.0000000000000009</v>
      </c>
      <c r="L2471">
        <f t="shared" si="308"/>
        <v>0.99999999999997868</v>
      </c>
      <c r="M2471">
        <f t="shared" si="309"/>
        <v>2.0000000000000018</v>
      </c>
      <c r="N2471">
        <f t="shared" si="310"/>
        <v>0</v>
      </c>
      <c r="O2471">
        <f t="shared" si="311"/>
        <v>1.0000000000000231</v>
      </c>
      <c r="P2471">
        <f t="shared" si="312"/>
        <v>0.99999999999997868</v>
      </c>
      <c r="Q2471">
        <f t="shared" si="313"/>
        <v>0.99999999999997868</v>
      </c>
      <c r="R2471">
        <f t="shared" si="314"/>
        <v>0</v>
      </c>
    </row>
    <row r="2472" spans="1:18">
      <c r="A2472" s="9">
        <v>40317</v>
      </c>
      <c r="B2472">
        <v>0.76</v>
      </c>
      <c r="C2472">
        <v>1.1299999999999999</v>
      </c>
      <c r="D2472">
        <v>1.57</v>
      </c>
      <c r="E2472">
        <v>2</v>
      </c>
      <c r="F2472">
        <v>2.38</v>
      </c>
      <c r="G2472">
        <v>2.94</v>
      </c>
      <c r="H2472">
        <v>3.41</v>
      </c>
      <c r="I2472">
        <v>4.07</v>
      </c>
      <c r="K2472">
        <f t="shared" si="307"/>
        <v>3.0000000000000027</v>
      </c>
      <c r="L2472">
        <f t="shared" si="308"/>
        <v>0</v>
      </c>
      <c r="M2472">
        <f t="shared" si="309"/>
        <v>-3.0000000000000027</v>
      </c>
      <c r="N2472">
        <f t="shared" si="310"/>
        <v>-4.0000000000000036</v>
      </c>
      <c r="O2472">
        <f t="shared" si="311"/>
        <v>-5.0000000000000266</v>
      </c>
      <c r="P2472">
        <f t="shared" si="312"/>
        <v>-6.0000000000000053</v>
      </c>
      <c r="Q2472">
        <f t="shared" si="313"/>
        <v>-6.999999999999984</v>
      </c>
      <c r="R2472">
        <f t="shared" si="314"/>
        <v>-5.9999999999999609</v>
      </c>
    </row>
    <row r="2473" spans="1:18">
      <c r="A2473" s="9">
        <v>40318</v>
      </c>
      <c r="B2473">
        <v>0.8</v>
      </c>
      <c r="C2473">
        <v>1.1200000000000001</v>
      </c>
      <c r="D2473">
        <v>1.53</v>
      </c>
      <c r="E2473">
        <v>1.94</v>
      </c>
      <c r="F2473">
        <v>2.31</v>
      </c>
      <c r="G2473">
        <v>2.84</v>
      </c>
      <c r="H2473">
        <v>3.3</v>
      </c>
      <c r="I2473">
        <v>3.93</v>
      </c>
      <c r="K2473">
        <f t="shared" si="307"/>
        <v>4.0000000000000036</v>
      </c>
      <c r="L2473">
        <f t="shared" si="308"/>
        <v>-0.99999999999997868</v>
      </c>
      <c r="M2473">
        <f t="shared" si="309"/>
        <v>-4.0000000000000036</v>
      </c>
      <c r="N2473">
        <f t="shared" si="310"/>
        <v>-6.0000000000000053</v>
      </c>
      <c r="O2473">
        <f t="shared" si="311"/>
        <v>-6.999999999999984</v>
      </c>
      <c r="P2473">
        <f t="shared" si="312"/>
        <v>-10.000000000000009</v>
      </c>
      <c r="Q2473">
        <f t="shared" si="313"/>
        <v>-11.000000000000032</v>
      </c>
      <c r="R2473">
        <f t="shared" si="314"/>
        <v>-14.000000000000012</v>
      </c>
    </row>
    <row r="2474" spans="1:18">
      <c r="A2474" s="9">
        <v>40319</v>
      </c>
      <c r="B2474">
        <v>0.86</v>
      </c>
      <c r="C2474">
        <v>1.1599999999999999</v>
      </c>
      <c r="D2474">
        <v>1.54</v>
      </c>
      <c r="E2474">
        <v>1.92</v>
      </c>
      <c r="F2474">
        <v>2.2599999999999998</v>
      </c>
      <c r="G2474">
        <v>2.77</v>
      </c>
      <c r="H2474">
        <v>3.2</v>
      </c>
      <c r="I2474">
        <v>3.79</v>
      </c>
      <c r="K2474">
        <f t="shared" si="307"/>
        <v>5.9999999999999947</v>
      </c>
      <c r="L2474">
        <f t="shared" si="308"/>
        <v>3.9999999999999813</v>
      </c>
      <c r="M2474">
        <f t="shared" si="309"/>
        <v>1.0000000000000009</v>
      </c>
      <c r="N2474">
        <f t="shared" si="310"/>
        <v>-2.0000000000000018</v>
      </c>
      <c r="O2474">
        <f t="shared" si="311"/>
        <v>-5.0000000000000266</v>
      </c>
      <c r="P2474">
        <f t="shared" si="312"/>
        <v>-6.999999999999984</v>
      </c>
      <c r="Q2474">
        <f t="shared" si="313"/>
        <v>-9.9999999999999645</v>
      </c>
      <c r="R2474">
        <f t="shared" si="314"/>
        <v>-14.000000000000012</v>
      </c>
    </row>
    <row r="2475" spans="1:18">
      <c r="A2475" s="9">
        <v>40322</v>
      </c>
      <c r="B2475">
        <v>0.91</v>
      </c>
      <c r="C2475">
        <v>1.24</v>
      </c>
      <c r="D2475">
        <v>1.6</v>
      </c>
      <c r="E2475">
        <v>1.97</v>
      </c>
      <c r="F2475">
        <v>2.31</v>
      </c>
      <c r="G2475">
        <v>2.83</v>
      </c>
      <c r="H2475">
        <v>3.26</v>
      </c>
      <c r="I2475">
        <v>3.88</v>
      </c>
      <c r="K2475">
        <f t="shared" si="307"/>
        <v>5.0000000000000044</v>
      </c>
      <c r="L2475">
        <f t="shared" si="308"/>
        <v>8.0000000000000071</v>
      </c>
      <c r="M2475">
        <f t="shared" si="309"/>
        <v>6.0000000000000053</v>
      </c>
      <c r="N2475">
        <f t="shared" si="310"/>
        <v>5.0000000000000044</v>
      </c>
      <c r="O2475">
        <f t="shared" si="311"/>
        <v>5.0000000000000266</v>
      </c>
      <c r="P2475">
        <f t="shared" si="312"/>
        <v>6.0000000000000053</v>
      </c>
      <c r="Q2475">
        <f t="shared" si="313"/>
        <v>5.9999999999999609</v>
      </c>
      <c r="R2475">
        <f t="shared" si="314"/>
        <v>8.9999999999999858</v>
      </c>
    </row>
    <row r="2476" spans="1:18">
      <c r="A2476" s="9">
        <v>40323</v>
      </c>
      <c r="B2476">
        <v>0.96</v>
      </c>
      <c r="C2476">
        <v>1.27</v>
      </c>
      <c r="D2476">
        <v>1.63</v>
      </c>
      <c r="E2476">
        <v>1.99</v>
      </c>
      <c r="F2476">
        <v>2.31</v>
      </c>
      <c r="G2476">
        <v>2.8</v>
      </c>
      <c r="H2476">
        <v>3.23</v>
      </c>
      <c r="I2476">
        <v>3.84</v>
      </c>
      <c r="K2476">
        <f t="shared" si="307"/>
        <v>4.9999999999999929</v>
      </c>
      <c r="L2476">
        <f t="shared" si="308"/>
        <v>3.0000000000000027</v>
      </c>
      <c r="M2476">
        <f t="shared" si="309"/>
        <v>2.9999999999999805</v>
      </c>
      <c r="N2476">
        <f t="shared" si="310"/>
        <v>2.0000000000000018</v>
      </c>
      <c r="O2476">
        <f t="shared" si="311"/>
        <v>0</v>
      </c>
      <c r="P2476">
        <f t="shared" si="312"/>
        <v>-3.0000000000000249</v>
      </c>
      <c r="Q2476">
        <f t="shared" si="313"/>
        <v>-2.9999999999999805</v>
      </c>
      <c r="R2476">
        <f t="shared" si="314"/>
        <v>-4.0000000000000036</v>
      </c>
    </row>
    <row r="2477" spans="1:18">
      <c r="A2477" s="9">
        <v>40324</v>
      </c>
      <c r="B2477">
        <v>0.92</v>
      </c>
      <c r="C2477">
        <v>1.27</v>
      </c>
      <c r="D2477">
        <v>1.68</v>
      </c>
      <c r="E2477">
        <v>2.0699999999999998</v>
      </c>
      <c r="F2477">
        <v>2.4</v>
      </c>
      <c r="G2477">
        <v>2.9</v>
      </c>
      <c r="H2477">
        <v>3.32</v>
      </c>
      <c r="I2477">
        <v>3.95</v>
      </c>
      <c r="K2477">
        <f t="shared" si="307"/>
        <v>-3.9999999999999925</v>
      </c>
      <c r="L2477">
        <f t="shared" si="308"/>
        <v>0</v>
      </c>
      <c r="M2477">
        <f t="shared" si="309"/>
        <v>5.0000000000000044</v>
      </c>
      <c r="N2477">
        <f t="shared" si="310"/>
        <v>7.9999999999999849</v>
      </c>
      <c r="O2477">
        <f t="shared" si="311"/>
        <v>8.9999999999999858</v>
      </c>
      <c r="P2477">
        <f t="shared" si="312"/>
        <v>10.000000000000009</v>
      </c>
      <c r="Q2477">
        <f t="shared" si="313"/>
        <v>8.9999999999999858</v>
      </c>
      <c r="R2477">
        <f t="shared" si="314"/>
        <v>11.000000000000032</v>
      </c>
    </row>
    <row r="2478" spans="1:18">
      <c r="A2478" s="9">
        <v>40325</v>
      </c>
      <c r="B2478">
        <v>0.9</v>
      </c>
      <c r="C2478">
        <v>1.31</v>
      </c>
      <c r="D2478">
        <v>1.74</v>
      </c>
      <c r="E2478">
        <v>2.15</v>
      </c>
      <c r="F2478">
        <v>2.5099999999999998</v>
      </c>
      <c r="G2478">
        <v>3.01</v>
      </c>
      <c r="H2478">
        <v>3.45</v>
      </c>
      <c r="I2478">
        <v>4.08</v>
      </c>
      <c r="K2478">
        <f t="shared" si="307"/>
        <v>-2.0000000000000018</v>
      </c>
      <c r="L2478">
        <f t="shared" si="308"/>
        <v>4.0000000000000036</v>
      </c>
      <c r="M2478">
        <f t="shared" si="309"/>
        <v>6.0000000000000053</v>
      </c>
      <c r="N2478">
        <f t="shared" si="310"/>
        <v>8.0000000000000071</v>
      </c>
      <c r="O2478">
        <f t="shared" si="311"/>
        <v>10.999999999999988</v>
      </c>
      <c r="P2478">
        <f t="shared" si="312"/>
        <v>10.999999999999988</v>
      </c>
      <c r="Q2478">
        <f t="shared" si="313"/>
        <v>13.000000000000034</v>
      </c>
      <c r="R2478">
        <f t="shared" si="314"/>
        <v>12.999999999999989</v>
      </c>
    </row>
    <row r="2479" spans="1:18">
      <c r="A2479" s="9">
        <v>40326</v>
      </c>
      <c r="B2479">
        <v>0.84</v>
      </c>
      <c r="C2479">
        <v>1.24</v>
      </c>
      <c r="D2479">
        <v>1.66</v>
      </c>
      <c r="E2479">
        <v>2.08</v>
      </c>
      <c r="F2479">
        <v>2.4500000000000002</v>
      </c>
      <c r="G2479">
        <v>2.96</v>
      </c>
      <c r="H2479">
        <v>3.4</v>
      </c>
      <c r="I2479">
        <v>4.05</v>
      </c>
      <c r="K2479">
        <f t="shared" si="307"/>
        <v>-6.0000000000000053</v>
      </c>
      <c r="L2479">
        <f t="shared" si="308"/>
        <v>-7.0000000000000062</v>
      </c>
      <c r="M2479">
        <f t="shared" si="309"/>
        <v>-8.0000000000000071</v>
      </c>
      <c r="N2479">
        <f t="shared" si="310"/>
        <v>-6.999999999999984</v>
      </c>
      <c r="O2479">
        <f t="shared" si="311"/>
        <v>-5.9999999999999609</v>
      </c>
      <c r="P2479">
        <f t="shared" si="312"/>
        <v>-4.9999999999999822</v>
      </c>
      <c r="Q2479">
        <f t="shared" si="313"/>
        <v>-5.0000000000000266</v>
      </c>
      <c r="R2479">
        <f t="shared" si="314"/>
        <v>-3.0000000000000249</v>
      </c>
    </row>
    <row r="2480" spans="1:18">
      <c r="A2480" s="9">
        <v>40330</v>
      </c>
      <c r="B2480">
        <v>0.85</v>
      </c>
      <c r="C2480">
        <v>1.23</v>
      </c>
      <c r="D2480">
        <v>1.66</v>
      </c>
      <c r="E2480">
        <v>2.0699999999999998</v>
      </c>
      <c r="F2480">
        <v>2.41</v>
      </c>
      <c r="G2480">
        <v>2.93</v>
      </c>
      <c r="H2480">
        <v>3.37</v>
      </c>
      <c r="I2480">
        <v>4.0199999999999996</v>
      </c>
      <c r="K2480">
        <f t="shared" si="307"/>
        <v>1.0000000000000009</v>
      </c>
      <c r="L2480">
        <f t="shared" si="308"/>
        <v>-1.0000000000000009</v>
      </c>
      <c r="M2480">
        <f t="shared" si="309"/>
        <v>0</v>
      </c>
      <c r="N2480">
        <f t="shared" si="310"/>
        <v>-1.0000000000000231</v>
      </c>
      <c r="O2480">
        <f t="shared" si="311"/>
        <v>-4.0000000000000036</v>
      </c>
      <c r="P2480">
        <f t="shared" si="312"/>
        <v>-2.9999999999999805</v>
      </c>
      <c r="Q2480">
        <f t="shared" si="313"/>
        <v>-2.9999999999999805</v>
      </c>
      <c r="R2480">
        <f t="shared" si="314"/>
        <v>-3.0000000000000249</v>
      </c>
    </row>
    <row r="2481" spans="1:18">
      <c r="A2481" s="9">
        <v>40331</v>
      </c>
      <c r="B2481">
        <v>0.86</v>
      </c>
      <c r="C2481">
        <v>1.24</v>
      </c>
      <c r="D2481">
        <v>1.67</v>
      </c>
      <c r="E2481">
        <v>2.08</v>
      </c>
      <c r="F2481">
        <v>2.4300000000000002</v>
      </c>
      <c r="G2481">
        <v>2.94</v>
      </c>
      <c r="H2481">
        <v>3.38</v>
      </c>
      <c r="I2481">
        <v>4.03</v>
      </c>
      <c r="K2481">
        <f t="shared" si="307"/>
        <v>1.0000000000000009</v>
      </c>
      <c r="L2481">
        <f t="shared" si="308"/>
        <v>1.0000000000000009</v>
      </c>
      <c r="M2481">
        <f t="shared" si="309"/>
        <v>1.0000000000000009</v>
      </c>
      <c r="N2481">
        <f t="shared" si="310"/>
        <v>1.0000000000000231</v>
      </c>
      <c r="O2481">
        <f t="shared" si="311"/>
        <v>2.0000000000000018</v>
      </c>
      <c r="P2481">
        <f t="shared" si="312"/>
        <v>0.99999999999997868</v>
      </c>
      <c r="Q2481">
        <f t="shared" si="313"/>
        <v>0.99999999999997868</v>
      </c>
      <c r="R2481">
        <f t="shared" si="314"/>
        <v>1.0000000000000675</v>
      </c>
    </row>
    <row r="2482" spans="1:18">
      <c r="A2482" s="9">
        <v>40332</v>
      </c>
      <c r="B2482">
        <v>0.84</v>
      </c>
      <c r="C2482">
        <v>1.25</v>
      </c>
      <c r="D2482">
        <v>1.7</v>
      </c>
      <c r="E2482">
        <v>2.13</v>
      </c>
      <c r="F2482">
        <v>2.5</v>
      </c>
      <c r="G2482">
        <v>3.02</v>
      </c>
      <c r="H2482">
        <v>3.48</v>
      </c>
      <c r="I2482">
        <v>4.12</v>
      </c>
      <c r="K2482">
        <f t="shared" si="307"/>
        <v>-2.0000000000000018</v>
      </c>
      <c r="L2482">
        <f t="shared" si="308"/>
        <v>1.0000000000000009</v>
      </c>
      <c r="M2482">
        <f t="shared" si="309"/>
        <v>3.0000000000000027</v>
      </c>
      <c r="N2482">
        <f t="shared" si="310"/>
        <v>4.9999999999999822</v>
      </c>
      <c r="O2482">
        <f t="shared" si="311"/>
        <v>6.999999999999984</v>
      </c>
      <c r="P2482">
        <f t="shared" si="312"/>
        <v>8.0000000000000071</v>
      </c>
      <c r="Q2482">
        <f t="shared" si="313"/>
        <v>10.000000000000009</v>
      </c>
      <c r="R2482">
        <f t="shared" si="314"/>
        <v>8.9999999999999858</v>
      </c>
    </row>
    <row r="2483" spans="1:18">
      <c r="A2483" s="9">
        <v>40333</v>
      </c>
      <c r="B2483">
        <v>0.81</v>
      </c>
      <c r="C2483">
        <v>1.19</v>
      </c>
      <c r="D2483">
        <v>1.62</v>
      </c>
      <c r="E2483">
        <v>2.0299999999999998</v>
      </c>
      <c r="F2483">
        <v>2.38</v>
      </c>
      <c r="G2483">
        <v>2.9</v>
      </c>
      <c r="H2483">
        <v>3.35</v>
      </c>
      <c r="I2483">
        <v>4.01</v>
      </c>
      <c r="K2483">
        <f t="shared" si="307"/>
        <v>-2.9999999999999916</v>
      </c>
      <c r="L2483">
        <f t="shared" si="308"/>
        <v>-6.0000000000000053</v>
      </c>
      <c r="M2483">
        <f t="shared" si="309"/>
        <v>-7.9999999999999849</v>
      </c>
      <c r="N2483">
        <f t="shared" si="310"/>
        <v>-10.000000000000009</v>
      </c>
      <c r="O2483">
        <f t="shared" si="311"/>
        <v>-12.000000000000011</v>
      </c>
      <c r="P2483">
        <f t="shared" si="312"/>
        <v>-12.000000000000011</v>
      </c>
      <c r="Q2483">
        <f t="shared" si="313"/>
        <v>-12.999999999999989</v>
      </c>
      <c r="R2483">
        <f t="shared" si="314"/>
        <v>-11.000000000000032</v>
      </c>
    </row>
    <row r="2484" spans="1:18">
      <c r="A2484" s="9">
        <v>40336</v>
      </c>
      <c r="B2484">
        <v>0.84</v>
      </c>
      <c r="C2484">
        <v>1.21</v>
      </c>
      <c r="D2484">
        <v>1.6</v>
      </c>
      <c r="E2484">
        <v>2</v>
      </c>
      <c r="F2484">
        <v>2.35</v>
      </c>
      <c r="G2484">
        <v>2.86</v>
      </c>
      <c r="H2484">
        <v>3.3</v>
      </c>
      <c r="I2484">
        <v>3.95</v>
      </c>
      <c r="K2484">
        <f t="shared" si="307"/>
        <v>2.9999999999999916</v>
      </c>
      <c r="L2484">
        <f t="shared" si="308"/>
        <v>2.0000000000000018</v>
      </c>
      <c r="M2484">
        <f t="shared" si="309"/>
        <v>-2.0000000000000018</v>
      </c>
      <c r="N2484">
        <f t="shared" si="310"/>
        <v>-2.9999999999999805</v>
      </c>
      <c r="O2484">
        <f t="shared" si="311"/>
        <v>-2.9999999999999805</v>
      </c>
      <c r="P2484">
        <f t="shared" si="312"/>
        <v>-4.0000000000000036</v>
      </c>
      <c r="Q2484">
        <f t="shared" si="313"/>
        <v>-5.0000000000000266</v>
      </c>
      <c r="R2484">
        <f t="shared" si="314"/>
        <v>-5.9999999999999609</v>
      </c>
    </row>
    <row r="2485" spans="1:18">
      <c r="A2485" s="9">
        <v>40337</v>
      </c>
      <c r="B2485">
        <v>0.8</v>
      </c>
      <c r="C2485">
        <v>1.17</v>
      </c>
      <c r="D2485">
        <v>1.58</v>
      </c>
      <c r="E2485">
        <v>1.98</v>
      </c>
      <c r="F2485">
        <v>2.33</v>
      </c>
      <c r="G2485">
        <v>2.84</v>
      </c>
      <c r="H2485">
        <v>3.28</v>
      </c>
      <c r="I2485">
        <v>3.94</v>
      </c>
      <c r="K2485">
        <f t="shared" si="307"/>
        <v>-3.9999999999999925</v>
      </c>
      <c r="L2485">
        <f t="shared" si="308"/>
        <v>-4.0000000000000036</v>
      </c>
      <c r="M2485">
        <f t="shared" si="309"/>
        <v>-2.0000000000000018</v>
      </c>
      <c r="N2485">
        <f t="shared" si="310"/>
        <v>-2.0000000000000018</v>
      </c>
      <c r="O2485">
        <f t="shared" si="311"/>
        <v>-2.0000000000000018</v>
      </c>
      <c r="P2485">
        <f t="shared" si="312"/>
        <v>-2.0000000000000018</v>
      </c>
      <c r="Q2485">
        <f t="shared" si="313"/>
        <v>-2.0000000000000018</v>
      </c>
      <c r="R2485">
        <f t="shared" si="314"/>
        <v>-1.0000000000000231</v>
      </c>
    </row>
    <row r="2486" spans="1:18">
      <c r="A2486" s="9">
        <v>40338</v>
      </c>
      <c r="B2486">
        <v>0.77</v>
      </c>
      <c r="C2486">
        <v>1.1499999999999999</v>
      </c>
      <c r="D2486">
        <v>1.58</v>
      </c>
      <c r="E2486">
        <v>1.99</v>
      </c>
      <c r="F2486">
        <v>2.35</v>
      </c>
      <c r="G2486">
        <v>2.88</v>
      </c>
      <c r="H2486">
        <v>3.33</v>
      </c>
      <c r="I2486">
        <v>3.97</v>
      </c>
      <c r="K2486">
        <f t="shared" si="307"/>
        <v>-3.0000000000000027</v>
      </c>
      <c r="L2486">
        <f t="shared" si="308"/>
        <v>-2.0000000000000018</v>
      </c>
      <c r="M2486">
        <f t="shared" si="309"/>
        <v>0</v>
      </c>
      <c r="N2486">
        <f t="shared" si="310"/>
        <v>1.0000000000000009</v>
      </c>
      <c r="O2486">
        <f t="shared" si="311"/>
        <v>2.0000000000000018</v>
      </c>
      <c r="P2486">
        <f t="shared" si="312"/>
        <v>4.0000000000000036</v>
      </c>
      <c r="Q2486">
        <f t="shared" si="313"/>
        <v>5.0000000000000266</v>
      </c>
      <c r="R2486">
        <f t="shared" si="314"/>
        <v>3.0000000000000249</v>
      </c>
    </row>
    <row r="2487" spans="1:18">
      <c r="A2487" s="9">
        <v>40339</v>
      </c>
      <c r="B2487">
        <v>0.75</v>
      </c>
      <c r="C2487">
        <v>1.1299999999999999</v>
      </c>
      <c r="D2487">
        <v>1.58</v>
      </c>
      <c r="E2487">
        <v>1.99</v>
      </c>
      <c r="F2487">
        <v>2.36</v>
      </c>
      <c r="G2487">
        <v>2.88</v>
      </c>
      <c r="H2487">
        <v>3.34</v>
      </c>
      <c r="I2487">
        <v>4</v>
      </c>
      <c r="K2487">
        <f t="shared" si="307"/>
        <v>-2.0000000000000018</v>
      </c>
      <c r="L2487">
        <f t="shared" si="308"/>
        <v>-2.0000000000000018</v>
      </c>
      <c r="M2487">
        <f t="shared" si="309"/>
        <v>0</v>
      </c>
      <c r="N2487">
        <f t="shared" si="310"/>
        <v>0</v>
      </c>
      <c r="O2487">
        <f t="shared" si="311"/>
        <v>0.99999999999997868</v>
      </c>
      <c r="P2487">
        <f t="shared" si="312"/>
        <v>0</v>
      </c>
      <c r="Q2487">
        <f t="shared" si="313"/>
        <v>0.99999999999997868</v>
      </c>
      <c r="R2487">
        <f t="shared" si="314"/>
        <v>2.9999999999999805</v>
      </c>
    </row>
    <row r="2488" spans="1:18">
      <c r="A2488" s="9">
        <v>40340</v>
      </c>
      <c r="B2488">
        <v>0.77</v>
      </c>
      <c r="C2488">
        <v>1.1399999999999999</v>
      </c>
      <c r="D2488">
        <v>1.58</v>
      </c>
      <c r="E2488">
        <v>2</v>
      </c>
      <c r="F2488">
        <v>2.37</v>
      </c>
      <c r="G2488">
        <v>2.89</v>
      </c>
      <c r="H2488">
        <v>3.35</v>
      </c>
      <c r="I2488">
        <v>4.01</v>
      </c>
      <c r="K2488">
        <f t="shared" si="307"/>
        <v>2.0000000000000018</v>
      </c>
      <c r="L2488">
        <f t="shared" si="308"/>
        <v>1.0000000000000009</v>
      </c>
      <c r="M2488">
        <f t="shared" si="309"/>
        <v>0</v>
      </c>
      <c r="N2488">
        <f t="shared" si="310"/>
        <v>1.0000000000000009</v>
      </c>
      <c r="O2488">
        <f t="shared" si="311"/>
        <v>1.0000000000000231</v>
      </c>
      <c r="P2488">
        <f t="shared" si="312"/>
        <v>1.0000000000000231</v>
      </c>
      <c r="Q2488">
        <f t="shared" si="313"/>
        <v>1.0000000000000231</v>
      </c>
      <c r="R2488">
        <f t="shared" si="314"/>
        <v>0.99999999999997868</v>
      </c>
    </row>
    <row r="2489" spans="1:18">
      <c r="A2489" s="9">
        <v>40343</v>
      </c>
      <c r="B2489">
        <v>0.77</v>
      </c>
      <c r="C2489">
        <v>1.1299999999999999</v>
      </c>
      <c r="D2489">
        <v>1.59</v>
      </c>
      <c r="E2489">
        <v>2.0099999999999998</v>
      </c>
      <c r="F2489">
        <v>2.38</v>
      </c>
      <c r="G2489">
        <v>2.93</v>
      </c>
      <c r="H2489">
        <v>3.4</v>
      </c>
      <c r="I2489">
        <v>4.0599999999999996</v>
      </c>
      <c r="K2489">
        <f t="shared" si="307"/>
        <v>0</v>
      </c>
      <c r="L2489">
        <f t="shared" si="308"/>
        <v>-1.0000000000000009</v>
      </c>
      <c r="M2489">
        <f t="shared" si="309"/>
        <v>1.0000000000000009</v>
      </c>
      <c r="N2489">
        <f t="shared" si="310"/>
        <v>0.99999999999997868</v>
      </c>
      <c r="O2489">
        <f t="shared" si="311"/>
        <v>0.99999999999997868</v>
      </c>
      <c r="P2489">
        <f t="shared" si="312"/>
        <v>4.0000000000000036</v>
      </c>
      <c r="Q2489">
        <f t="shared" si="313"/>
        <v>4.9999999999999822</v>
      </c>
      <c r="R2489">
        <f t="shared" si="314"/>
        <v>4.9999999999999822</v>
      </c>
    </row>
    <row r="2490" spans="1:18">
      <c r="A2490" s="9">
        <v>40344</v>
      </c>
      <c r="B2490">
        <v>0.78</v>
      </c>
      <c r="C2490">
        <v>1.1200000000000001</v>
      </c>
      <c r="D2490">
        <v>1.56</v>
      </c>
      <c r="E2490">
        <v>1.98</v>
      </c>
      <c r="F2490">
        <v>2.34</v>
      </c>
      <c r="G2490">
        <v>2.88</v>
      </c>
      <c r="H2490">
        <v>3.34</v>
      </c>
      <c r="I2490">
        <v>4.0199999999999996</v>
      </c>
      <c r="K2490">
        <f t="shared" si="307"/>
        <v>1.0000000000000009</v>
      </c>
      <c r="L2490">
        <f t="shared" si="308"/>
        <v>-0.99999999999997868</v>
      </c>
      <c r="M2490">
        <f t="shared" si="309"/>
        <v>-3.0000000000000027</v>
      </c>
      <c r="N2490">
        <f t="shared" si="310"/>
        <v>-2.9999999999999805</v>
      </c>
      <c r="O2490">
        <f t="shared" si="311"/>
        <v>-4.0000000000000036</v>
      </c>
      <c r="P2490">
        <f t="shared" si="312"/>
        <v>-5.0000000000000266</v>
      </c>
      <c r="Q2490">
        <f t="shared" si="313"/>
        <v>-6.0000000000000053</v>
      </c>
      <c r="R2490">
        <f t="shared" si="314"/>
        <v>-4.0000000000000036</v>
      </c>
    </row>
    <row r="2491" spans="1:18">
      <c r="A2491" s="9">
        <v>40345</v>
      </c>
      <c r="B2491">
        <v>0.77</v>
      </c>
      <c r="C2491">
        <v>1.1100000000000001</v>
      </c>
      <c r="D2491">
        <v>1.54</v>
      </c>
      <c r="E2491">
        <v>1.96</v>
      </c>
      <c r="F2491">
        <v>2.33</v>
      </c>
      <c r="G2491">
        <v>2.88</v>
      </c>
      <c r="H2491">
        <v>3.34</v>
      </c>
      <c r="I2491">
        <v>4.0199999999999996</v>
      </c>
      <c r="K2491">
        <f t="shared" si="307"/>
        <v>-1.0000000000000009</v>
      </c>
      <c r="L2491">
        <f t="shared" si="308"/>
        <v>-1.0000000000000009</v>
      </c>
      <c r="M2491">
        <f t="shared" si="309"/>
        <v>-2.0000000000000018</v>
      </c>
      <c r="N2491">
        <f t="shared" si="310"/>
        <v>-2.0000000000000018</v>
      </c>
      <c r="O2491">
        <f t="shared" si="311"/>
        <v>-0.99999999999997868</v>
      </c>
      <c r="P2491">
        <f t="shared" si="312"/>
        <v>0</v>
      </c>
      <c r="Q2491">
        <f t="shared" si="313"/>
        <v>0</v>
      </c>
      <c r="R2491">
        <f t="shared" si="314"/>
        <v>0</v>
      </c>
    </row>
    <row r="2492" spans="1:18">
      <c r="A2492" s="9">
        <v>40346</v>
      </c>
      <c r="B2492">
        <v>0.74</v>
      </c>
      <c r="C2492">
        <v>1.06</v>
      </c>
      <c r="D2492">
        <v>1.49</v>
      </c>
      <c r="E2492">
        <v>1.9</v>
      </c>
      <c r="F2492">
        <v>2.27</v>
      </c>
      <c r="G2492">
        <v>2.79</v>
      </c>
      <c r="H2492">
        <v>3.26</v>
      </c>
      <c r="I2492">
        <v>3.93</v>
      </c>
      <c r="K2492">
        <f t="shared" si="307"/>
        <v>-3.0000000000000027</v>
      </c>
      <c r="L2492">
        <f t="shared" si="308"/>
        <v>-5.0000000000000044</v>
      </c>
      <c r="M2492">
        <f t="shared" si="309"/>
        <v>-5.0000000000000044</v>
      </c>
      <c r="N2492">
        <f t="shared" si="310"/>
        <v>-6.0000000000000053</v>
      </c>
      <c r="O2492">
        <f t="shared" si="311"/>
        <v>-6.0000000000000053</v>
      </c>
      <c r="P2492">
        <f t="shared" si="312"/>
        <v>-8.9999999999999858</v>
      </c>
      <c r="Q2492">
        <f t="shared" si="313"/>
        <v>-8.0000000000000071</v>
      </c>
      <c r="R2492">
        <f t="shared" si="314"/>
        <v>-8.9999999999999414</v>
      </c>
    </row>
    <row r="2493" spans="1:18">
      <c r="A2493" s="9">
        <v>40347</v>
      </c>
      <c r="B2493">
        <v>0.75</v>
      </c>
      <c r="C2493">
        <v>1.07</v>
      </c>
      <c r="D2493">
        <v>1.5</v>
      </c>
      <c r="E2493">
        <v>1.92</v>
      </c>
      <c r="F2493">
        <v>2.2799999999999998</v>
      </c>
      <c r="G2493">
        <v>2.82</v>
      </c>
      <c r="H2493">
        <v>3.28</v>
      </c>
      <c r="I2493">
        <v>3.96</v>
      </c>
      <c r="K2493">
        <f t="shared" si="307"/>
        <v>1.0000000000000009</v>
      </c>
      <c r="L2493">
        <f t="shared" si="308"/>
        <v>1.0000000000000009</v>
      </c>
      <c r="M2493">
        <f t="shared" si="309"/>
        <v>1.0000000000000009</v>
      </c>
      <c r="N2493">
        <f t="shared" si="310"/>
        <v>2.0000000000000018</v>
      </c>
      <c r="O2493">
        <f t="shared" si="311"/>
        <v>0.99999999999997868</v>
      </c>
      <c r="P2493">
        <f t="shared" si="312"/>
        <v>2.9999999999999805</v>
      </c>
      <c r="Q2493">
        <f t="shared" si="313"/>
        <v>2.0000000000000018</v>
      </c>
      <c r="R2493">
        <f t="shared" si="314"/>
        <v>2.9999999999999805</v>
      </c>
    </row>
    <row r="2494" spans="1:18">
      <c r="A2494" s="9">
        <v>40350</v>
      </c>
      <c r="B2494">
        <v>0.73</v>
      </c>
      <c r="C2494">
        <v>1.04</v>
      </c>
      <c r="D2494">
        <v>1.47</v>
      </c>
      <c r="E2494">
        <v>1.89</v>
      </c>
      <c r="F2494">
        <v>2.27</v>
      </c>
      <c r="G2494">
        <v>2.82</v>
      </c>
      <c r="H2494">
        <v>3.29</v>
      </c>
      <c r="I2494">
        <v>3.98</v>
      </c>
      <c r="K2494">
        <f t="shared" si="307"/>
        <v>-2.0000000000000018</v>
      </c>
      <c r="L2494">
        <f t="shared" si="308"/>
        <v>-3.0000000000000027</v>
      </c>
      <c r="M2494">
        <f t="shared" si="309"/>
        <v>-3.0000000000000027</v>
      </c>
      <c r="N2494">
        <f t="shared" si="310"/>
        <v>-3.0000000000000027</v>
      </c>
      <c r="O2494">
        <f t="shared" si="311"/>
        <v>-0.99999999999997868</v>
      </c>
      <c r="P2494">
        <f t="shared" si="312"/>
        <v>0</v>
      </c>
      <c r="Q2494">
        <f t="shared" si="313"/>
        <v>1.0000000000000231</v>
      </c>
      <c r="R2494">
        <f t="shared" si="314"/>
        <v>2.0000000000000018</v>
      </c>
    </row>
    <row r="2495" spans="1:18">
      <c r="A2495" s="9">
        <v>40351</v>
      </c>
      <c r="B2495">
        <v>0.74</v>
      </c>
      <c r="C2495">
        <v>1.05</v>
      </c>
      <c r="D2495">
        <v>1.46</v>
      </c>
      <c r="E2495">
        <v>1.87</v>
      </c>
      <c r="F2495">
        <v>2.2400000000000002</v>
      </c>
      <c r="G2495">
        <v>2.78</v>
      </c>
      <c r="H2495">
        <v>3.24</v>
      </c>
      <c r="I2495">
        <v>3.92</v>
      </c>
      <c r="K2495">
        <f t="shared" si="307"/>
        <v>1.0000000000000009</v>
      </c>
      <c r="L2495">
        <f t="shared" si="308"/>
        <v>1.0000000000000009</v>
      </c>
      <c r="M2495">
        <f t="shared" si="309"/>
        <v>-1.0000000000000009</v>
      </c>
      <c r="N2495">
        <f t="shared" si="310"/>
        <v>-1.9999999999999796</v>
      </c>
      <c r="O2495">
        <f t="shared" si="311"/>
        <v>-2.9999999999999805</v>
      </c>
      <c r="P2495">
        <f t="shared" si="312"/>
        <v>-4.0000000000000036</v>
      </c>
      <c r="Q2495">
        <f t="shared" si="313"/>
        <v>-4.9999999999999822</v>
      </c>
      <c r="R2495">
        <f t="shared" si="314"/>
        <v>-6.0000000000000053</v>
      </c>
    </row>
    <row r="2496" spans="1:18">
      <c r="A2496" s="9">
        <v>40352</v>
      </c>
      <c r="B2496">
        <v>0.78</v>
      </c>
      <c r="C2496">
        <v>1.04</v>
      </c>
      <c r="D2496">
        <v>1.42</v>
      </c>
      <c r="E2496">
        <v>1.82</v>
      </c>
      <c r="F2496">
        <v>2.19</v>
      </c>
      <c r="G2496">
        <v>2.71</v>
      </c>
      <c r="H2496">
        <v>3.17</v>
      </c>
      <c r="I2496">
        <v>3.86</v>
      </c>
      <c r="K2496">
        <f t="shared" si="307"/>
        <v>4.0000000000000036</v>
      </c>
      <c r="L2496">
        <f t="shared" si="308"/>
        <v>-1.0000000000000009</v>
      </c>
      <c r="M2496">
        <f t="shared" si="309"/>
        <v>-4.0000000000000036</v>
      </c>
      <c r="N2496">
        <f t="shared" si="310"/>
        <v>-5.0000000000000044</v>
      </c>
      <c r="O2496">
        <f t="shared" si="311"/>
        <v>-5.0000000000000266</v>
      </c>
      <c r="P2496">
        <f t="shared" si="312"/>
        <v>-6.999999999999984</v>
      </c>
      <c r="Q2496">
        <f t="shared" si="313"/>
        <v>-7.0000000000000284</v>
      </c>
      <c r="R2496">
        <f t="shared" si="314"/>
        <v>-6.0000000000000053</v>
      </c>
    </row>
    <row r="2497" spans="1:18">
      <c r="A2497" s="9">
        <v>40353</v>
      </c>
      <c r="B2497">
        <v>0.78</v>
      </c>
      <c r="C2497">
        <v>1.04</v>
      </c>
      <c r="D2497">
        <v>1.41</v>
      </c>
      <c r="E2497">
        <v>1.81</v>
      </c>
      <c r="F2497">
        <v>2.1800000000000002</v>
      </c>
      <c r="G2497">
        <v>2.7</v>
      </c>
      <c r="H2497">
        <v>3.16</v>
      </c>
      <c r="I2497">
        <v>3.86</v>
      </c>
      <c r="K2497">
        <f t="shared" si="307"/>
        <v>0</v>
      </c>
      <c r="L2497">
        <f t="shared" si="308"/>
        <v>0</v>
      </c>
      <c r="M2497">
        <f t="shared" si="309"/>
        <v>-1.0000000000000009</v>
      </c>
      <c r="N2497">
        <f t="shared" si="310"/>
        <v>-1.0000000000000009</v>
      </c>
      <c r="O2497">
        <f t="shared" si="311"/>
        <v>-0.99999999999997868</v>
      </c>
      <c r="P2497">
        <f t="shared" si="312"/>
        <v>-0.99999999999997868</v>
      </c>
      <c r="Q2497">
        <f t="shared" si="313"/>
        <v>-0.99999999999997868</v>
      </c>
      <c r="R2497">
        <f t="shared" si="314"/>
        <v>0</v>
      </c>
    </row>
    <row r="2498" spans="1:18">
      <c r="A2498" s="9">
        <v>40354</v>
      </c>
      <c r="B2498">
        <v>0.76</v>
      </c>
      <c r="C2498">
        <v>1.02</v>
      </c>
      <c r="D2498">
        <v>1.4</v>
      </c>
      <c r="E2498">
        <v>1.8</v>
      </c>
      <c r="F2498">
        <v>2.16</v>
      </c>
      <c r="G2498">
        <v>2.69</v>
      </c>
      <c r="H2498">
        <v>3.16</v>
      </c>
      <c r="I2498">
        <v>3.87</v>
      </c>
      <c r="K2498">
        <f t="shared" si="307"/>
        <v>-2.0000000000000018</v>
      </c>
      <c r="L2498">
        <f t="shared" si="308"/>
        <v>-2.0000000000000018</v>
      </c>
      <c r="M2498">
        <f t="shared" si="309"/>
        <v>-1.0000000000000009</v>
      </c>
      <c r="N2498">
        <f t="shared" si="310"/>
        <v>-1.0000000000000009</v>
      </c>
      <c r="O2498">
        <f t="shared" si="311"/>
        <v>-2.0000000000000018</v>
      </c>
      <c r="P2498">
        <f t="shared" si="312"/>
        <v>-1.0000000000000231</v>
      </c>
      <c r="Q2498">
        <f t="shared" si="313"/>
        <v>0</v>
      </c>
      <c r="R2498">
        <f t="shared" si="314"/>
        <v>1.0000000000000231</v>
      </c>
    </row>
    <row r="2499" spans="1:18">
      <c r="A2499" s="9">
        <v>40357</v>
      </c>
      <c r="B2499">
        <v>0.73</v>
      </c>
      <c r="C2499">
        <v>0.99</v>
      </c>
      <c r="D2499">
        <v>1.37</v>
      </c>
      <c r="E2499">
        <v>1.77</v>
      </c>
      <c r="F2499">
        <v>2.13</v>
      </c>
      <c r="G2499">
        <v>2.67</v>
      </c>
      <c r="H2499">
        <v>3.13</v>
      </c>
      <c r="I2499">
        <v>3.86</v>
      </c>
      <c r="K2499">
        <f t="shared" si="307"/>
        <v>-3.0000000000000027</v>
      </c>
      <c r="L2499">
        <f t="shared" si="308"/>
        <v>-3.0000000000000027</v>
      </c>
      <c r="M2499">
        <f t="shared" si="309"/>
        <v>-2.9999999999999805</v>
      </c>
      <c r="N2499">
        <f t="shared" si="310"/>
        <v>-3.0000000000000027</v>
      </c>
      <c r="O2499">
        <f t="shared" si="311"/>
        <v>-3.0000000000000249</v>
      </c>
      <c r="P2499">
        <f t="shared" si="312"/>
        <v>-2.0000000000000018</v>
      </c>
      <c r="Q2499">
        <f t="shared" si="313"/>
        <v>-3.0000000000000249</v>
      </c>
      <c r="R2499">
        <f t="shared" si="314"/>
        <v>-1.0000000000000231</v>
      </c>
    </row>
    <row r="2500" spans="1:18">
      <c r="A2500" s="9">
        <v>40358</v>
      </c>
      <c r="B2500">
        <v>0.73</v>
      </c>
      <c r="C2500">
        <v>0.98</v>
      </c>
      <c r="D2500">
        <v>1.33</v>
      </c>
      <c r="E2500">
        <v>1.7</v>
      </c>
      <c r="F2500">
        <v>2.06</v>
      </c>
      <c r="G2500">
        <v>2.58</v>
      </c>
      <c r="H2500">
        <v>3.04</v>
      </c>
      <c r="I2500">
        <v>3.78</v>
      </c>
      <c r="K2500">
        <f t="shared" si="307"/>
        <v>0</v>
      </c>
      <c r="L2500">
        <f t="shared" si="308"/>
        <v>-1.0000000000000009</v>
      </c>
      <c r="M2500">
        <f t="shared" si="309"/>
        <v>-4.0000000000000036</v>
      </c>
      <c r="N2500">
        <f t="shared" si="310"/>
        <v>-7.0000000000000062</v>
      </c>
      <c r="O2500">
        <f t="shared" si="311"/>
        <v>-6.999999999999984</v>
      </c>
      <c r="P2500">
        <f t="shared" si="312"/>
        <v>-8.9999999999999858</v>
      </c>
      <c r="Q2500">
        <f t="shared" si="313"/>
        <v>-8.9999999999999858</v>
      </c>
      <c r="R2500">
        <f t="shared" si="314"/>
        <v>-8.0000000000000071</v>
      </c>
    </row>
    <row r="2501" spans="1:18">
      <c r="A2501" s="9">
        <v>40359</v>
      </c>
      <c r="B2501">
        <v>0.72</v>
      </c>
      <c r="C2501">
        <v>0.97</v>
      </c>
      <c r="D2501">
        <v>1.33</v>
      </c>
      <c r="E2501">
        <v>1.71</v>
      </c>
      <c r="F2501">
        <v>2.0499999999999998</v>
      </c>
      <c r="G2501">
        <v>2.57</v>
      </c>
      <c r="H2501">
        <v>3.02</v>
      </c>
      <c r="I2501">
        <v>3.72</v>
      </c>
      <c r="K2501">
        <f t="shared" ref="K2501:K2564" si="315">(B2501-B2500)*100</f>
        <v>-1.0000000000000009</v>
      </c>
      <c r="L2501">
        <f t="shared" ref="L2501:L2564" si="316">(C2501-C2500)*100</f>
        <v>-1.0000000000000009</v>
      </c>
      <c r="M2501">
        <f t="shared" ref="M2501:M2564" si="317">(D2501-D2500)*100</f>
        <v>0</v>
      </c>
      <c r="N2501">
        <f t="shared" ref="N2501:N2564" si="318">(E2501-E2500)*100</f>
        <v>1.0000000000000009</v>
      </c>
      <c r="O2501">
        <f t="shared" ref="O2501:O2564" si="319">(F2501-F2500)*100</f>
        <v>-1.0000000000000231</v>
      </c>
      <c r="P2501">
        <f t="shared" ref="P2501:P2564" si="320">(G2501-G2500)*100</f>
        <v>-1.0000000000000231</v>
      </c>
      <c r="Q2501">
        <f t="shared" ref="Q2501:Q2564" si="321">(H2501-H2500)*100</f>
        <v>-2.0000000000000018</v>
      </c>
      <c r="R2501">
        <f t="shared" ref="R2501:R2564" si="322">(I2501-I2500)*100</f>
        <v>-5.9999999999999609</v>
      </c>
    </row>
    <row r="2502" spans="1:18">
      <c r="A2502" s="9">
        <v>40360</v>
      </c>
      <c r="B2502">
        <v>0.72</v>
      </c>
      <c r="C2502">
        <v>0.98</v>
      </c>
      <c r="D2502">
        <v>1.33</v>
      </c>
      <c r="E2502">
        <v>1.7</v>
      </c>
      <c r="F2502">
        <v>2.0299999999999998</v>
      </c>
      <c r="G2502">
        <v>2.5299999999999998</v>
      </c>
      <c r="H2502">
        <v>2.97</v>
      </c>
      <c r="I2502">
        <v>3.65</v>
      </c>
      <c r="K2502">
        <f t="shared" si="315"/>
        <v>0</v>
      </c>
      <c r="L2502">
        <f t="shared" si="316"/>
        <v>1.0000000000000009</v>
      </c>
      <c r="M2502">
        <f t="shared" si="317"/>
        <v>0</v>
      </c>
      <c r="N2502">
        <f t="shared" si="318"/>
        <v>-1.0000000000000009</v>
      </c>
      <c r="O2502">
        <f t="shared" si="319"/>
        <v>-2.0000000000000018</v>
      </c>
      <c r="P2502">
        <f t="shared" si="320"/>
        <v>-4.0000000000000036</v>
      </c>
      <c r="Q2502">
        <f t="shared" si="321"/>
        <v>-4.9999999999999822</v>
      </c>
      <c r="R2502">
        <f t="shared" si="322"/>
        <v>-7.0000000000000284</v>
      </c>
    </row>
    <row r="2503" spans="1:18">
      <c r="A2503" s="9">
        <v>40361</v>
      </c>
      <c r="B2503">
        <v>0.71</v>
      </c>
      <c r="C2503">
        <v>0.99</v>
      </c>
      <c r="D2503">
        <v>1.37</v>
      </c>
      <c r="E2503">
        <v>1.74</v>
      </c>
      <c r="F2503">
        <v>2.08</v>
      </c>
      <c r="G2503">
        <v>2.59</v>
      </c>
      <c r="H2503">
        <v>3.04</v>
      </c>
      <c r="I2503">
        <v>3.74</v>
      </c>
      <c r="K2503">
        <f t="shared" si="315"/>
        <v>-1.0000000000000009</v>
      </c>
      <c r="L2503">
        <f t="shared" si="316"/>
        <v>1.0000000000000009</v>
      </c>
      <c r="M2503">
        <f t="shared" si="317"/>
        <v>4.0000000000000036</v>
      </c>
      <c r="N2503">
        <f t="shared" si="318"/>
        <v>4.0000000000000036</v>
      </c>
      <c r="O2503">
        <f t="shared" si="319"/>
        <v>5.0000000000000266</v>
      </c>
      <c r="P2503">
        <f t="shared" si="320"/>
        <v>6.0000000000000053</v>
      </c>
      <c r="Q2503">
        <f t="shared" si="321"/>
        <v>6.999999999999984</v>
      </c>
      <c r="R2503">
        <f t="shared" si="322"/>
        <v>9.0000000000000302</v>
      </c>
    </row>
    <row r="2504" spans="1:18">
      <c r="A2504" s="9">
        <v>40365</v>
      </c>
      <c r="B2504">
        <v>0.7</v>
      </c>
      <c r="C2504">
        <v>0.98</v>
      </c>
      <c r="D2504">
        <v>1.35</v>
      </c>
      <c r="E2504">
        <v>1.73</v>
      </c>
      <c r="F2504">
        <v>2.0699999999999998</v>
      </c>
      <c r="G2504">
        <v>2.59</v>
      </c>
      <c r="H2504">
        <v>3.04</v>
      </c>
      <c r="I2504">
        <v>3.73</v>
      </c>
      <c r="K2504">
        <f t="shared" si="315"/>
        <v>-1.0000000000000009</v>
      </c>
      <c r="L2504">
        <f t="shared" si="316"/>
        <v>-1.0000000000000009</v>
      </c>
      <c r="M2504">
        <f t="shared" si="317"/>
        <v>-2.0000000000000018</v>
      </c>
      <c r="N2504">
        <f t="shared" si="318"/>
        <v>-1.0000000000000009</v>
      </c>
      <c r="O2504">
        <f t="shared" si="319"/>
        <v>-1.0000000000000231</v>
      </c>
      <c r="P2504">
        <f t="shared" si="320"/>
        <v>0</v>
      </c>
      <c r="Q2504">
        <f t="shared" si="321"/>
        <v>0</v>
      </c>
      <c r="R2504">
        <f t="shared" si="322"/>
        <v>-1.0000000000000231</v>
      </c>
    </row>
    <row r="2505" spans="1:18">
      <c r="A2505" s="9">
        <v>40366</v>
      </c>
      <c r="B2505">
        <v>0.67</v>
      </c>
      <c r="C2505">
        <v>0.94</v>
      </c>
      <c r="D2505">
        <v>1.3</v>
      </c>
      <c r="E2505">
        <v>1.68</v>
      </c>
      <c r="F2505">
        <v>2.0299999999999998</v>
      </c>
      <c r="G2505">
        <v>2.56</v>
      </c>
      <c r="H2505">
        <v>3.02</v>
      </c>
      <c r="I2505">
        <v>3.73</v>
      </c>
      <c r="K2505">
        <f t="shared" si="315"/>
        <v>-2.9999999999999916</v>
      </c>
      <c r="L2505">
        <f t="shared" si="316"/>
        <v>-4.0000000000000036</v>
      </c>
      <c r="M2505">
        <f t="shared" si="317"/>
        <v>-5.0000000000000044</v>
      </c>
      <c r="N2505">
        <f t="shared" si="318"/>
        <v>-5.0000000000000044</v>
      </c>
      <c r="O2505">
        <f t="shared" si="319"/>
        <v>-4.0000000000000036</v>
      </c>
      <c r="P2505">
        <f t="shared" si="320"/>
        <v>-2.9999999999999805</v>
      </c>
      <c r="Q2505">
        <f t="shared" si="321"/>
        <v>-2.0000000000000018</v>
      </c>
      <c r="R2505">
        <f t="shared" si="322"/>
        <v>0</v>
      </c>
    </row>
    <row r="2506" spans="1:18">
      <c r="A2506" s="9">
        <v>40367</v>
      </c>
      <c r="B2506">
        <v>0.66</v>
      </c>
      <c r="C2506">
        <v>0.95</v>
      </c>
      <c r="D2506">
        <v>1.33</v>
      </c>
      <c r="E2506">
        <v>1.73</v>
      </c>
      <c r="F2506">
        <v>2.08</v>
      </c>
      <c r="G2506">
        <v>2.62</v>
      </c>
      <c r="H2506">
        <v>3.08</v>
      </c>
      <c r="I2506">
        <v>3.8</v>
      </c>
      <c r="K2506">
        <f t="shared" si="315"/>
        <v>-1.0000000000000009</v>
      </c>
      <c r="L2506">
        <f t="shared" si="316"/>
        <v>1.0000000000000009</v>
      </c>
      <c r="M2506">
        <f t="shared" si="317"/>
        <v>3.0000000000000027</v>
      </c>
      <c r="N2506">
        <f t="shared" si="318"/>
        <v>5.0000000000000044</v>
      </c>
      <c r="O2506">
        <f t="shared" si="319"/>
        <v>5.0000000000000266</v>
      </c>
      <c r="P2506">
        <f t="shared" si="320"/>
        <v>6.0000000000000053</v>
      </c>
      <c r="Q2506">
        <f t="shared" si="321"/>
        <v>6.0000000000000053</v>
      </c>
      <c r="R2506">
        <f t="shared" si="322"/>
        <v>6.999999999999984</v>
      </c>
    </row>
    <row r="2507" spans="1:18">
      <c r="A2507" s="9">
        <v>40368</v>
      </c>
      <c r="B2507">
        <v>0.66</v>
      </c>
      <c r="C2507">
        <v>0.95</v>
      </c>
      <c r="D2507">
        <v>1.35</v>
      </c>
      <c r="E2507">
        <v>1.74</v>
      </c>
      <c r="F2507">
        <v>2.1</v>
      </c>
      <c r="G2507">
        <v>2.63</v>
      </c>
      <c r="H2507">
        <v>3.1</v>
      </c>
      <c r="I2507">
        <v>3.83</v>
      </c>
      <c r="K2507">
        <f t="shared" si="315"/>
        <v>0</v>
      </c>
      <c r="L2507">
        <f t="shared" si="316"/>
        <v>0</v>
      </c>
      <c r="M2507">
        <f t="shared" si="317"/>
        <v>2.0000000000000018</v>
      </c>
      <c r="N2507">
        <f t="shared" si="318"/>
        <v>1.0000000000000009</v>
      </c>
      <c r="O2507">
        <f t="shared" si="319"/>
        <v>2.0000000000000018</v>
      </c>
      <c r="P2507">
        <f t="shared" si="320"/>
        <v>0.99999999999997868</v>
      </c>
      <c r="Q2507">
        <f t="shared" si="321"/>
        <v>2.0000000000000018</v>
      </c>
      <c r="R2507">
        <f t="shared" si="322"/>
        <v>3.0000000000000249</v>
      </c>
    </row>
    <row r="2508" spans="1:18">
      <c r="A2508" s="9">
        <v>40371</v>
      </c>
      <c r="B2508">
        <v>0.65</v>
      </c>
      <c r="C2508">
        <v>0.95</v>
      </c>
      <c r="D2508">
        <v>1.34</v>
      </c>
      <c r="E2508">
        <v>1.74</v>
      </c>
      <c r="F2508">
        <v>2.1</v>
      </c>
      <c r="G2508">
        <v>2.63</v>
      </c>
      <c r="H2508">
        <v>3.09</v>
      </c>
      <c r="I2508">
        <v>3.82</v>
      </c>
      <c r="K2508">
        <f t="shared" si="315"/>
        <v>-1.0000000000000009</v>
      </c>
      <c r="L2508">
        <f t="shared" si="316"/>
        <v>0</v>
      </c>
      <c r="M2508">
        <f t="shared" si="317"/>
        <v>-1.0000000000000009</v>
      </c>
      <c r="N2508">
        <f t="shared" si="318"/>
        <v>0</v>
      </c>
      <c r="O2508">
        <f t="shared" si="319"/>
        <v>0</v>
      </c>
      <c r="P2508">
        <f t="shared" si="320"/>
        <v>0</v>
      </c>
      <c r="Q2508">
        <f t="shared" si="321"/>
        <v>-1.0000000000000231</v>
      </c>
      <c r="R2508">
        <f t="shared" si="322"/>
        <v>-1.0000000000000231</v>
      </c>
    </row>
    <row r="2509" spans="1:18">
      <c r="A2509" s="9">
        <v>40372</v>
      </c>
      <c r="B2509">
        <v>0.64</v>
      </c>
      <c r="C2509">
        <v>0.95</v>
      </c>
      <c r="D2509">
        <v>1.35</v>
      </c>
      <c r="E2509">
        <v>1.76</v>
      </c>
      <c r="F2509">
        <v>2.12</v>
      </c>
      <c r="G2509">
        <v>2.66</v>
      </c>
      <c r="H2509">
        <v>3.13</v>
      </c>
      <c r="I2509">
        <v>3.85</v>
      </c>
      <c r="K2509">
        <f t="shared" si="315"/>
        <v>-1.0000000000000009</v>
      </c>
      <c r="L2509">
        <f t="shared" si="316"/>
        <v>0</v>
      </c>
      <c r="M2509">
        <f t="shared" si="317"/>
        <v>1.0000000000000009</v>
      </c>
      <c r="N2509">
        <f t="shared" si="318"/>
        <v>2.0000000000000018</v>
      </c>
      <c r="O2509">
        <f t="shared" si="319"/>
        <v>2.0000000000000018</v>
      </c>
      <c r="P2509">
        <f t="shared" si="320"/>
        <v>3.0000000000000249</v>
      </c>
      <c r="Q2509">
        <f t="shared" si="321"/>
        <v>4.0000000000000036</v>
      </c>
      <c r="R2509">
        <f t="shared" si="322"/>
        <v>3.0000000000000249</v>
      </c>
    </row>
    <row r="2510" spans="1:18">
      <c r="A2510" s="9">
        <v>40373</v>
      </c>
      <c r="B2510">
        <v>0.63</v>
      </c>
      <c r="C2510">
        <v>0.93</v>
      </c>
      <c r="D2510">
        <v>1.33</v>
      </c>
      <c r="E2510">
        <v>1.74</v>
      </c>
      <c r="F2510">
        <v>2.1</v>
      </c>
      <c r="G2510">
        <v>2.65</v>
      </c>
      <c r="H2510">
        <v>3.13</v>
      </c>
      <c r="I2510">
        <v>3.86</v>
      </c>
      <c r="K2510">
        <f t="shared" si="315"/>
        <v>-1.0000000000000009</v>
      </c>
      <c r="L2510">
        <f t="shared" si="316"/>
        <v>-1.9999999999999907</v>
      </c>
      <c r="M2510">
        <f t="shared" si="317"/>
        <v>-2.0000000000000018</v>
      </c>
      <c r="N2510">
        <f t="shared" si="318"/>
        <v>-2.0000000000000018</v>
      </c>
      <c r="O2510">
        <f t="shared" si="319"/>
        <v>-2.0000000000000018</v>
      </c>
      <c r="P2510">
        <f t="shared" si="320"/>
        <v>-1.0000000000000231</v>
      </c>
      <c r="Q2510">
        <f t="shared" si="321"/>
        <v>0</v>
      </c>
      <c r="R2510">
        <f t="shared" si="322"/>
        <v>0.99999999999997868</v>
      </c>
    </row>
    <row r="2511" spans="1:18">
      <c r="A2511" s="9">
        <v>40374</v>
      </c>
      <c r="B2511">
        <v>0.62</v>
      </c>
      <c r="C2511">
        <v>0.87</v>
      </c>
      <c r="D2511">
        <v>1.23</v>
      </c>
      <c r="E2511">
        <v>1.62</v>
      </c>
      <c r="F2511">
        <v>1.99</v>
      </c>
      <c r="G2511">
        <v>2.5299999999999998</v>
      </c>
      <c r="H2511">
        <v>3.01</v>
      </c>
      <c r="I2511">
        <v>3.75</v>
      </c>
      <c r="K2511">
        <f t="shared" si="315"/>
        <v>-1.0000000000000009</v>
      </c>
      <c r="L2511">
        <f t="shared" si="316"/>
        <v>-6.0000000000000053</v>
      </c>
      <c r="M2511">
        <f t="shared" si="317"/>
        <v>-10.000000000000009</v>
      </c>
      <c r="N2511">
        <f t="shared" si="318"/>
        <v>-11.999999999999989</v>
      </c>
      <c r="O2511">
        <f t="shared" si="319"/>
        <v>-11.000000000000011</v>
      </c>
      <c r="P2511">
        <f t="shared" si="320"/>
        <v>-12.000000000000011</v>
      </c>
      <c r="Q2511">
        <f t="shared" si="321"/>
        <v>-12.000000000000011</v>
      </c>
      <c r="R2511">
        <f t="shared" si="322"/>
        <v>-10.999999999999988</v>
      </c>
    </row>
    <row r="2512" spans="1:18">
      <c r="A2512" s="9">
        <v>40375</v>
      </c>
      <c r="B2512">
        <v>0.57999999999999996</v>
      </c>
      <c r="C2512">
        <v>0.83</v>
      </c>
      <c r="D2512">
        <v>1.19</v>
      </c>
      <c r="E2512">
        <v>1.56</v>
      </c>
      <c r="F2512">
        <v>1.91</v>
      </c>
      <c r="G2512">
        <v>2.46</v>
      </c>
      <c r="H2512">
        <v>2.94</v>
      </c>
      <c r="I2512">
        <v>3.7</v>
      </c>
      <c r="K2512">
        <f t="shared" si="315"/>
        <v>-4.0000000000000036</v>
      </c>
      <c r="L2512">
        <f t="shared" si="316"/>
        <v>-4.0000000000000036</v>
      </c>
      <c r="M2512">
        <f t="shared" si="317"/>
        <v>-4.0000000000000036</v>
      </c>
      <c r="N2512">
        <f t="shared" si="318"/>
        <v>-6.0000000000000053</v>
      </c>
      <c r="O2512">
        <f t="shared" si="319"/>
        <v>-8.0000000000000071</v>
      </c>
      <c r="P2512">
        <f t="shared" si="320"/>
        <v>-6.999999999999984</v>
      </c>
      <c r="Q2512">
        <f t="shared" si="321"/>
        <v>-6.999999999999984</v>
      </c>
      <c r="R2512">
        <f t="shared" si="322"/>
        <v>-4.9999999999999822</v>
      </c>
    </row>
    <row r="2513" spans="1:18">
      <c r="A2513" s="9">
        <v>40378</v>
      </c>
      <c r="B2513">
        <v>0.57999999999999996</v>
      </c>
      <c r="C2513">
        <v>0.83</v>
      </c>
      <c r="D2513">
        <v>1.19</v>
      </c>
      <c r="E2513">
        <v>1.57</v>
      </c>
      <c r="F2513">
        <v>1.91</v>
      </c>
      <c r="G2513">
        <v>2.46</v>
      </c>
      <c r="H2513">
        <v>2.95</v>
      </c>
      <c r="I2513">
        <v>3.72</v>
      </c>
      <c r="K2513">
        <f t="shared" si="315"/>
        <v>0</v>
      </c>
      <c r="L2513">
        <f t="shared" si="316"/>
        <v>0</v>
      </c>
      <c r="M2513">
        <f t="shared" si="317"/>
        <v>0</v>
      </c>
      <c r="N2513">
        <f t="shared" si="318"/>
        <v>1.0000000000000009</v>
      </c>
      <c r="O2513">
        <f t="shared" si="319"/>
        <v>0</v>
      </c>
      <c r="P2513">
        <f t="shared" si="320"/>
        <v>0</v>
      </c>
      <c r="Q2513">
        <f t="shared" si="321"/>
        <v>1.0000000000000231</v>
      </c>
      <c r="R2513">
        <f t="shared" si="322"/>
        <v>2.0000000000000018</v>
      </c>
    </row>
    <row r="2514" spans="1:18">
      <c r="A2514" s="9">
        <v>40379</v>
      </c>
      <c r="B2514">
        <v>0.56000000000000005</v>
      </c>
      <c r="C2514">
        <v>0.81</v>
      </c>
      <c r="D2514">
        <v>1.1499999999999999</v>
      </c>
      <c r="E2514">
        <v>1.53</v>
      </c>
      <c r="F2514">
        <v>1.88</v>
      </c>
      <c r="G2514">
        <v>2.44</v>
      </c>
      <c r="H2514">
        <v>2.94</v>
      </c>
      <c r="I2514">
        <v>3.72</v>
      </c>
      <c r="K2514">
        <f t="shared" si="315"/>
        <v>-1.9999999999999907</v>
      </c>
      <c r="L2514">
        <f t="shared" si="316"/>
        <v>-1.9999999999999907</v>
      </c>
      <c r="M2514">
        <f t="shared" si="317"/>
        <v>-4.0000000000000036</v>
      </c>
      <c r="N2514">
        <f t="shared" si="318"/>
        <v>-4.0000000000000036</v>
      </c>
      <c r="O2514">
        <f t="shared" si="319"/>
        <v>-3.0000000000000027</v>
      </c>
      <c r="P2514">
        <f t="shared" si="320"/>
        <v>-2.0000000000000018</v>
      </c>
      <c r="Q2514">
        <f t="shared" si="321"/>
        <v>-1.0000000000000231</v>
      </c>
      <c r="R2514">
        <f t="shared" si="322"/>
        <v>0</v>
      </c>
    </row>
    <row r="2515" spans="1:18">
      <c r="A2515" s="9">
        <v>40380</v>
      </c>
      <c r="B2515">
        <v>0.56000000000000005</v>
      </c>
      <c r="C2515">
        <v>0.8</v>
      </c>
      <c r="D2515">
        <v>1.1499999999999999</v>
      </c>
      <c r="E2515">
        <v>1.53</v>
      </c>
      <c r="F2515">
        <v>1.89</v>
      </c>
      <c r="G2515">
        <v>2.4500000000000002</v>
      </c>
      <c r="H2515">
        <v>2.95</v>
      </c>
      <c r="I2515">
        <v>3.71</v>
      </c>
      <c r="K2515">
        <f t="shared" si="315"/>
        <v>0</v>
      </c>
      <c r="L2515">
        <f t="shared" si="316"/>
        <v>-1.0000000000000009</v>
      </c>
      <c r="M2515">
        <f t="shared" si="317"/>
        <v>0</v>
      </c>
      <c r="N2515">
        <f t="shared" si="318"/>
        <v>0</v>
      </c>
      <c r="O2515">
        <f t="shared" si="319"/>
        <v>1.0000000000000009</v>
      </c>
      <c r="P2515">
        <f t="shared" si="320"/>
        <v>1.0000000000000231</v>
      </c>
      <c r="Q2515">
        <f t="shared" si="321"/>
        <v>1.0000000000000231</v>
      </c>
      <c r="R2515">
        <f t="shared" si="322"/>
        <v>-1.0000000000000231</v>
      </c>
    </row>
    <row r="2516" spans="1:18">
      <c r="A2516" s="9">
        <v>40381</v>
      </c>
      <c r="B2516">
        <v>0.54</v>
      </c>
      <c r="C2516">
        <v>0.79</v>
      </c>
      <c r="D2516">
        <v>1.1499999999999999</v>
      </c>
      <c r="E2516">
        <v>1.53</v>
      </c>
      <c r="F2516">
        <v>1.88</v>
      </c>
      <c r="G2516">
        <v>2.44</v>
      </c>
      <c r="H2516">
        <v>2.93</v>
      </c>
      <c r="I2516">
        <v>3.68</v>
      </c>
      <c r="K2516">
        <f t="shared" si="315"/>
        <v>-2.0000000000000018</v>
      </c>
      <c r="L2516">
        <f t="shared" si="316"/>
        <v>-1.0000000000000009</v>
      </c>
      <c r="M2516">
        <f t="shared" si="317"/>
        <v>0</v>
      </c>
      <c r="N2516">
        <f t="shared" si="318"/>
        <v>0</v>
      </c>
      <c r="O2516">
        <f t="shared" si="319"/>
        <v>-1.0000000000000009</v>
      </c>
      <c r="P2516">
        <f t="shared" si="320"/>
        <v>-1.0000000000000231</v>
      </c>
      <c r="Q2516">
        <f t="shared" si="321"/>
        <v>-2.0000000000000018</v>
      </c>
      <c r="R2516">
        <f t="shared" si="322"/>
        <v>-2.9999999999999805</v>
      </c>
    </row>
    <row r="2517" spans="1:18">
      <c r="A2517" s="9">
        <v>40382</v>
      </c>
      <c r="B2517">
        <v>0.55000000000000004</v>
      </c>
      <c r="C2517">
        <v>0.81</v>
      </c>
      <c r="D2517">
        <v>1.17</v>
      </c>
      <c r="E2517">
        <v>1.55</v>
      </c>
      <c r="F2517">
        <v>1.9</v>
      </c>
      <c r="G2517">
        <v>2.46</v>
      </c>
      <c r="H2517">
        <v>2.96</v>
      </c>
      <c r="I2517">
        <v>3.73</v>
      </c>
      <c r="K2517">
        <f t="shared" si="315"/>
        <v>1.0000000000000009</v>
      </c>
      <c r="L2517">
        <f t="shared" si="316"/>
        <v>2.0000000000000018</v>
      </c>
      <c r="M2517">
        <f t="shared" si="317"/>
        <v>2.0000000000000018</v>
      </c>
      <c r="N2517">
        <f t="shared" si="318"/>
        <v>2.0000000000000018</v>
      </c>
      <c r="O2517">
        <f t="shared" si="319"/>
        <v>2.0000000000000018</v>
      </c>
      <c r="P2517">
        <f t="shared" si="320"/>
        <v>2.0000000000000018</v>
      </c>
      <c r="Q2517">
        <f t="shared" si="321"/>
        <v>2.9999999999999805</v>
      </c>
      <c r="R2517">
        <f t="shared" si="322"/>
        <v>4.9999999999999822</v>
      </c>
    </row>
    <row r="2518" spans="1:18">
      <c r="A2518" s="9">
        <v>40385</v>
      </c>
      <c r="B2518">
        <v>0.56000000000000005</v>
      </c>
      <c r="C2518">
        <v>0.85</v>
      </c>
      <c r="D2518">
        <v>1.23</v>
      </c>
      <c r="E2518">
        <v>1.62</v>
      </c>
      <c r="F2518">
        <v>1.97</v>
      </c>
      <c r="G2518">
        <v>2.54</v>
      </c>
      <c r="H2518">
        <v>3.04</v>
      </c>
      <c r="I2518">
        <v>3.81</v>
      </c>
      <c r="K2518">
        <f t="shared" si="315"/>
        <v>1.0000000000000009</v>
      </c>
      <c r="L2518">
        <f t="shared" si="316"/>
        <v>3.9999999999999925</v>
      </c>
      <c r="M2518">
        <f t="shared" si="317"/>
        <v>6.0000000000000053</v>
      </c>
      <c r="N2518">
        <f t="shared" si="318"/>
        <v>7.0000000000000062</v>
      </c>
      <c r="O2518">
        <f t="shared" si="319"/>
        <v>7.0000000000000062</v>
      </c>
      <c r="P2518">
        <f t="shared" si="320"/>
        <v>8.0000000000000071</v>
      </c>
      <c r="Q2518">
        <f t="shared" si="321"/>
        <v>8.0000000000000071</v>
      </c>
      <c r="R2518">
        <f t="shared" si="322"/>
        <v>8.0000000000000071</v>
      </c>
    </row>
    <row r="2519" spans="1:18">
      <c r="A2519" s="9">
        <v>40386</v>
      </c>
      <c r="B2519">
        <v>0.55000000000000004</v>
      </c>
      <c r="C2519">
        <v>0.85</v>
      </c>
      <c r="D2519">
        <v>1.22</v>
      </c>
      <c r="E2519">
        <v>1.61</v>
      </c>
      <c r="F2519">
        <v>1.97</v>
      </c>
      <c r="G2519">
        <v>2.5299999999999998</v>
      </c>
      <c r="H2519">
        <v>3.03</v>
      </c>
      <c r="I2519">
        <v>3.8</v>
      </c>
      <c r="K2519">
        <f t="shared" si="315"/>
        <v>-1.0000000000000009</v>
      </c>
      <c r="L2519">
        <f t="shared" si="316"/>
        <v>0</v>
      </c>
      <c r="M2519">
        <f t="shared" si="317"/>
        <v>-1.0000000000000009</v>
      </c>
      <c r="N2519">
        <f t="shared" si="318"/>
        <v>-1.0000000000000009</v>
      </c>
      <c r="O2519">
        <f t="shared" si="319"/>
        <v>0</v>
      </c>
      <c r="P2519">
        <f t="shared" si="320"/>
        <v>-1.0000000000000231</v>
      </c>
      <c r="Q2519">
        <f t="shared" si="321"/>
        <v>-1.0000000000000231</v>
      </c>
      <c r="R2519">
        <f t="shared" si="322"/>
        <v>-1.0000000000000231</v>
      </c>
    </row>
    <row r="2520" spans="1:18">
      <c r="A2520" s="9">
        <v>40387</v>
      </c>
      <c r="B2520">
        <v>0.53</v>
      </c>
      <c r="C2520">
        <v>0.82</v>
      </c>
      <c r="D2520">
        <v>1.19</v>
      </c>
      <c r="E2520">
        <v>1.58</v>
      </c>
      <c r="F2520">
        <v>1.95</v>
      </c>
      <c r="G2520">
        <v>2.52</v>
      </c>
      <c r="H2520">
        <v>3.02</v>
      </c>
      <c r="I2520">
        <v>3.8</v>
      </c>
      <c r="K2520">
        <f t="shared" si="315"/>
        <v>-2.0000000000000018</v>
      </c>
      <c r="L2520">
        <f t="shared" si="316"/>
        <v>-3.0000000000000027</v>
      </c>
      <c r="M2520">
        <f t="shared" si="317"/>
        <v>-3.0000000000000027</v>
      </c>
      <c r="N2520">
        <f t="shared" si="318"/>
        <v>-3.0000000000000027</v>
      </c>
      <c r="O2520">
        <f t="shared" si="319"/>
        <v>-2.0000000000000018</v>
      </c>
      <c r="P2520">
        <f t="shared" si="320"/>
        <v>-0.99999999999997868</v>
      </c>
      <c r="Q2520">
        <f t="shared" si="321"/>
        <v>-0.99999999999997868</v>
      </c>
      <c r="R2520">
        <f t="shared" si="322"/>
        <v>0</v>
      </c>
    </row>
    <row r="2521" spans="1:18">
      <c r="A2521" s="9">
        <v>40388</v>
      </c>
      <c r="B2521">
        <v>0.51</v>
      </c>
      <c r="C2521">
        <v>0.76</v>
      </c>
      <c r="D2521">
        <v>1.1100000000000001</v>
      </c>
      <c r="E2521">
        <v>1.49</v>
      </c>
      <c r="F2521">
        <v>1.84</v>
      </c>
      <c r="G2521">
        <v>2.4300000000000002</v>
      </c>
      <c r="H2521">
        <v>2.96</v>
      </c>
      <c r="I2521">
        <v>3.79</v>
      </c>
      <c r="K2521">
        <f t="shared" si="315"/>
        <v>-2.0000000000000018</v>
      </c>
      <c r="L2521">
        <f t="shared" si="316"/>
        <v>-5.9999999999999947</v>
      </c>
      <c r="M2521">
        <f t="shared" si="317"/>
        <v>-7.9999999999999849</v>
      </c>
      <c r="N2521">
        <f t="shared" si="318"/>
        <v>-9.0000000000000071</v>
      </c>
      <c r="O2521">
        <f t="shared" si="319"/>
        <v>-10.999999999999988</v>
      </c>
      <c r="P2521">
        <f t="shared" si="320"/>
        <v>-8.9999999999999858</v>
      </c>
      <c r="Q2521">
        <f t="shared" si="321"/>
        <v>-6.0000000000000053</v>
      </c>
      <c r="R2521">
        <f t="shared" si="322"/>
        <v>-0.99999999999997868</v>
      </c>
    </row>
    <row r="2522" spans="1:18">
      <c r="A2522" s="9">
        <v>40389</v>
      </c>
      <c r="B2522">
        <v>0.5</v>
      </c>
      <c r="C2522">
        <v>0.75</v>
      </c>
      <c r="D2522">
        <v>1.08</v>
      </c>
      <c r="E2522">
        <v>1.44</v>
      </c>
      <c r="F2522">
        <v>1.81</v>
      </c>
      <c r="G2522">
        <v>2.39</v>
      </c>
      <c r="H2522">
        <v>2.92</v>
      </c>
      <c r="I2522">
        <v>3.74</v>
      </c>
      <c r="K2522">
        <f t="shared" si="315"/>
        <v>-1.0000000000000009</v>
      </c>
      <c r="L2522">
        <f t="shared" si="316"/>
        <v>-1.0000000000000009</v>
      </c>
      <c r="M2522">
        <f t="shared" si="317"/>
        <v>-3.0000000000000027</v>
      </c>
      <c r="N2522">
        <f t="shared" si="318"/>
        <v>-5.0000000000000044</v>
      </c>
      <c r="O2522">
        <f t="shared" si="319"/>
        <v>-3.0000000000000027</v>
      </c>
      <c r="P2522">
        <f t="shared" si="320"/>
        <v>-4.0000000000000036</v>
      </c>
      <c r="Q2522">
        <f t="shared" si="321"/>
        <v>-4.0000000000000036</v>
      </c>
      <c r="R2522">
        <f t="shared" si="322"/>
        <v>-4.9999999999999822</v>
      </c>
    </row>
    <row r="2523" spans="1:18">
      <c r="A2523" s="9">
        <v>40392</v>
      </c>
      <c r="B2523">
        <v>0.48</v>
      </c>
      <c r="C2523">
        <v>0.73</v>
      </c>
      <c r="D2523">
        <v>1.07</v>
      </c>
      <c r="E2523">
        <v>1.43</v>
      </c>
      <c r="F2523">
        <v>1.78</v>
      </c>
      <c r="G2523">
        <v>2.37</v>
      </c>
      <c r="H2523">
        <v>2.9</v>
      </c>
      <c r="I2523">
        <v>3.73</v>
      </c>
      <c r="K2523">
        <f t="shared" si="315"/>
        <v>-2.0000000000000018</v>
      </c>
      <c r="L2523">
        <f t="shared" si="316"/>
        <v>-2.0000000000000018</v>
      </c>
      <c r="M2523">
        <f t="shared" si="317"/>
        <v>-1.0000000000000009</v>
      </c>
      <c r="N2523">
        <f t="shared" si="318"/>
        <v>-1.0000000000000009</v>
      </c>
      <c r="O2523">
        <f t="shared" si="319"/>
        <v>-3.0000000000000027</v>
      </c>
      <c r="P2523">
        <f t="shared" si="320"/>
        <v>-2.0000000000000018</v>
      </c>
      <c r="Q2523">
        <f t="shared" si="321"/>
        <v>-2.0000000000000018</v>
      </c>
      <c r="R2523">
        <f t="shared" si="322"/>
        <v>-1.0000000000000231</v>
      </c>
    </row>
    <row r="2524" spans="1:18">
      <c r="A2524" s="9">
        <v>40393</v>
      </c>
      <c r="B2524">
        <v>0.46</v>
      </c>
      <c r="C2524">
        <v>0.7</v>
      </c>
      <c r="D2524">
        <v>1.02</v>
      </c>
      <c r="E2524">
        <v>1.37</v>
      </c>
      <c r="F2524">
        <v>1.72</v>
      </c>
      <c r="G2524">
        <v>2.3199999999999998</v>
      </c>
      <c r="H2524">
        <v>2.88</v>
      </c>
      <c r="I2524">
        <v>3.73</v>
      </c>
      <c r="K2524">
        <f t="shared" si="315"/>
        <v>-1.9999999999999962</v>
      </c>
      <c r="L2524">
        <f t="shared" si="316"/>
        <v>-3.0000000000000027</v>
      </c>
      <c r="M2524">
        <f t="shared" si="317"/>
        <v>-5.0000000000000044</v>
      </c>
      <c r="N2524">
        <f t="shared" si="318"/>
        <v>-5.9999999999999831</v>
      </c>
      <c r="O2524">
        <f t="shared" si="319"/>
        <v>-6.0000000000000053</v>
      </c>
      <c r="P2524">
        <f t="shared" si="320"/>
        <v>-5.0000000000000266</v>
      </c>
      <c r="Q2524">
        <f t="shared" si="321"/>
        <v>-2.0000000000000018</v>
      </c>
      <c r="R2524">
        <f t="shared" si="322"/>
        <v>0</v>
      </c>
    </row>
    <row r="2525" spans="1:18">
      <c r="A2525" s="9">
        <v>40394</v>
      </c>
      <c r="B2525">
        <v>0.5</v>
      </c>
      <c r="C2525">
        <v>0.75</v>
      </c>
      <c r="D2525">
        <v>1.0900000000000001</v>
      </c>
      <c r="E2525">
        <v>1.44</v>
      </c>
      <c r="F2525">
        <v>1.8</v>
      </c>
      <c r="G2525">
        <v>2.39</v>
      </c>
      <c r="H2525">
        <v>2.93</v>
      </c>
      <c r="I2525">
        <v>3.77</v>
      </c>
      <c r="K2525">
        <f t="shared" si="315"/>
        <v>3.9999999999999982</v>
      </c>
      <c r="L2525">
        <f t="shared" si="316"/>
        <v>5.0000000000000044</v>
      </c>
      <c r="M2525">
        <f t="shared" si="317"/>
        <v>7.0000000000000062</v>
      </c>
      <c r="N2525">
        <f t="shared" si="318"/>
        <v>6.999999999999984</v>
      </c>
      <c r="O2525">
        <f t="shared" si="319"/>
        <v>8.0000000000000071</v>
      </c>
      <c r="P2525">
        <f t="shared" si="320"/>
        <v>7.0000000000000284</v>
      </c>
      <c r="Q2525">
        <f t="shared" si="321"/>
        <v>5.0000000000000266</v>
      </c>
      <c r="R2525">
        <f t="shared" si="322"/>
        <v>4.0000000000000036</v>
      </c>
    </row>
    <row r="2526" spans="1:18">
      <c r="A2526" s="9">
        <v>40395</v>
      </c>
      <c r="B2526">
        <v>0.48</v>
      </c>
      <c r="C2526">
        <v>0.72</v>
      </c>
      <c r="D2526">
        <v>1.06</v>
      </c>
      <c r="E2526">
        <v>1.41</v>
      </c>
      <c r="F2526">
        <v>1.77</v>
      </c>
      <c r="G2526">
        <v>2.35</v>
      </c>
      <c r="H2526">
        <v>2.89</v>
      </c>
      <c r="I2526">
        <v>3.75</v>
      </c>
      <c r="K2526">
        <f t="shared" si="315"/>
        <v>-2.0000000000000018</v>
      </c>
      <c r="L2526">
        <f t="shared" si="316"/>
        <v>-3.0000000000000027</v>
      </c>
      <c r="M2526">
        <f t="shared" si="317"/>
        <v>-3.0000000000000027</v>
      </c>
      <c r="N2526">
        <f t="shared" si="318"/>
        <v>-3.0000000000000027</v>
      </c>
      <c r="O2526">
        <f t="shared" si="319"/>
        <v>-3.0000000000000027</v>
      </c>
      <c r="P2526">
        <f t="shared" si="320"/>
        <v>-4.0000000000000036</v>
      </c>
      <c r="Q2526">
        <f t="shared" si="321"/>
        <v>-4.0000000000000036</v>
      </c>
      <c r="R2526">
        <f t="shared" si="322"/>
        <v>-2.0000000000000018</v>
      </c>
    </row>
    <row r="2527" spans="1:18">
      <c r="A2527" s="9">
        <v>40396</v>
      </c>
      <c r="B2527">
        <v>0.47</v>
      </c>
      <c r="C2527">
        <v>0.71</v>
      </c>
      <c r="D2527">
        <v>1.02</v>
      </c>
      <c r="E2527">
        <v>1.36</v>
      </c>
      <c r="F2527">
        <v>1.71</v>
      </c>
      <c r="G2527">
        <v>2.29</v>
      </c>
      <c r="H2527">
        <v>2.84</v>
      </c>
      <c r="I2527">
        <v>3.72</v>
      </c>
      <c r="K2527">
        <f t="shared" si="315"/>
        <v>-1.0000000000000009</v>
      </c>
      <c r="L2527">
        <f t="shared" si="316"/>
        <v>-1.0000000000000009</v>
      </c>
      <c r="M2527">
        <f t="shared" si="317"/>
        <v>-4.0000000000000036</v>
      </c>
      <c r="N2527">
        <f t="shared" si="318"/>
        <v>-4.9999999999999822</v>
      </c>
      <c r="O2527">
        <f t="shared" si="319"/>
        <v>-6.0000000000000053</v>
      </c>
      <c r="P2527">
        <f t="shared" si="320"/>
        <v>-6.0000000000000053</v>
      </c>
      <c r="Q2527">
        <f t="shared" si="321"/>
        <v>-5.0000000000000266</v>
      </c>
      <c r="R2527">
        <f t="shared" si="322"/>
        <v>-2.9999999999999805</v>
      </c>
    </row>
    <row r="2528" spans="1:18">
      <c r="A2528" s="9">
        <v>40399</v>
      </c>
      <c r="B2528">
        <v>0.48</v>
      </c>
      <c r="C2528">
        <v>0.74</v>
      </c>
      <c r="D2528">
        <v>1.05</v>
      </c>
      <c r="E2528">
        <v>1.39</v>
      </c>
      <c r="F2528">
        <v>1.73</v>
      </c>
      <c r="G2528">
        <v>2.2999999999999998</v>
      </c>
      <c r="H2528">
        <v>2.83</v>
      </c>
      <c r="I2528">
        <v>3.7</v>
      </c>
      <c r="K2528">
        <f t="shared" si="315"/>
        <v>1.0000000000000009</v>
      </c>
      <c r="L2528">
        <f t="shared" si="316"/>
        <v>3.0000000000000027</v>
      </c>
      <c r="M2528">
        <f t="shared" si="317"/>
        <v>3.0000000000000027</v>
      </c>
      <c r="N2528">
        <f t="shared" si="318"/>
        <v>2.9999999999999805</v>
      </c>
      <c r="O2528">
        <f t="shared" si="319"/>
        <v>2.0000000000000018</v>
      </c>
      <c r="P2528">
        <f t="shared" si="320"/>
        <v>0.99999999999997868</v>
      </c>
      <c r="Q2528">
        <f t="shared" si="321"/>
        <v>-0.99999999999997868</v>
      </c>
      <c r="R2528">
        <f t="shared" si="322"/>
        <v>-2.0000000000000018</v>
      </c>
    </row>
    <row r="2529" spans="1:18">
      <c r="A2529" s="9">
        <v>40400</v>
      </c>
      <c r="B2529">
        <v>0.48</v>
      </c>
      <c r="C2529">
        <v>0.74</v>
      </c>
      <c r="D2529">
        <v>1.08</v>
      </c>
      <c r="E2529">
        <v>1.41</v>
      </c>
      <c r="F2529">
        <v>1.75</v>
      </c>
      <c r="G2529">
        <v>2.31</v>
      </c>
      <c r="H2529">
        <v>2.83</v>
      </c>
      <c r="I2529">
        <v>3.66</v>
      </c>
      <c r="K2529">
        <f t="shared" si="315"/>
        <v>0</v>
      </c>
      <c r="L2529">
        <f t="shared" si="316"/>
        <v>0</v>
      </c>
      <c r="M2529">
        <f t="shared" si="317"/>
        <v>3.0000000000000027</v>
      </c>
      <c r="N2529">
        <f t="shared" si="318"/>
        <v>2.0000000000000018</v>
      </c>
      <c r="O2529">
        <f t="shared" si="319"/>
        <v>2.0000000000000018</v>
      </c>
      <c r="P2529">
        <f t="shared" si="320"/>
        <v>1.0000000000000231</v>
      </c>
      <c r="Q2529">
        <f t="shared" si="321"/>
        <v>0</v>
      </c>
      <c r="R2529">
        <f t="shared" si="322"/>
        <v>-4.0000000000000036</v>
      </c>
    </row>
    <row r="2530" spans="1:18">
      <c r="A2530" s="9">
        <v>40401</v>
      </c>
      <c r="B2530">
        <v>0.44</v>
      </c>
      <c r="C2530">
        <v>0.67</v>
      </c>
      <c r="D2530">
        <v>0.98</v>
      </c>
      <c r="E2530">
        <v>1.3</v>
      </c>
      <c r="F2530">
        <v>1.62</v>
      </c>
      <c r="G2530">
        <v>2.17</v>
      </c>
      <c r="H2530">
        <v>2.7</v>
      </c>
      <c r="I2530">
        <v>3.6</v>
      </c>
      <c r="K2530">
        <f t="shared" si="315"/>
        <v>-3.9999999999999982</v>
      </c>
      <c r="L2530">
        <f t="shared" si="316"/>
        <v>-6.9999999999999947</v>
      </c>
      <c r="M2530">
        <f t="shared" si="317"/>
        <v>-10.000000000000009</v>
      </c>
      <c r="N2530">
        <f t="shared" si="318"/>
        <v>-10.999999999999988</v>
      </c>
      <c r="O2530">
        <f t="shared" si="319"/>
        <v>-12.999999999999989</v>
      </c>
      <c r="P2530">
        <f t="shared" si="320"/>
        <v>-14.000000000000012</v>
      </c>
      <c r="Q2530">
        <f t="shared" si="321"/>
        <v>-12.999999999999989</v>
      </c>
      <c r="R2530">
        <f t="shared" si="322"/>
        <v>-6.0000000000000053</v>
      </c>
    </row>
    <row r="2531" spans="1:18">
      <c r="A2531" s="9">
        <v>40402</v>
      </c>
      <c r="B2531">
        <v>0.49</v>
      </c>
      <c r="C2531">
        <v>0.73</v>
      </c>
      <c r="D2531">
        <v>1.03</v>
      </c>
      <c r="E2531">
        <v>1.35</v>
      </c>
      <c r="F2531">
        <v>1.66</v>
      </c>
      <c r="G2531">
        <v>2.2000000000000002</v>
      </c>
      <c r="H2531">
        <v>2.72</v>
      </c>
      <c r="I2531">
        <v>3.55</v>
      </c>
      <c r="K2531">
        <f t="shared" si="315"/>
        <v>4.9999999999999991</v>
      </c>
      <c r="L2531">
        <f t="shared" si="316"/>
        <v>5.9999999999999947</v>
      </c>
      <c r="M2531">
        <f t="shared" si="317"/>
        <v>5.0000000000000044</v>
      </c>
      <c r="N2531">
        <f t="shared" si="318"/>
        <v>5.0000000000000044</v>
      </c>
      <c r="O2531">
        <f t="shared" si="319"/>
        <v>3.9999999999999813</v>
      </c>
      <c r="P2531">
        <f t="shared" si="320"/>
        <v>3.0000000000000249</v>
      </c>
      <c r="Q2531">
        <f t="shared" si="321"/>
        <v>2.0000000000000018</v>
      </c>
      <c r="R2531">
        <f t="shared" si="322"/>
        <v>-5.0000000000000266</v>
      </c>
    </row>
    <row r="2532" spans="1:18">
      <c r="A2532" s="9">
        <v>40403</v>
      </c>
      <c r="B2532">
        <v>0.49</v>
      </c>
      <c r="C2532">
        <v>0.73</v>
      </c>
      <c r="D2532">
        <v>1.05</v>
      </c>
      <c r="E2532">
        <v>1.38</v>
      </c>
      <c r="F2532">
        <v>1.69</v>
      </c>
      <c r="G2532">
        <v>2.21</v>
      </c>
      <c r="H2532">
        <v>2.71</v>
      </c>
      <c r="I2532">
        <v>3.5</v>
      </c>
      <c r="K2532">
        <f t="shared" si="315"/>
        <v>0</v>
      </c>
      <c r="L2532">
        <f t="shared" si="316"/>
        <v>0</v>
      </c>
      <c r="M2532">
        <f t="shared" si="317"/>
        <v>2.0000000000000018</v>
      </c>
      <c r="N2532">
        <f t="shared" si="318"/>
        <v>2.9999999999999805</v>
      </c>
      <c r="O2532">
        <f t="shared" si="319"/>
        <v>3.0000000000000027</v>
      </c>
      <c r="P2532">
        <f t="shared" si="320"/>
        <v>0.99999999999997868</v>
      </c>
      <c r="Q2532">
        <f t="shared" si="321"/>
        <v>-1.0000000000000231</v>
      </c>
      <c r="R2532">
        <f t="shared" si="322"/>
        <v>-4.9999999999999822</v>
      </c>
    </row>
    <row r="2533" spans="1:18">
      <c r="A2533" s="9">
        <v>40406</v>
      </c>
      <c r="B2533">
        <v>0.47</v>
      </c>
      <c r="C2533">
        <v>0.71</v>
      </c>
      <c r="D2533">
        <v>1.02</v>
      </c>
      <c r="E2533">
        <v>1.34</v>
      </c>
      <c r="F2533">
        <v>1.65</v>
      </c>
      <c r="G2533">
        <v>2.13</v>
      </c>
      <c r="H2533">
        <v>2.59</v>
      </c>
      <c r="I2533">
        <v>3.32</v>
      </c>
      <c r="K2533">
        <f t="shared" si="315"/>
        <v>-2.0000000000000018</v>
      </c>
      <c r="L2533">
        <f t="shared" si="316"/>
        <v>-2.0000000000000018</v>
      </c>
      <c r="M2533">
        <f t="shared" si="317"/>
        <v>-3.0000000000000027</v>
      </c>
      <c r="N2533">
        <f t="shared" si="318"/>
        <v>-3.9999999999999813</v>
      </c>
      <c r="O2533">
        <f t="shared" si="319"/>
        <v>-4.0000000000000036</v>
      </c>
      <c r="P2533">
        <f t="shared" si="320"/>
        <v>-8.0000000000000071</v>
      </c>
      <c r="Q2533">
        <f t="shared" si="321"/>
        <v>-12.000000000000011</v>
      </c>
      <c r="R2533">
        <f t="shared" si="322"/>
        <v>-18.000000000000014</v>
      </c>
    </row>
    <row r="2534" spans="1:18">
      <c r="A2534" s="9">
        <v>40407</v>
      </c>
      <c r="B2534">
        <v>0.45</v>
      </c>
      <c r="C2534">
        <v>0.7</v>
      </c>
      <c r="D2534">
        <v>1.01</v>
      </c>
      <c r="E2534">
        <v>1.34</v>
      </c>
      <c r="F2534">
        <v>1.65</v>
      </c>
      <c r="G2534">
        <v>2.15</v>
      </c>
      <c r="H2534">
        <v>2.62</v>
      </c>
      <c r="I2534">
        <v>3.35</v>
      </c>
      <c r="K2534">
        <f t="shared" si="315"/>
        <v>-1.9999999999999962</v>
      </c>
      <c r="L2534">
        <f t="shared" si="316"/>
        <v>-1.0000000000000009</v>
      </c>
      <c r="M2534">
        <f t="shared" si="317"/>
        <v>-1.0000000000000009</v>
      </c>
      <c r="N2534">
        <f t="shared" si="318"/>
        <v>0</v>
      </c>
      <c r="O2534">
        <f t="shared" si="319"/>
        <v>0</v>
      </c>
      <c r="P2534">
        <f t="shared" si="320"/>
        <v>2.0000000000000018</v>
      </c>
      <c r="Q2534">
        <f t="shared" si="321"/>
        <v>3.0000000000000249</v>
      </c>
      <c r="R2534">
        <f t="shared" si="322"/>
        <v>3.0000000000000249</v>
      </c>
    </row>
    <row r="2535" spans="1:18">
      <c r="A2535" s="9">
        <v>40408</v>
      </c>
      <c r="B2535">
        <v>0.44</v>
      </c>
      <c r="C2535">
        <v>0.67</v>
      </c>
      <c r="D2535">
        <v>0.98</v>
      </c>
      <c r="E2535">
        <v>1.31</v>
      </c>
      <c r="F2535">
        <v>1.62</v>
      </c>
      <c r="G2535">
        <v>2.13</v>
      </c>
      <c r="H2535">
        <v>2.6</v>
      </c>
      <c r="I2535">
        <v>3.33</v>
      </c>
      <c r="K2535">
        <f t="shared" si="315"/>
        <v>-1.0000000000000009</v>
      </c>
      <c r="L2535">
        <f t="shared" si="316"/>
        <v>-2.9999999999999916</v>
      </c>
      <c r="M2535">
        <f t="shared" si="317"/>
        <v>-3.0000000000000027</v>
      </c>
      <c r="N2535">
        <f t="shared" si="318"/>
        <v>-3.0000000000000027</v>
      </c>
      <c r="O2535">
        <f t="shared" si="319"/>
        <v>-2.9999999999999805</v>
      </c>
      <c r="P2535">
        <f t="shared" si="320"/>
        <v>-2.0000000000000018</v>
      </c>
      <c r="Q2535">
        <f t="shared" si="321"/>
        <v>-2.0000000000000018</v>
      </c>
      <c r="R2535">
        <f t="shared" si="322"/>
        <v>-2.0000000000000018</v>
      </c>
    </row>
    <row r="2536" spans="1:18">
      <c r="A2536" s="9">
        <v>40409</v>
      </c>
      <c r="B2536">
        <v>0.43</v>
      </c>
      <c r="C2536">
        <v>0.66</v>
      </c>
      <c r="D2536">
        <v>0.98</v>
      </c>
      <c r="E2536">
        <v>1.31</v>
      </c>
      <c r="F2536">
        <v>1.61</v>
      </c>
      <c r="G2536">
        <v>2.12</v>
      </c>
      <c r="H2536">
        <v>2.59</v>
      </c>
      <c r="I2536">
        <v>3.28</v>
      </c>
      <c r="K2536">
        <f t="shared" si="315"/>
        <v>-1.0000000000000009</v>
      </c>
      <c r="L2536">
        <f t="shared" si="316"/>
        <v>-1.0000000000000009</v>
      </c>
      <c r="M2536">
        <f t="shared" si="317"/>
        <v>0</v>
      </c>
      <c r="N2536">
        <f t="shared" si="318"/>
        <v>0</v>
      </c>
      <c r="O2536">
        <f t="shared" si="319"/>
        <v>-1.0000000000000009</v>
      </c>
      <c r="P2536">
        <f t="shared" si="320"/>
        <v>-0.99999999999997868</v>
      </c>
      <c r="Q2536">
        <f t="shared" si="321"/>
        <v>-1.0000000000000231</v>
      </c>
      <c r="R2536">
        <f t="shared" si="322"/>
        <v>-5.0000000000000266</v>
      </c>
    </row>
    <row r="2537" spans="1:18">
      <c r="A2537" s="9">
        <v>40410</v>
      </c>
      <c r="B2537">
        <v>0.43</v>
      </c>
      <c r="C2537">
        <v>0.67</v>
      </c>
      <c r="D2537">
        <v>0.99</v>
      </c>
      <c r="E2537">
        <v>1.33</v>
      </c>
      <c r="F2537">
        <v>1.64</v>
      </c>
      <c r="G2537">
        <v>2.14</v>
      </c>
      <c r="H2537">
        <v>2.59</v>
      </c>
      <c r="I2537">
        <v>3.26</v>
      </c>
      <c r="K2537">
        <f t="shared" si="315"/>
        <v>0</v>
      </c>
      <c r="L2537">
        <f t="shared" si="316"/>
        <v>1.0000000000000009</v>
      </c>
      <c r="M2537">
        <f t="shared" si="317"/>
        <v>1.0000000000000009</v>
      </c>
      <c r="N2537">
        <f t="shared" si="318"/>
        <v>2.0000000000000018</v>
      </c>
      <c r="O2537">
        <f t="shared" si="319"/>
        <v>2.9999999999999805</v>
      </c>
      <c r="P2537">
        <f t="shared" si="320"/>
        <v>2.0000000000000018</v>
      </c>
      <c r="Q2537">
        <f t="shared" si="321"/>
        <v>0</v>
      </c>
      <c r="R2537">
        <f t="shared" si="322"/>
        <v>-2.0000000000000018</v>
      </c>
    </row>
    <row r="2538" spans="1:18">
      <c r="A2538" s="9">
        <v>40413</v>
      </c>
      <c r="B2538">
        <v>0.41</v>
      </c>
      <c r="C2538">
        <v>0.66</v>
      </c>
      <c r="D2538">
        <v>0.99</v>
      </c>
      <c r="E2538">
        <v>1.33</v>
      </c>
      <c r="F2538">
        <v>1.65</v>
      </c>
      <c r="G2538">
        <v>2.16</v>
      </c>
      <c r="H2538">
        <v>2.63</v>
      </c>
      <c r="I2538">
        <v>3.32</v>
      </c>
      <c r="K2538">
        <f t="shared" si="315"/>
        <v>-2.0000000000000018</v>
      </c>
      <c r="L2538">
        <f t="shared" si="316"/>
        <v>-1.0000000000000009</v>
      </c>
      <c r="M2538">
        <f t="shared" si="317"/>
        <v>0</v>
      </c>
      <c r="N2538">
        <f t="shared" si="318"/>
        <v>0</v>
      </c>
      <c r="O2538">
        <f t="shared" si="319"/>
        <v>1.0000000000000009</v>
      </c>
      <c r="P2538">
        <f t="shared" si="320"/>
        <v>2.0000000000000018</v>
      </c>
      <c r="Q2538">
        <f t="shared" si="321"/>
        <v>4.0000000000000036</v>
      </c>
      <c r="R2538">
        <f t="shared" si="322"/>
        <v>6.0000000000000053</v>
      </c>
    </row>
    <row r="2539" spans="1:18">
      <c r="A2539" s="9">
        <v>40414</v>
      </c>
      <c r="B2539">
        <v>0.41</v>
      </c>
      <c r="C2539">
        <v>0.65</v>
      </c>
      <c r="D2539">
        <v>0.94</v>
      </c>
      <c r="E2539">
        <v>1.26</v>
      </c>
      <c r="F2539">
        <v>1.57</v>
      </c>
      <c r="G2539">
        <v>2.08</v>
      </c>
      <c r="H2539">
        <v>2.54</v>
      </c>
      <c r="I2539">
        <v>3.24</v>
      </c>
      <c r="K2539">
        <f t="shared" si="315"/>
        <v>0</v>
      </c>
      <c r="L2539">
        <f t="shared" si="316"/>
        <v>-1.0000000000000009</v>
      </c>
      <c r="M2539">
        <f t="shared" si="317"/>
        <v>-5.0000000000000044</v>
      </c>
      <c r="N2539">
        <f t="shared" si="318"/>
        <v>-7.0000000000000062</v>
      </c>
      <c r="O2539">
        <f t="shared" si="319"/>
        <v>-7.9999999999999849</v>
      </c>
      <c r="P2539">
        <f t="shared" si="320"/>
        <v>-8.0000000000000071</v>
      </c>
      <c r="Q2539">
        <f t="shared" si="321"/>
        <v>-8.9999999999999858</v>
      </c>
      <c r="R2539">
        <f t="shared" si="322"/>
        <v>-7.9999999999999627</v>
      </c>
    </row>
    <row r="2540" spans="1:18">
      <c r="A2540" s="9">
        <v>40415</v>
      </c>
      <c r="B2540">
        <v>0.47</v>
      </c>
      <c r="C2540">
        <v>0.68</v>
      </c>
      <c r="D2540">
        <v>0.96</v>
      </c>
      <c r="E2540">
        <v>1.26</v>
      </c>
      <c r="F2540">
        <v>1.56</v>
      </c>
      <c r="G2540">
        <v>2.04</v>
      </c>
      <c r="H2540">
        <v>2.4900000000000002</v>
      </c>
      <c r="I2540">
        <v>3.16</v>
      </c>
      <c r="K2540">
        <f t="shared" si="315"/>
        <v>6</v>
      </c>
      <c r="L2540">
        <f t="shared" si="316"/>
        <v>3.0000000000000027</v>
      </c>
      <c r="M2540">
        <f t="shared" si="317"/>
        <v>2.0000000000000018</v>
      </c>
      <c r="N2540">
        <f t="shared" si="318"/>
        <v>0</v>
      </c>
      <c r="O2540">
        <f t="shared" si="319"/>
        <v>-1.0000000000000009</v>
      </c>
      <c r="P2540">
        <f t="shared" si="320"/>
        <v>-4.0000000000000036</v>
      </c>
      <c r="Q2540">
        <f t="shared" si="321"/>
        <v>-4.9999999999999822</v>
      </c>
      <c r="R2540">
        <f t="shared" si="322"/>
        <v>-8.0000000000000071</v>
      </c>
    </row>
    <row r="2541" spans="1:18">
      <c r="A2541" s="9">
        <v>40416</v>
      </c>
      <c r="B2541">
        <v>0.45</v>
      </c>
      <c r="C2541">
        <v>0.69</v>
      </c>
      <c r="D2541">
        <v>0.99</v>
      </c>
      <c r="E2541">
        <v>1.3</v>
      </c>
      <c r="F2541">
        <v>1.61</v>
      </c>
      <c r="G2541">
        <v>2.1</v>
      </c>
      <c r="H2541">
        <v>2.5499999999999998</v>
      </c>
      <c r="I2541">
        <v>3.2</v>
      </c>
      <c r="K2541">
        <f t="shared" si="315"/>
        <v>-1.9999999999999962</v>
      </c>
      <c r="L2541">
        <f t="shared" si="316"/>
        <v>0.99999999999998979</v>
      </c>
      <c r="M2541">
        <f t="shared" si="317"/>
        <v>3.0000000000000027</v>
      </c>
      <c r="N2541">
        <f t="shared" si="318"/>
        <v>4.0000000000000036</v>
      </c>
      <c r="O2541">
        <f t="shared" si="319"/>
        <v>5.0000000000000044</v>
      </c>
      <c r="P2541">
        <f t="shared" si="320"/>
        <v>6.0000000000000053</v>
      </c>
      <c r="Q2541">
        <f t="shared" si="321"/>
        <v>5.9999999999999609</v>
      </c>
      <c r="R2541">
        <f t="shared" si="322"/>
        <v>4.0000000000000036</v>
      </c>
    </row>
    <row r="2542" spans="1:18">
      <c r="A2542" s="9">
        <v>40417</v>
      </c>
      <c r="B2542">
        <v>0.45</v>
      </c>
      <c r="C2542">
        <v>0.7</v>
      </c>
      <c r="D2542">
        <v>1.01</v>
      </c>
      <c r="E2542">
        <v>1.34</v>
      </c>
      <c r="F2542">
        <v>1.65</v>
      </c>
      <c r="G2542">
        <v>2.15</v>
      </c>
      <c r="H2542">
        <v>2.59</v>
      </c>
      <c r="I2542">
        <v>3.24</v>
      </c>
      <c r="K2542">
        <f t="shared" si="315"/>
        <v>0</v>
      </c>
      <c r="L2542">
        <f t="shared" si="316"/>
        <v>1.0000000000000009</v>
      </c>
      <c r="M2542">
        <f t="shared" si="317"/>
        <v>2.0000000000000018</v>
      </c>
      <c r="N2542">
        <f t="shared" si="318"/>
        <v>4.0000000000000036</v>
      </c>
      <c r="O2542">
        <f t="shared" si="319"/>
        <v>3.9999999999999813</v>
      </c>
      <c r="P2542">
        <f t="shared" si="320"/>
        <v>4.9999999999999822</v>
      </c>
      <c r="Q2542">
        <f t="shared" si="321"/>
        <v>4.0000000000000036</v>
      </c>
      <c r="R2542">
        <f t="shared" si="322"/>
        <v>4.0000000000000036</v>
      </c>
    </row>
    <row r="2543" spans="1:18">
      <c r="A2543" s="9">
        <v>40420</v>
      </c>
      <c r="B2543">
        <v>0.42</v>
      </c>
      <c r="C2543">
        <v>0.67</v>
      </c>
      <c r="D2543">
        <v>0.98</v>
      </c>
      <c r="E2543">
        <v>1.31</v>
      </c>
      <c r="F2543">
        <v>1.63</v>
      </c>
      <c r="G2543">
        <v>2.13</v>
      </c>
      <c r="H2543">
        <v>2.59</v>
      </c>
      <c r="I2543">
        <v>3.27</v>
      </c>
      <c r="K2543">
        <f t="shared" si="315"/>
        <v>-3.0000000000000027</v>
      </c>
      <c r="L2543">
        <f t="shared" si="316"/>
        <v>-2.9999999999999916</v>
      </c>
      <c r="M2543">
        <f t="shared" si="317"/>
        <v>-3.0000000000000027</v>
      </c>
      <c r="N2543">
        <f t="shared" si="318"/>
        <v>-3.0000000000000027</v>
      </c>
      <c r="O2543">
        <f t="shared" si="319"/>
        <v>-2.0000000000000018</v>
      </c>
      <c r="P2543">
        <f t="shared" si="320"/>
        <v>-2.0000000000000018</v>
      </c>
      <c r="Q2543">
        <f t="shared" si="321"/>
        <v>0</v>
      </c>
      <c r="R2543">
        <f t="shared" si="322"/>
        <v>2.9999999999999805</v>
      </c>
    </row>
    <row r="2544" spans="1:18">
      <c r="A2544" s="9">
        <v>40421</v>
      </c>
      <c r="B2544">
        <v>0.43</v>
      </c>
      <c r="C2544">
        <v>0.66</v>
      </c>
      <c r="D2544">
        <v>0.96</v>
      </c>
      <c r="E2544">
        <v>1.28</v>
      </c>
      <c r="F2544">
        <v>1.59</v>
      </c>
      <c r="G2544">
        <v>2.0699999999999998</v>
      </c>
      <c r="H2544">
        <v>2.5099999999999998</v>
      </c>
      <c r="I2544">
        <v>3.18</v>
      </c>
      <c r="K2544">
        <f t="shared" si="315"/>
        <v>1.0000000000000009</v>
      </c>
      <c r="L2544">
        <f t="shared" si="316"/>
        <v>-1.0000000000000009</v>
      </c>
      <c r="M2544">
        <f t="shared" si="317"/>
        <v>-2.0000000000000018</v>
      </c>
      <c r="N2544">
        <f t="shared" si="318"/>
        <v>-3.0000000000000027</v>
      </c>
      <c r="O2544">
        <f t="shared" si="319"/>
        <v>-3.9999999999999813</v>
      </c>
      <c r="P2544">
        <f t="shared" si="320"/>
        <v>-6.0000000000000053</v>
      </c>
      <c r="Q2544">
        <f t="shared" si="321"/>
        <v>-8.0000000000000071</v>
      </c>
      <c r="R2544">
        <f t="shared" si="322"/>
        <v>-8.9999999999999858</v>
      </c>
    </row>
    <row r="2545" spans="1:18">
      <c r="A2545" s="9">
        <v>40422</v>
      </c>
      <c r="B2545">
        <v>0.45</v>
      </c>
      <c r="C2545">
        <v>0.69</v>
      </c>
      <c r="D2545">
        <v>1.01</v>
      </c>
      <c r="E2545">
        <v>1.34</v>
      </c>
      <c r="F2545">
        <v>1.66</v>
      </c>
      <c r="G2545">
        <v>2.17</v>
      </c>
      <c r="H2545">
        <v>2.63</v>
      </c>
      <c r="I2545">
        <v>3.32</v>
      </c>
      <c r="K2545">
        <f t="shared" si="315"/>
        <v>2.0000000000000018</v>
      </c>
      <c r="L2545">
        <f t="shared" si="316"/>
        <v>2.9999999999999916</v>
      </c>
      <c r="M2545">
        <f t="shared" si="317"/>
        <v>5.0000000000000044</v>
      </c>
      <c r="N2545">
        <f t="shared" si="318"/>
        <v>6.0000000000000053</v>
      </c>
      <c r="O2545">
        <f t="shared" si="319"/>
        <v>6.999999999999984</v>
      </c>
      <c r="P2545">
        <f t="shared" si="320"/>
        <v>10.000000000000009</v>
      </c>
      <c r="Q2545">
        <f t="shared" si="321"/>
        <v>12.000000000000011</v>
      </c>
      <c r="R2545">
        <f t="shared" si="322"/>
        <v>13.999999999999968</v>
      </c>
    </row>
    <row r="2546" spans="1:18">
      <c r="A2546" s="9">
        <v>40423</v>
      </c>
      <c r="B2546">
        <v>0.44</v>
      </c>
      <c r="C2546">
        <v>0.69</v>
      </c>
      <c r="D2546">
        <v>1.01</v>
      </c>
      <c r="E2546">
        <v>1.34</v>
      </c>
      <c r="F2546">
        <v>1.66</v>
      </c>
      <c r="G2546">
        <v>2.17</v>
      </c>
      <c r="H2546">
        <v>2.63</v>
      </c>
      <c r="I2546">
        <v>3.36</v>
      </c>
      <c r="K2546">
        <f t="shared" si="315"/>
        <v>-1.0000000000000009</v>
      </c>
      <c r="L2546">
        <f t="shared" si="316"/>
        <v>0</v>
      </c>
      <c r="M2546">
        <f t="shared" si="317"/>
        <v>0</v>
      </c>
      <c r="N2546">
        <f t="shared" si="318"/>
        <v>0</v>
      </c>
      <c r="O2546">
        <f t="shared" si="319"/>
        <v>0</v>
      </c>
      <c r="P2546">
        <f t="shared" si="320"/>
        <v>0</v>
      </c>
      <c r="Q2546">
        <f t="shared" si="321"/>
        <v>0</v>
      </c>
      <c r="R2546">
        <f t="shared" si="322"/>
        <v>4.0000000000000036</v>
      </c>
    </row>
    <row r="2547" spans="1:18">
      <c r="A2547" s="9">
        <v>40424</v>
      </c>
      <c r="B2547">
        <v>0.44</v>
      </c>
      <c r="C2547">
        <v>0.7</v>
      </c>
      <c r="D2547">
        <v>1.03</v>
      </c>
      <c r="E2547">
        <v>1.37</v>
      </c>
      <c r="F2547">
        <v>1.69</v>
      </c>
      <c r="G2547">
        <v>2.2200000000000002</v>
      </c>
      <c r="H2547">
        <v>2.7</v>
      </c>
      <c r="I2547">
        <v>3.42</v>
      </c>
      <c r="K2547">
        <f t="shared" si="315"/>
        <v>0</v>
      </c>
      <c r="L2547">
        <f t="shared" si="316"/>
        <v>1.0000000000000009</v>
      </c>
      <c r="M2547">
        <f t="shared" si="317"/>
        <v>2.0000000000000018</v>
      </c>
      <c r="N2547">
        <f t="shared" si="318"/>
        <v>3.0000000000000027</v>
      </c>
      <c r="O2547">
        <f t="shared" si="319"/>
        <v>3.0000000000000027</v>
      </c>
      <c r="P2547">
        <f t="shared" si="320"/>
        <v>5.0000000000000266</v>
      </c>
      <c r="Q2547">
        <f t="shared" si="321"/>
        <v>7.0000000000000284</v>
      </c>
      <c r="R2547">
        <f t="shared" si="322"/>
        <v>6.0000000000000053</v>
      </c>
    </row>
    <row r="2548" spans="1:18">
      <c r="A2548" s="9">
        <v>40428</v>
      </c>
      <c r="B2548">
        <v>0.44</v>
      </c>
      <c r="C2548">
        <v>0.68</v>
      </c>
      <c r="D2548">
        <v>0.98</v>
      </c>
      <c r="E2548">
        <v>1.31</v>
      </c>
      <c r="F2548">
        <v>1.62</v>
      </c>
      <c r="G2548">
        <v>2.13</v>
      </c>
      <c r="H2548">
        <v>2.6</v>
      </c>
      <c r="I2548">
        <v>3.31</v>
      </c>
      <c r="K2548">
        <f t="shared" si="315"/>
        <v>0</v>
      </c>
      <c r="L2548">
        <f t="shared" si="316"/>
        <v>-1.9999999999999907</v>
      </c>
      <c r="M2548">
        <f t="shared" si="317"/>
        <v>-5.0000000000000044</v>
      </c>
      <c r="N2548">
        <f t="shared" si="318"/>
        <v>-6.0000000000000053</v>
      </c>
      <c r="O2548">
        <f t="shared" si="319"/>
        <v>-6.999999999999984</v>
      </c>
      <c r="P2548">
        <f t="shared" si="320"/>
        <v>-9.0000000000000302</v>
      </c>
      <c r="Q2548">
        <f t="shared" si="321"/>
        <v>-10.000000000000009</v>
      </c>
      <c r="R2548">
        <f t="shared" si="322"/>
        <v>-10.999999999999988</v>
      </c>
    </row>
    <row r="2549" spans="1:18">
      <c r="A2549" s="9">
        <v>40429</v>
      </c>
      <c r="B2549">
        <v>0.48</v>
      </c>
      <c r="C2549">
        <v>0.7</v>
      </c>
      <c r="D2549">
        <v>1</v>
      </c>
      <c r="E2549">
        <v>1.32</v>
      </c>
      <c r="F2549">
        <v>1.63</v>
      </c>
      <c r="G2549">
        <v>2.15</v>
      </c>
      <c r="H2549">
        <v>2.62</v>
      </c>
      <c r="I2549">
        <v>3.35</v>
      </c>
      <c r="K2549">
        <f t="shared" si="315"/>
        <v>3.9999999999999982</v>
      </c>
      <c r="L2549">
        <f t="shared" si="316"/>
        <v>1.9999999999999907</v>
      </c>
      <c r="M2549">
        <f t="shared" si="317"/>
        <v>2.0000000000000018</v>
      </c>
      <c r="N2549">
        <f t="shared" si="318"/>
        <v>1.0000000000000009</v>
      </c>
      <c r="O2549">
        <f t="shared" si="319"/>
        <v>0.99999999999997868</v>
      </c>
      <c r="P2549">
        <f t="shared" si="320"/>
        <v>2.0000000000000018</v>
      </c>
      <c r="Q2549">
        <f t="shared" si="321"/>
        <v>2.0000000000000018</v>
      </c>
      <c r="R2549">
        <f t="shared" si="322"/>
        <v>4.0000000000000036</v>
      </c>
    </row>
    <row r="2550" spans="1:18">
      <c r="A2550" s="9">
        <v>40430</v>
      </c>
      <c r="B2550">
        <v>0.47</v>
      </c>
      <c r="C2550">
        <v>0.73</v>
      </c>
      <c r="D2550">
        <v>1.04</v>
      </c>
      <c r="E2550">
        <v>1.37</v>
      </c>
      <c r="F2550">
        <v>1.7</v>
      </c>
      <c r="G2550">
        <v>2.21</v>
      </c>
      <c r="H2550">
        <v>2.69</v>
      </c>
      <c r="I2550">
        <v>3.41</v>
      </c>
      <c r="K2550">
        <f t="shared" si="315"/>
        <v>-1.0000000000000009</v>
      </c>
      <c r="L2550">
        <f t="shared" si="316"/>
        <v>3.0000000000000027</v>
      </c>
      <c r="M2550">
        <f t="shared" si="317"/>
        <v>4.0000000000000036</v>
      </c>
      <c r="N2550">
        <f t="shared" si="318"/>
        <v>5.0000000000000044</v>
      </c>
      <c r="O2550">
        <f t="shared" si="319"/>
        <v>7.0000000000000062</v>
      </c>
      <c r="P2550">
        <f t="shared" si="320"/>
        <v>6.0000000000000053</v>
      </c>
      <c r="Q2550">
        <f t="shared" si="321"/>
        <v>6.999999999999984</v>
      </c>
      <c r="R2550">
        <f t="shared" si="322"/>
        <v>6.0000000000000053</v>
      </c>
    </row>
    <row r="2551" spans="1:18">
      <c r="A2551" s="9">
        <v>40431</v>
      </c>
      <c r="B2551">
        <v>0.49</v>
      </c>
      <c r="C2551">
        <v>0.78</v>
      </c>
      <c r="D2551">
        <v>1.1100000000000001</v>
      </c>
      <c r="E2551">
        <v>1.46</v>
      </c>
      <c r="F2551">
        <v>1.79</v>
      </c>
      <c r="G2551">
        <v>2.3199999999999998</v>
      </c>
      <c r="H2551">
        <v>2.8</v>
      </c>
      <c r="I2551">
        <v>3.51</v>
      </c>
      <c r="K2551">
        <f t="shared" si="315"/>
        <v>2.0000000000000018</v>
      </c>
      <c r="L2551">
        <f t="shared" si="316"/>
        <v>5.0000000000000044</v>
      </c>
      <c r="M2551">
        <f t="shared" si="317"/>
        <v>7.0000000000000062</v>
      </c>
      <c r="N2551">
        <f t="shared" si="318"/>
        <v>8.9999999999999858</v>
      </c>
      <c r="O2551">
        <f t="shared" si="319"/>
        <v>9.0000000000000071</v>
      </c>
      <c r="P2551">
        <f t="shared" si="320"/>
        <v>10.999999999999988</v>
      </c>
      <c r="Q2551">
        <f t="shared" si="321"/>
        <v>10.999999999999988</v>
      </c>
      <c r="R2551">
        <f t="shared" si="322"/>
        <v>9.9999999999999645</v>
      </c>
    </row>
    <row r="2552" spans="1:18">
      <c r="A2552" s="9">
        <v>40434</v>
      </c>
      <c r="B2552">
        <v>0.47</v>
      </c>
      <c r="C2552">
        <v>0.76</v>
      </c>
      <c r="D2552">
        <v>1.08</v>
      </c>
      <c r="E2552">
        <v>1.42</v>
      </c>
      <c r="F2552">
        <v>1.74</v>
      </c>
      <c r="G2552">
        <v>2.2799999999999998</v>
      </c>
      <c r="H2552">
        <v>2.76</v>
      </c>
      <c r="I2552">
        <v>3.51</v>
      </c>
      <c r="K2552">
        <f t="shared" si="315"/>
        <v>-2.0000000000000018</v>
      </c>
      <c r="L2552">
        <f t="shared" si="316"/>
        <v>-2.0000000000000018</v>
      </c>
      <c r="M2552">
        <f t="shared" si="317"/>
        <v>-3.0000000000000027</v>
      </c>
      <c r="N2552">
        <f t="shared" si="318"/>
        <v>-4.0000000000000036</v>
      </c>
      <c r="O2552">
        <f t="shared" si="319"/>
        <v>-5.0000000000000044</v>
      </c>
      <c r="P2552">
        <f t="shared" si="320"/>
        <v>-4.0000000000000036</v>
      </c>
      <c r="Q2552">
        <f t="shared" si="321"/>
        <v>-4.0000000000000036</v>
      </c>
      <c r="R2552">
        <f t="shared" si="322"/>
        <v>0</v>
      </c>
    </row>
    <row r="2553" spans="1:18">
      <c r="A2553" s="9">
        <v>40435</v>
      </c>
      <c r="B2553">
        <v>0.44</v>
      </c>
      <c r="C2553">
        <v>0.7</v>
      </c>
      <c r="D2553">
        <v>1.01</v>
      </c>
      <c r="E2553">
        <v>1.33</v>
      </c>
      <c r="F2553">
        <v>1.64</v>
      </c>
      <c r="G2553">
        <v>2.1800000000000002</v>
      </c>
      <c r="H2553">
        <v>2.67</v>
      </c>
      <c r="I2553">
        <v>3.43</v>
      </c>
      <c r="K2553">
        <f t="shared" si="315"/>
        <v>-2.9999999999999973</v>
      </c>
      <c r="L2553">
        <f t="shared" si="316"/>
        <v>-6.0000000000000053</v>
      </c>
      <c r="M2553">
        <f t="shared" si="317"/>
        <v>-7.0000000000000062</v>
      </c>
      <c r="N2553">
        <f t="shared" si="318"/>
        <v>-8.9999999999999858</v>
      </c>
      <c r="O2553">
        <f t="shared" si="319"/>
        <v>-10.000000000000009</v>
      </c>
      <c r="P2553">
        <f t="shared" si="320"/>
        <v>-9.9999999999999645</v>
      </c>
      <c r="Q2553">
        <f t="shared" si="321"/>
        <v>-8.9999999999999858</v>
      </c>
      <c r="R2553">
        <f t="shared" si="322"/>
        <v>-7.9999999999999627</v>
      </c>
    </row>
    <row r="2554" spans="1:18">
      <c r="A2554" s="9">
        <v>40436</v>
      </c>
      <c r="B2554">
        <v>0.43</v>
      </c>
      <c r="C2554">
        <v>0.66</v>
      </c>
      <c r="D2554">
        <v>0.97</v>
      </c>
      <c r="E2554">
        <v>1.29</v>
      </c>
      <c r="F2554">
        <v>1.61</v>
      </c>
      <c r="G2554">
        <v>2.16</v>
      </c>
      <c r="H2554">
        <v>2.67</v>
      </c>
      <c r="I2554">
        <v>3.46</v>
      </c>
      <c r="K2554">
        <f t="shared" si="315"/>
        <v>-1.0000000000000009</v>
      </c>
      <c r="L2554">
        <f t="shared" si="316"/>
        <v>-3.9999999999999925</v>
      </c>
      <c r="M2554">
        <f t="shared" si="317"/>
        <v>-4.0000000000000036</v>
      </c>
      <c r="N2554">
        <f t="shared" si="318"/>
        <v>-4.0000000000000036</v>
      </c>
      <c r="O2554">
        <f t="shared" si="319"/>
        <v>-2.9999999999999805</v>
      </c>
      <c r="P2554">
        <f t="shared" si="320"/>
        <v>-2.0000000000000018</v>
      </c>
      <c r="Q2554">
        <f t="shared" si="321"/>
        <v>0</v>
      </c>
      <c r="R2554">
        <f t="shared" si="322"/>
        <v>2.9999999999999805</v>
      </c>
    </row>
    <row r="2555" spans="1:18">
      <c r="A2555" s="9">
        <v>40437</v>
      </c>
      <c r="B2555">
        <v>0.43</v>
      </c>
      <c r="C2555">
        <v>0.68</v>
      </c>
      <c r="D2555">
        <v>1.01</v>
      </c>
      <c r="E2555">
        <v>1.36</v>
      </c>
      <c r="F2555">
        <v>1.7</v>
      </c>
      <c r="G2555">
        <v>2.2599999999999998</v>
      </c>
      <c r="H2555">
        <v>2.77</v>
      </c>
      <c r="I2555">
        <v>3.58</v>
      </c>
      <c r="K2555">
        <f t="shared" si="315"/>
        <v>0</v>
      </c>
      <c r="L2555">
        <f t="shared" si="316"/>
        <v>2.0000000000000018</v>
      </c>
      <c r="M2555">
        <f t="shared" si="317"/>
        <v>4.0000000000000036</v>
      </c>
      <c r="N2555">
        <f t="shared" si="318"/>
        <v>7.0000000000000062</v>
      </c>
      <c r="O2555">
        <f t="shared" si="319"/>
        <v>8.9999999999999858</v>
      </c>
      <c r="P2555">
        <f t="shared" si="320"/>
        <v>9.9999999999999645</v>
      </c>
      <c r="Q2555">
        <f t="shared" si="321"/>
        <v>10.000000000000009</v>
      </c>
      <c r="R2555">
        <f t="shared" si="322"/>
        <v>12.000000000000011</v>
      </c>
    </row>
    <row r="2556" spans="1:18">
      <c r="A2556" s="9">
        <v>40438</v>
      </c>
      <c r="B2556">
        <v>0.44</v>
      </c>
      <c r="C2556">
        <v>0.68</v>
      </c>
      <c r="D2556">
        <v>0.99</v>
      </c>
      <c r="E2556">
        <v>1.34</v>
      </c>
      <c r="F2556">
        <v>1.67</v>
      </c>
      <c r="G2556">
        <v>2.2400000000000002</v>
      </c>
      <c r="H2556">
        <v>2.75</v>
      </c>
      <c r="I2556">
        <v>3.55</v>
      </c>
      <c r="K2556">
        <f t="shared" si="315"/>
        <v>1.0000000000000009</v>
      </c>
      <c r="L2556">
        <f t="shared" si="316"/>
        <v>0</v>
      </c>
      <c r="M2556">
        <f t="shared" si="317"/>
        <v>-2.0000000000000018</v>
      </c>
      <c r="N2556">
        <f t="shared" si="318"/>
        <v>-2.0000000000000018</v>
      </c>
      <c r="O2556">
        <f t="shared" si="319"/>
        <v>-3.0000000000000027</v>
      </c>
      <c r="P2556">
        <f t="shared" si="320"/>
        <v>-1.9999999999999574</v>
      </c>
      <c r="Q2556">
        <f t="shared" si="321"/>
        <v>-2.0000000000000018</v>
      </c>
      <c r="R2556">
        <f t="shared" si="322"/>
        <v>-3.0000000000000249</v>
      </c>
    </row>
    <row r="2557" spans="1:18">
      <c r="A2557" s="9">
        <v>40441</v>
      </c>
      <c r="B2557">
        <v>0.44</v>
      </c>
      <c r="C2557">
        <v>0.69</v>
      </c>
      <c r="D2557">
        <v>1.01</v>
      </c>
      <c r="E2557">
        <v>1.35</v>
      </c>
      <c r="F2557">
        <v>1.7</v>
      </c>
      <c r="G2557">
        <v>2.25</v>
      </c>
      <c r="H2557">
        <v>2.76</v>
      </c>
      <c r="I2557">
        <v>3.55</v>
      </c>
      <c r="K2557">
        <f t="shared" si="315"/>
        <v>0</v>
      </c>
      <c r="L2557">
        <f t="shared" si="316"/>
        <v>0.99999999999998979</v>
      </c>
      <c r="M2557">
        <f t="shared" si="317"/>
        <v>2.0000000000000018</v>
      </c>
      <c r="N2557">
        <f t="shared" si="318"/>
        <v>1.0000000000000009</v>
      </c>
      <c r="O2557">
        <f t="shared" si="319"/>
        <v>3.0000000000000027</v>
      </c>
      <c r="P2557">
        <f t="shared" si="320"/>
        <v>0.99999999999997868</v>
      </c>
      <c r="Q2557">
        <f t="shared" si="321"/>
        <v>0.99999999999997868</v>
      </c>
      <c r="R2557">
        <f t="shared" si="322"/>
        <v>0</v>
      </c>
    </row>
    <row r="2558" spans="1:18">
      <c r="A2558" s="9">
        <v>40442</v>
      </c>
      <c r="B2558">
        <v>0.43</v>
      </c>
      <c r="C2558">
        <v>0.66</v>
      </c>
      <c r="D2558">
        <v>0.97</v>
      </c>
      <c r="E2558">
        <v>1.31</v>
      </c>
      <c r="F2558">
        <v>1.64</v>
      </c>
      <c r="G2558">
        <v>2.19</v>
      </c>
      <c r="H2558">
        <v>2.7</v>
      </c>
      <c r="I2558">
        <v>3.5</v>
      </c>
      <c r="K2558">
        <f t="shared" si="315"/>
        <v>-1.0000000000000009</v>
      </c>
      <c r="L2558">
        <f t="shared" si="316"/>
        <v>-2.9999999999999916</v>
      </c>
      <c r="M2558">
        <f t="shared" si="317"/>
        <v>-4.0000000000000036</v>
      </c>
      <c r="N2558">
        <f t="shared" si="318"/>
        <v>-4.0000000000000036</v>
      </c>
      <c r="O2558">
        <f t="shared" si="319"/>
        <v>-6.0000000000000053</v>
      </c>
      <c r="P2558">
        <f t="shared" si="320"/>
        <v>-6.0000000000000053</v>
      </c>
      <c r="Q2558">
        <f t="shared" si="321"/>
        <v>-5.9999999999999609</v>
      </c>
      <c r="R2558">
        <f t="shared" si="322"/>
        <v>-4.9999999999999822</v>
      </c>
    </row>
    <row r="2559" spans="1:18">
      <c r="A2559" s="9">
        <v>40443</v>
      </c>
      <c r="B2559">
        <v>0.4</v>
      </c>
      <c r="C2559">
        <v>0.61</v>
      </c>
      <c r="D2559">
        <v>0.9</v>
      </c>
      <c r="E2559">
        <v>1.22</v>
      </c>
      <c r="F2559">
        <v>1.53</v>
      </c>
      <c r="G2559">
        <v>2.0699999999999998</v>
      </c>
      <c r="H2559">
        <v>2.57</v>
      </c>
      <c r="I2559">
        <v>3.39</v>
      </c>
      <c r="K2559">
        <f t="shared" si="315"/>
        <v>-2.9999999999999973</v>
      </c>
      <c r="L2559">
        <f t="shared" si="316"/>
        <v>-5.0000000000000044</v>
      </c>
      <c r="M2559">
        <f t="shared" si="317"/>
        <v>-6.9999999999999947</v>
      </c>
      <c r="N2559">
        <f t="shared" si="318"/>
        <v>-9.0000000000000071</v>
      </c>
      <c r="O2559">
        <f t="shared" si="319"/>
        <v>-10.999999999999988</v>
      </c>
      <c r="P2559">
        <f t="shared" si="320"/>
        <v>-12.000000000000011</v>
      </c>
      <c r="Q2559">
        <f t="shared" si="321"/>
        <v>-13.000000000000034</v>
      </c>
      <c r="R2559">
        <f t="shared" si="322"/>
        <v>-10.999999999999988</v>
      </c>
    </row>
    <row r="2560" spans="1:18">
      <c r="A2560" s="9">
        <v>40444</v>
      </c>
      <c r="B2560">
        <v>0.41</v>
      </c>
      <c r="C2560">
        <v>0.62</v>
      </c>
      <c r="D2560">
        <v>0.9</v>
      </c>
      <c r="E2560">
        <v>1.22</v>
      </c>
      <c r="F2560">
        <v>1.53</v>
      </c>
      <c r="G2560">
        <v>2.06</v>
      </c>
      <c r="H2560">
        <v>2.56</v>
      </c>
      <c r="I2560">
        <v>3.36</v>
      </c>
      <c r="K2560">
        <f t="shared" si="315"/>
        <v>0.99999999999999534</v>
      </c>
      <c r="L2560">
        <f t="shared" si="316"/>
        <v>1.0000000000000009</v>
      </c>
      <c r="M2560">
        <f t="shared" si="317"/>
        <v>0</v>
      </c>
      <c r="N2560">
        <f t="shared" si="318"/>
        <v>0</v>
      </c>
      <c r="O2560">
        <f t="shared" si="319"/>
        <v>0</v>
      </c>
      <c r="P2560">
        <f t="shared" si="320"/>
        <v>-0.99999999999997868</v>
      </c>
      <c r="Q2560">
        <f t="shared" si="321"/>
        <v>-0.99999999999997868</v>
      </c>
      <c r="R2560">
        <f t="shared" si="322"/>
        <v>-3.0000000000000249</v>
      </c>
    </row>
    <row r="2561" spans="1:18">
      <c r="A2561" s="9">
        <v>40445</v>
      </c>
      <c r="B2561">
        <v>0.42</v>
      </c>
      <c r="C2561">
        <v>0.63</v>
      </c>
      <c r="D2561">
        <v>0.93</v>
      </c>
      <c r="E2561">
        <v>1.26</v>
      </c>
      <c r="F2561">
        <v>1.59</v>
      </c>
      <c r="G2561">
        <v>2.13</v>
      </c>
      <c r="H2561">
        <v>2.64</v>
      </c>
      <c r="I2561">
        <v>3.42</v>
      </c>
      <c r="K2561">
        <f t="shared" si="315"/>
        <v>1.0000000000000009</v>
      </c>
      <c r="L2561">
        <f t="shared" si="316"/>
        <v>1.0000000000000009</v>
      </c>
      <c r="M2561">
        <f t="shared" si="317"/>
        <v>3.0000000000000027</v>
      </c>
      <c r="N2561">
        <f t="shared" si="318"/>
        <v>4.0000000000000036</v>
      </c>
      <c r="O2561">
        <f t="shared" si="319"/>
        <v>6.0000000000000053</v>
      </c>
      <c r="P2561">
        <f t="shared" si="320"/>
        <v>6.999999999999984</v>
      </c>
      <c r="Q2561">
        <f t="shared" si="321"/>
        <v>8.0000000000000071</v>
      </c>
      <c r="R2561">
        <f t="shared" si="322"/>
        <v>6.0000000000000053</v>
      </c>
    </row>
    <row r="2562" spans="1:18">
      <c r="A2562" s="9">
        <v>40448</v>
      </c>
      <c r="B2562">
        <v>0.41</v>
      </c>
      <c r="C2562">
        <v>0.61</v>
      </c>
      <c r="D2562">
        <v>0.89</v>
      </c>
      <c r="E2562">
        <v>1.21</v>
      </c>
      <c r="F2562">
        <v>1.53</v>
      </c>
      <c r="G2562">
        <v>2.0699999999999998</v>
      </c>
      <c r="H2562">
        <v>2.59</v>
      </c>
      <c r="I2562">
        <v>3.36</v>
      </c>
      <c r="K2562">
        <f t="shared" si="315"/>
        <v>-1.0000000000000009</v>
      </c>
      <c r="L2562">
        <f t="shared" si="316"/>
        <v>-2.0000000000000018</v>
      </c>
      <c r="M2562">
        <f t="shared" si="317"/>
        <v>-4.0000000000000036</v>
      </c>
      <c r="N2562">
        <f t="shared" si="318"/>
        <v>-5.0000000000000044</v>
      </c>
      <c r="O2562">
        <f t="shared" si="319"/>
        <v>-6.0000000000000053</v>
      </c>
      <c r="P2562">
        <f t="shared" si="320"/>
        <v>-6.0000000000000053</v>
      </c>
      <c r="Q2562">
        <f t="shared" si="321"/>
        <v>-5.0000000000000266</v>
      </c>
      <c r="R2562">
        <f t="shared" si="322"/>
        <v>-6.0000000000000053</v>
      </c>
    </row>
    <row r="2563" spans="1:18">
      <c r="A2563" s="9">
        <v>40449</v>
      </c>
      <c r="B2563">
        <v>0.41</v>
      </c>
      <c r="C2563">
        <v>0.6</v>
      </c>
      <c r="D2563">
        <v>0.86</v>
      </c>
      <c r="E2563">
        <v>1.1599999999999999</v>
      </c>
      <c r="F2563">
        <v>1.48</v>
      </c>
      <c r="G2563">
        <v>2.0099999999999998</v>
      </c>
      <c r="H2563">
        <v>2.5099999999999998</v>
      </c>
      <c r="I2563">
        <v>3.29</v>
      </c>
      <c r="K2563">
        <f t="shared" si="315"/>
        <v>0</v>
      </c>
      <c r="L2563">
        <f t="shared" si="316"/>
        <v>-1.0000000000000009</v>
      </c>
      <c r="M2563">
        <f t="shared" si="317"/>
        <v>-3.0000000000000027</v>
      </c>
      <c r="N2563">
        <f t="shared" si="318"/>
        <v>-5.0000000000000044</v>
      </c>
      <c r="O2563">
        <f t="shared" si="319"/>
        <v>-5.0000000000000044</v>
      </c>
      <c r="P2563">
        <f t="shared" si="320"/>
        <v>-6.0000000000000053</v>
      </c>
      <c r="Q2563">
        <f t="shared" si="321"/>
        <v>-8.0000000000000071</v>
      </c>
      <c r="R2563">
        <f t="shared" si="322"/>
        <v>-6.999999999999984</v>
      </c>
    </row>
    <row r="2564" spans="1:18">
      <c r="A2564" s="9">
        <v>40450</v>
      </c>
      <c r="B2564">
        <v>0.4</v>
      </c>
      <c r="C2564">
        <v>0.59</v>
      </c>
      <c r="D2564">
        <v>0.85</v>
      </c>
      <c r="E2564">
        <v>1.1499999999999999</v>
      </c>
      <c r="F2564">
        <v>1.47</v>
      </c>
      <c r="G2564">
        <v>2</v>
      </c>
      <c r="H2564">
        <v>2.5</v>
      </c>
      <c r="I2564">
        <v>3.27</v>
      </c>
      <c r="K2564">
        <f t="shared" si="315"/>
        <v>-0.99999999999999534</v>
      </c>
      <c r="L2564">
        <f t="shared" si="316"/>
        <v>-1.0000000000000009</v>
      </c>
      <c r="M2564">
        <f t="shared" si="317"/>
        <v>-1.0000000000000009</v>
      </c>
      <c r="N2564">
        <f t="shared" si="318"/>
        <v>-1.0000000000000009</v>
      </c>
      <c r="O2564">
        <f t="shared" si="319"/>
        <v>-1.0000000000000009</v>
      </c>
      <c r="P2564">
        <f t="shared" si="320"/>
        <v>-0.99999999999997868</v>
      </c>
      <c r="Q2564">
        <f t="shared" si="321"/>
        <v>-0.99999999999997868</v>
      </c>
      <c r="R2564">
        <f t="shared" si="322"/>
        <v>-2.0000000000000018</v>
      </c>
    </row>
    <row r="2565" spans="1:18">
      <c r="A2565" s="9">
        <v>40451</v>
      </c>
      <c r="B2565">
        <v>0.4</v>
      </c>
      <c r="C2565">
        <v>0.61</v>
      </c>
      <c r="D2565">
        <v>0.89</v>
      </c>
      <c r="E2565">
        <v>1.21</v>
      </c>
      <c r="F2565">
        <v>1.53</v>
      </c>
      <c r="G2565">
        <v>2.08</v>
      </c>
      <c r="H2565">
        <v>2.59</v>
      </c>
      <c r="I2565">
        <v>3.35</v>
      </c>
      <c r="K2565">
        <f t="shared" ref="K2565:K2628" si="323">(B2565-B2564)*100</f>
        <v>0</v>
      </c>
      <c r="L2565">
        <f t="shared" ref="L2565:L2628" si="324">(C2565-C2564)*100</f>
        <v>2.0000000000000018</v>
      </c>
      <c r="M2565">
        <f t="shared" ref="M2565:M2628" si="325">(D2565-D2564)*100</f>
        <v>4.0000000000000036</v>
      </c>
      <c r="N2565">
        <f t="shared" ref="N2565:N2628" si="326">(E2565-E2564)*100</f>
        <v>6.0000000000000053</v>
      </c>
      <c r="O2565">
        <f t="shared" ref="O2565:O2628" si="327">(F2565-F2564)*100</f>
        <v>6.0000000000000053</v>
      </c>
      <c r="P2565">
        <f t="shared" ref="P2565:P2628" si="328">(G2565-G2564)*100</f>
        <v>8.0000000000000071</v>
      </c>
      <c r="Q2565">
        <f t="shared" ref="Q2565:Q2628" si="329">(H2565-H2564)*100</f>
        <v>8.9999999999999858</v>
      </c>
      <c r="R2565">
        <f t="shared" ref="R2565:R2628" si="330">(I2565-I2564)*100</f>
        <v>8.0000000000000071</v>
      </c>
    </row>
    <row r="2566" spans="1:18">
      <c r="A2566" s="9">
        <v>40452</v>
      </c>
      <c r="B2566">
        <v>0.41</v>
      </c>
      <c r="C2566">
        <v>0.61</v>
      </c>
      <c r="D2566">
        <v>0.88</v>
      </c>
      <c r="E2566">
        <v>1.2</v>
      </c>
      <c r="F2566">
        <v>1.53</v>
      </c>
      <c r="G2566">
        <v>2.08</v>
      </c>
      <c r="H2566">
        <v>2.6</v>
      </c>
      <c r="I2566">
        <v>3.37</v>
      </c>
      <c r="K2566">
        <f t="shared" si="323"/>
        <v>0.99999999999999534</v>
      </c>
      <c r="L2566">
        <f t="shared" si="324"/>
        <v>0</v>
      </c>
      <c r="M2566">
        <f t="shared" si="325"/>
        <v>-1.0000000000000009</v>
      </c>
      <c r="N2566">
        <f t="shared" si="326"/>
        <v>-1.0000000000000009</v>
      </c>
      <c r="O2566">
        <f t="shared" si="327"/>
        <v>0</v>
      </c>
      <c r="P2566">
        <f t="shared" si="328"/>
        <v>0</v>
      </c>
      <c r="Q2566">
        <f t="shared" si="329"/>
        <v>1.0000000000000231</v>
      </c>
      <c r="R2566">
        <f t="shared" si="330"/>
        <v>2.0000000000000018</v>
      </c>
    </row>
    <row r="2567" spans="1:18">
      <c r="A2567" s="9">
        <v>40455</v>
      </c>
      <c r="B2567">
        <v>0.41</v>
      </c>
      <c r="C2567">
        <v>0.6</v>
      </c>
      <c r="D2567">
        <v>0.86</v>
      </c>
      <c r="E2567">
        <v>1.17</v>
      </c>
      <c r="F2567">
        <v>1.49</v>
      </c>
      <c r="G2567">
        <v>2.04</v>
      </c>
      <c r="H2567">
        <v>2.56</v>
      </c>
      <c r="I2567">
        <v>3.35</v>
      </c>
      <c r="K2567">
        <f t="shared" si="323"/>
        <v>0</v>
      </c>
      <c r="L2567">
        <f t="shared" si="324"/>
        <v>-1.0000000000000009</v>
      </c>
      <c r="M2567">
        <f t="shared" si="325"/>
        <v>-2.0000000000000018</v>
      </c>
      <c r="N2567">
        <f t="shared" si="326"/>
        <v>-3.0000000000000027</v>
      </c>
      <c r="O2567">
        <f t="shared" si="327"/>
        <v>-4.0000000000000036</v>
      </c>
      <c r="P2567">
        <f t="shared" si="328"/>
        <v>-4.0000000000000036</v>
      </c>
      <c r="Q2567">
        <f t="shared" si="329"/>
        <v>-4.0000000000000036</v>
      </c>
      <c r="R2567">
        <f t="shared" si="330"/>
        <v>-2.0000000000000018</v>
      </c>
    </row>
    <row r="2568" spans="1:18">
      <c r="A2568" s="9">
        <v>40456</v>
      </c>
      <c r="B2568">
        <v>0.4</v>
      </c>
      <c r="C2568">
        <v>0.6</v>
      </c>
      <c r="D2568">
        <v>0.85</v>
      </c>
      <c r="E2568">
        <v>1.1599999999999999</v>
      </c>
      <c r="F2568">
        <v>1.49</v>
      </c>
      <c r="G2568">
        <v>2.04</v>
      </c>
      <c r="H2568">
        <v>2.56</v>
      </c>
      <c r="I2568">
        <v>3.36</v>
      </c>
      <c r="K2568">
        <f t="shared" si="323"/>
        <v>-0.99999999999999534</v>
      </c>
      <c r="L2568">
        <f t="shared" si="324"/>
        <v>0</v>
      </c>
      <c r="M2568">
        <f t="shared" si="325"/>
        <v>-1.0000000000000009</v>
      </c>
      <c r="N2568">
        <f t="shared" si="326"/>
        <v>-1.0000000000000009</v>
      </c>
      <c r="O2568">
        <f t="shared" si="327"/>
        <v>0</v>
      </c>
      <c r="P2568">
        <f t="shared" si="328"/>
        <v>0</v>
      </c>
      <c r="Q2568">
        <f t="shared" si="329"/>
        <v>0</v>
      </c>
      <c r="R2568">
        <f t="shared" si="330"/>
        <v>0.99999999999997868</v>
      </c>
    </row>
    <row r="2569" spans="1:18">
      <c r="A2569" s="9">
        <v>40457</v>
      </c>
      <c r="B2569">
        <v>0.37</v>
      </c>
      <c r="C2569">
        <v>0.55000000000000004</v>
      </c>
      <c r="D2569">
        <v>0.8</v>
      </c>
      <c r="E2569">
        <v>1.1000000000000001</v>
      </c>
      <c r="F2569">
        <v>1.42</v>
      </c>
      <c r="G2569">
        <v>1.97</v>
      </c>
      <c r="H2569">
        <v>2.4900000000000002</v>
      </c>
      <c r="I2569">
        <v>3.31</v>
      </c>
      <c r="K2569">
        <f t="shared" si="323"/>
        <v>-3.0000000000000027</v>
      </c>
      <c r="L2569">
        <f t="shared" si="324"/>
        <v>-4.9999999999999929</v>
      </c>
      <c r="M2569">
        <f t="shared" si="325"/>
        <v>-4.9999999999999929</v>
      </c>
      <c r="N2569">
        <f t="shared" si="326"/>
        <v>-5.9999999999999831</v>
      </c>
      <c r="O2569">
        <f t="shared" si="327"/>
        <v>-7.0000000000000062</v>
      </c>
      <c r="P2569">
        <f t="shared" si="328"/>
        <v>-7.0000000000000062</v>
      </c>
      <c r="Q2569">
        <f t="shared" si="329"/>
        <v>-6.999999999999984</v>
      </c>
      <c r="R2569">
        <f t="shared" si="330"/>
        <v>-4.9999999999999822</v>
      </c>
    </row>
    <row r="2570" spans="1:18">
      <c r="A2570" s="9">
        <v>40458</v>
      </c>
      <c r="B2570">
        <v>0.37</v>
      </c>
      <c r="C2570">
        <v>0.53</v>
      </c>
      <c r="D2570">
        <v>0.79</v>
      </c>
      <c r="E2570">
        <v>1.1000000000000001</v>
      </c>
      <c r="F2570">
        <v>1.42</v>
      </c>
      <c r="G2570">
        <v>1.97</v>
      </c>
      <c r="H2570">
        <v>2.5</v>
      </c>
      <c r="I2570">
        <v>3.35</v>
      </c>
      <c r="K2570">
        <f t="shared" si="323"/>
        <v>0</v>
      </c>
      <c r="L2570">
        <f t="shared" si="324"/>
        <v>-2.0000000000000018</v>
      </c>
      <c r="M2570">
        <f t="shared" si="325"/>
        <v>-1.0000000000000009</v>
      </c>
      <c r="N2570">
        <f t="shared" si="326"/>
        <v>0</v>
      </c>
      <c r="O2570">
        <f t="shared" si="327"/>
        <v>0</v>
      </c>
      <c r="P2570">
        <f t="shared" si="328"/>
        <v>0</v>
      </c>
      <c r="Q2570">
        <f t="shared" si="329"/>
        <v>0.99999999999997868</v>
      </c>
      <c r="R2570">
        <f t="shared" si="330"/>
        <v>4.0000000000000036</v>
      </c>
    </row>
    <row r="2571" spans="1:18">
      <c r="A2571" s="9">
        <v>40459</v>
      </c>
      <c r="B2571">
        <v>0.36</v>
      </c>
      <c r="C2571">
        <v>0.52</v>
      </c>
      <c r="D2571">
        <v>0.75</v>
      </c>
      <c r="E2571">
        <v>1.04</v>
      </c>
      <c r="F2571">
        <v>1.36</v>
      </c>
      <c r="G2571">
        <v>1.92</v>
      </c>
      <c r="H2571">
        <v>2.4500000000000002</v>
      </c>
      <c r="I2571">
        <v>3.32</v>
      </c>
      <c r="K2571">
        <f t="shared" si="323"/>
        <v>-1.0000000000000009</v>
      </c>
      <c r="L2571">
        <f t="shared" si="324"/>
        <v>-1.0000000000000009</v>
      </c>
      <c r="M2571">
        <f t="shared" si="325"/>
        <v>-4.0000000000000036</v>
      </c>
      <c r="N2571">
        <f t="shared" si="326"/>
        <v>-6.0000000000000053</v>
      </c>
      <c r="O2571">
        <f t="shared" si="327"/>
        <v>-5.9999999999999831</v>
      </c>
      <c r="P2571">
        <f t="shared" si="328"/>
        <v>-5.0000000000000044</v>
      </c>
      <c r="Q2571">
        <f t="shared" si="329"/>
        <v>-4.9999999999999822</v>
      </c>
      <c r="R2571">
        <f t="shared" si="330"/>
        <v>-3.0000000000000249</v>
      </c>
    </row>
    <row r="2572" spans="1:18">
      <c r="A2572" s="9">
        <v>40463</v>
      </c>
      <c r="B2572">
        <v>0.36</v>
      </c>
      <c r="C2572">
        <v>0.52</v>
      </c>
      <c r="D2572">
        <v>0.76</v>
      </c>
      <c r="E2572">
        <v>1.05</v>
      </c>
      <c r="F2572">
        <v>1.37</v>
      </c>
      <c r="G2572">
        <v>1.93</v>
      </c>
      <c r="H2572">
        <v>2.4700000000000002</v>
      </c>
      <c r="I2572">
        <v>3.38</v>
      </c>
      <c r="K2572">
        <f t="shared" si="323"/>
        <v>0</v>
      </c>
      <c r="L2572">
        <f t="shared" si="324"/>
        <v>0</v>
      </c>
      <c r="M2572">
        <f t="shared" si="325"/>
        <v>1.0000000000000009</v>
      </c>
      <c r="N2572">
        <f t="shared" si="326"/>
        <v>1.0000000000000009</v>
      </c>
      <c r="O2572">
        <f t="shared" si="327"/>
        <v>1.0000000000000009</v>
      </c>
      <c r="P2572">
        <f t="shared" si="328"/>
        <v>1.0000000000000009</v>
      </c>
      <c r="Q2572">
        <f t="shared" si="329"/>
        <v>2.0000000000000018</v>
      </c>
      <c r="R2572">
        <f t="shared" si="330"/>
        <v>6.0000000000000053</v>
      </c>
    </row>
    <row r="2573" spans="1:18">
      <c r="A2573" s="9">
        <v>40464</v>
      </c>
      <c r="B2573">
        <v>0.36</v>
      </c>
      <c r="C2573">
        <v>0.52</v>
      </c>
      <c r="D2573">
        <v>0.76</v>
      </c>
      <c r="E2573">
        <v>1.06</v>
      </c>
      <c r="F2573">
        <v>1.38</v>
      </c>
      <c r="G2573">
        <v>1.97</v>
      </c>
      <c r="H2573">
        <v>2.5299999999999998</v>
      </c>
      <c r="I2573">
        <v>3.48</v>
      </c>
      <c r="K2573">
        <f t="shared" si="323"/>
        <v>0</v>
      </c>
      <c r="L2573">
        <f t="shared" si="324"/>
        <v>0</v>
      </c>
      <c r="M2573">
        <f t="shared" si="325"/>
        <v>0</v>
      </c>
      <c r="N2573">
        <f t="shared" si="326"/>
        <v>1.0000000000000009</v>
      </c>
      <c r="O2573">
        <f t="shared" si="327"/>
        <v>0.99999999999997868</v>
      </c>
      <c r="P2573">
        <f t="shared" si="328"/>
        <v>4.0000000000000036</v>
      </c>
      <c r="Q2573">
        <f t="shared" si="329"/>
        <v>5.9999999999999609</v>
      </c>
      <c r="R2573">
        <f t="shared" si="330"/>
        <v>10.000000000000009</v>
      </c>
    </row>
    <row r="2574" spans="1:18">
      <c r="A2574" s="9">
        <v>40465</v>
      </c>
      <c r="B2574">
        <v>0.38</v>
      </c>
      <c r="C2574">
        <v>0.54</v>
      </c>
      <c r="D2574">
        <v>0.79</v>
      </c>
      <c r="E2574">
        <v>1.0900000000000001</v>
      </c>
      <c r="F2574">
        <v>1.41</v>
      </c>
      <c r="G2574">
        <v>1.98</v>
      </c>
      <c r="H2574">
        <v>2.5299999999999998</v>
      </c>
      <c r="I2574">
        <v>3.45</v>
      </c>
      <c r="K2574">
        <f t="shared" si="323"/>
        <v>2.0000000000000018</v>
      </c>
      <c r="L2574">
        <f t="shared" si="324"/>
        <v>2.0000000000000018</v>
      </c>
      <c r="M2574">
        <f t="shared" si="325"/>
        <v>3.0000000000000027</v>
      </c>
      <c r="N2574">
        <f t="shared" si="326"/>
        <v>3.0000000000000027</v>
      </c>
      <c r="O2574">
        <f t="shared" si="327"/>
        <v>3.0000000000000027</v>
      </c>
      <c r="P2574">
        <f t="shared" si="328"/>
        <v>1.0000000000000009</v>
      </c>
      <c r="Q2574">
        <f t="shared" si="329"/>
        <v>0</v>
      </c>
      <c r="R2574">
        <f t="shared" si="330"/>
        <v>-2.9999999999999805</v>
      </c>
    </row>
    <row r="2575" spans="1:18">
      <c r="A2575" s="9">
        <v>40466</v>
      </c>
      <c r="B2575">
        <v>0.38</v>
      </c>
      <c r="C2575">
        <v>0.53</v>
      </c>
      <c r="D2575">
        <v>0.78</v>
      </c>
      <c r="E2575">
        <v>1.0900000000000001</v>
      </c>
      <c r="F2575">
        <v>1.42</v>
      </c>
      <c r="G2575">
        <v>2.0299999999999998</v>
      </c>
      <c r="H2575">
        <v>2.62</v>
      </c>
      <c r="I2575">
        <v>3.59</v>
      </c>
      <c r="K2575">
        <f t="shared" si="323"/>
        <v>0</v>
      </c>
      <c r="L2575">
        <f t="shared" si="324"/>
        <v>-1.0000000000000009</v>
      </c>
      <c r="M2575">
        <f t="shared" si="325"/>
        <v>-1.0000000000000009</v>
      </c>
      <c r="N2575">
        <f t="shared" si="326"/>
        <v>0</v>
      </c>
      <c r="O2575">
        <f t="shared" si="327"/>
        <v>1.0000000000000009</v>
      </c>
      <c r="P2575">
        <f t="shared" si="328"/>
        <v>4.9999999999999822</v>
      </c>
      <c r="Q2575">
        <f t="shared" si="329"/>
        <v>9.0000000000000302</v>
      </c>
      <c r="R2575">
        <f t="shared" si="330"/>
        <v>13.999999999999968</v>
      </c>
    </row>
    <row r="2576" spans="1:18">
      <c r="A2576" s="9">
        <v>40469</v>
      </c>
      <c r="B2576">
        <v>0.4</v>
      </c>
      <c r="C2576">
        <v>0.55000000000000004</v>
      </c>
      <c r="D2576">
        <v>0.77</v>
      </c>
      <c r="E2576">
        <v>1.06</v>
      </c>
      <c r="F2576">
        <v>1.39</v>
      </c>
      <c r="G2576">
        <v>1.98</v>
      </c>
      <c r="H2576">
        <v>2.58</v>
      </c>
      <c r="I2576">
        <v>3.55</v>
      </c>
      <c r="K2576">
        <f t="shared" si="323"/>
        <v>2.0000000000000018</v>
      </c>
      <c r="L2576">
        <f t="shared" si="324"/>
        <v>2.0000000000000018</v>
      </c>
      <c r="M2576">
        <f t="shared" si="325"/>
        <v>-1.0000000000000009</v>
      </c>
      <c r="N2576">
        <f t="shared" si="326"/>
        <v>-3.0000000000000027</v>
      </c>
      <c r="O2576">
        <f t="shared" si="327"/>
        <v>-3.0000000000000027</v>
      </c>
      <c r="P2576">
        <f t="shared" si="328"/>
        <v>-4.9999999999999822</v>
      </c>
      <c r="Q2576">
        <f t="shared" si="329"/>
        <v>-4.0000000000000036</v>
      </c>
      <c r="R2576">
        <f t="shared" si="330"/>
        <v>-4.0000000000000036</v>
      </c>
    </row>
    <row r="2577" spans="1:18">
      <c r="A2577" s="9">
        <v>40470</v>
      </c>
      <c r="B2577">
        <v>0.39</v>
      </c>
      <c r="C2577">
        <v>0.55000000000000004</v>
      </c>
      <c r="D2577">
        <v>0.77</v>
      </c>
      <c r="E2577">
        <v>1.06</v>
      </c>
      <c r="F2577">
        <v>1.38</v>
      </c>
      <c r="G2577">
        <v>1.99</v>
      </c>
      <c r="H2577">
        <v>2.59</v>
      </c>
      <c r="I2577">
        <v>3.57</v>
      </c>
      <c r="K2577">
        <f t="shared" si="323"/>
        <v>-1.0000000000000009</v>
      </c>
      <c r="L2577">
        <f t="shared" si="324"/>
        <v>0</v>
      </c>
      <c r="M2577">
        <f t="shared" si="325"/>
        <v>0</v>
      </c>
      <c r="N2577">
        <f t="shared" si="326"/>
        <v>0</v>
      </c>
      <c r="O2577">
        <f t="shared" si="327"/>
        <v>-1.0000000000000009</v>
      </c>
      <c r="P2577">
        <f t="shared" si="328"/>
        <v>1.0000000000000009</v>
      </c>
      <c r="Q2577">
        <f t="shared" si="329"/>
        <v>0.99999999999997868</v>
      </c>
      <c r="R2577">
        <f t="shared" si="330"/>
        <v>2.0000000000000018</v>
      </c>
    </row>
    <row r="2578" spans="1:18">
      <c r="A2578" s="9">
        <v>40471</v>
      </c>
      <c r="B2578">
        <v>0.4</v>
      </c>
      <c r="C2578">
        <v>0.53</v>
      </c>
      <c r="D2578">
        <v>0.73</v>
      </c>
      <c r="E2578">
        <v>1.02</v>
      </c>
      <c r="F2578">
        <v>1.34</v>
      </c>
      <c r="G2578">
        <v>1.94</v>
      </c>
      <c r="H2578">
        <v>2.54</v>
      </c>
      <c r="I2578">
        <v>3.52</v>
      </c>
      <c r="K2578">
        <f t="shared" si="323"/>
        <v>1.0000000000000009</v>
      </c>
      <c r="L2578">
        <f t="shared" si="324"/>
        <v>-2.0000000000000018</v>
      </c>
      <c r="M2578">
        <f t="shared" si="325"/>
        <v>-4.0000000000000036</v>
      </c>
      <c r="N2578">
        <f t="shared" si="326"/>
        <v>-4.0000000000000036</v>
      </c>
      <c r="O2578">
        <f t="shared" si="327"/>
        <v>-3.9999999999999813</v>
      </c>
      <c r="P2578">
        <f t="shared" si="328"/>
        <v>-5.0000000000000044</v>
      </c>
      <c r="Q2578">
        <f t="shared" si="329"/>
        <v>-4.9999999999999822</v>
      </c>
      <c r="R2578">
        <f t="shared" si="330"/>
        <v>-4.9999999999999822</v>
      </c>
    </row>
    <row r="2579" spans="1:18">
      <c r="A2579" s="9">
        <v>40472</v>
      </c>
      <c r="B2579">
        <v>0.38</v>
      </c>
      <c r="C2579">
        <v>0.52</v>
      </c>
      <c r="D2579">
        <v>0.73</v>
      </c>
      <c r="E2579">
        <v>1.03</v>
      </c>
      <c r="F2579">
        <v>1.36</v>
      </c>
      <c r="G2579">
        <v>1.96</v>
      </c>
      <c r="H2579">
        <v>2.56</v>
      </c>
      <c r="I2579">
        <v>3.51</v>
      </c>
      <c r="K2579">
        <f t="shared" si="323"/>
        <v>-2.0000000000000018</v>
      </c>
      <c r="L2579">
        <f t="shared" si="324"/>
        <v>-1.0000000000000009</v>
      </c>
      <c r="M2579">
        <f t="shared" si="325"/>
        <v>0</v>
      </c>
      <c r="N2579">
        <f t="shared" si="326"/>
        <v>1.0000000000000009</v>
      </c>
      <c r="O2579">
        <f t="shared" si="327"/>
        <v>2.0000000000000018</v>
      </c>
      <c r="P2579">
        <f t="shared" si="328"/>
        <v>2.0000000000000018</v>
      </c>
      <c r="Q2579">
        <f t="shared" si="329"/>
        <v>2.0000000000000018</v>
      </c>
      <c r="R2579">
        <f t="shared" si="330"/>
        <v>-1.0000000000000231</v>
      </c>
    </row>
    <row r="2580" spans="1:18">
      <c r="A2580" s="9">
        <v>40473</v>
      </c>
      <c r="B2580">
        <v>0.38</v>
      </c>
      <c r="C2580">
        <v>0.53</v>
      </c>
      <c r="D2580">
        <v>0.74</v>
      </c>
      <c r="E2580">
        <v>1.05</v>
      </c>
      <c r="F2580">
        <v>1.39</v>
      </c>
      <c r="G2580">
        <v>2.0099999999999998</v>
      </c>
      <c r="H2580">
        <v>2.61</v>
      </c>
      <c r="I2580">
        <v>3.54</v>
      </c>
      <c r="K2580">
        <f t="shared" si="323"/>
        <v>0</v>
      </c>
      <c r="L2580">
        <f t="shared" si="324"/>
        <v>1.0000000000000009</v>
      </c>
      <c r="M2580">
        <f t="shared" si="325"/>
        <v>1.0000000000000009</v>
      </c>
      <c r="N2580">
        <f t="shared" si="326"/>
        <v>2.0000000000000018</v>
      </c>
      <c r="O2580">
        <f t="shared" si="327"/>
        <v>2.9999999999999805</v>
      </c>
      <c r="P2580">
        <f t="shared" si="328"/>
        <v>4.9999999999999822</v>
      </c>
      <c r="Q2580">
        <f t="shared" si="329"/>
        <v>4.9999999999999822</v>
      </c>
      <c r="R2580">
        <f t="shared" si="330"/>
        <v>3.0000000000000249</v>
      </c>
    </row>
    <row r="2581" spans="1:18">
      <c r="A2581" s="9">
        <v>40476</v>
      </c>
      <c r="B2581">
        <v>0.37</v>
      </c>
      <c r="C2581">
        <v>0.52</v>
      </c>
      <c r="D2581">
        <v>0.74</v>
      </c>
      <c r="E2581">
        <v>1.04</v>
      </c>
      <c r="F2581">
        <v>1.38</v>
      </c>
      <c r="G2581">
        <v>1.99</v>
      </c>
      <c r="H2581">
        <v>2.58</v>
      </c>
      <c r="I2581">
        <v>3.5</v>
      </c>
      <c r="K2581">
        <f t="shared" si="323"/>
        <v>-1.0000000000000009</v>
      </c>
      <c r="L2581">
        <f t="shared" si="324"/>
        <v>-1.0000000000000009</v>
      </c>
      <c r="M2581">
        <f t="shared" si="325"/>
        <v>0</v>
      </c>
      <c r="N2581">
        <f t="shared" si="326"/>
        <v>-1.0000000000000009</v>
      </c>
      <c r="O2581">
        <f t="shared" si="327"/>
        <v>-1.0000000000000009</v>
      </c>
      <c r="P2581">
        <f t="shared" si="328"/>
        <v>-1.9999999999999796</v>
      </c>
      <c r="Q2581">
        <f t="shared" si="329"/>
        <v>-2.9999999999999805</v>
      </c>
      <c r="R2581">
        <f t="shared" si="330"/>
        <v>-4.0000000000000036</v>
      </c>
    </row>
    <row r="2582" spans="1:18">
      <c r="A2582" s="9">
        <v>40477</v>
      </c>
      <c r="B2582">
        <v>0.39</v>
      </c>
      <c r="C2582">
        <v>0.55000000000000004</v>
      </c>
      <c r="D2582">
        <v>0.8</v>
      </c>
      <c r="E2582">
        <v>1.1200000000000001</v>
      </c>
      <c r="F2582">
        <v>1.48</v>
      </c>
      <c r="G2582">
        <v>2.1</v>
      </c>
      <c r="H2582">
        <v>2.69</v>
      </c>
      <c r="I2582">
        <v>3.59</v>
      </c>
      <c r="K2582">
        <f t="shared" si="323"/>
        <v>2.0000000000000018</v>
      </c>
      <c r="L2582">
        <f t="shared" si="324"/>
        <v>3.0000000000000027</v>
      </c>
      <c r="M2582">
        <f t="shared" si="325"/>
        <v>6.0000000000000053</v>
      </c>
      <c r="N2582">
        <f t="shared" si="326"/>
        <v>8.0000000000000071</v>
      </c>
      <c r="O2582">
        <f t="shared" si="327"/>
        <v>10.000000000000009</v>
      </c>
      <c r="P2582">
        <f t="shared" si="328"/>
        <v>11.000000000000011</v>
      </c>
      <c r="Q2582">
        <f t="shared" si="329"/>
        <v>10.999999999999988</v>
      </c>
      <c r="R2582">
        <f t="shared" si="330"/>
        <v>8.9999999999999858</v>
      </c>
    </row>
    <row r="2583" spans="1:18">
      <c r="A2583" s="9">
        <v>40478</v>
      </c>
      <c r="B2583">
        <v>0.39</v>
      </c>
      <c r="C2583">
        <v>0.56999999999999995</v>
      </c>
      <c r="D2583">
        <v>0.83</v>
      </c>
      <c r="E2583">
        <v>1.18</v>
      </c>
      <c r="F2583">
        <v>1.55</v>
      </c>
      <c r="G2583">
        <v>2.17</v>
      </c>
      <c r="H2583">
        <v>2.77</v>
      </c>
      <c r="I2583">
        <v>3.66</v>
      </c>
      <c r="K2583">
        <f t="shared" si="323"/>
        <v>0</v>
      </c>
      <c r="L2583">
        <f t="shared" si="324"/>
        <v>1.9999999999999907</v>
      </c>
      <c r="M2583">
        <f t="shared" si="325"/>
        <v>2.9999999999999916</v>
      </c>
      <c r="N2583">
        <f t="shared" si="326"/>
        <v>5.9999999999999831</v>
      </c>
      <c r="O2583">
        <f t="shared" si="327"/>
        <v>7.0000000000000062</v>
      </c>
      <c r="P2583">
        <f t="shared" si="328"/>
        <v>6.999999999999984</v>
      </c>
      <c r="Q2583">
        <f t="shared" si="329"/>
        <v>8.0000000000000071</v>
      </c>
      <c r="R2583">
        <f t="shared" si="330"/>
        <v>7.0000000000000284</v>
      </c>
    </row>
    <row r="2584" spans="1:18">
      <c r="A2584" s="9">
        <v>40479</v>
      </c>
      <c r="B2584">
        <v>0.38</v>
      </c>
      <c r="C2584">
        <v>0.54</v>
      </c>
      <c r="D2584">
        <v>0.79</v>
      </c>
      <c r="E2584">
        <v>1.1399999999999999</v>
      </c>
      <c r="F2584">
        <v>1.51</v>
      </c>
      <c r="G2584">
        <v>2.15</v>
      </c>
      <c r="H2584">
        <v>2.76</v>
      </c>
      <c r="I2584">
        <v>3.68</v>
      </c>
      <c r="K2584">
        <f t="shared" si="323"/>
        <v>-1.0000000000000009</v>
      </c>
      <c r="L2584">
        <f t="shared" si="324"/>
        <v>-2.9999999999999916</v>
      </c>
      <c r="M2584">
        <f t="shared" si="325"/>
        <v>-3.9999999999999925</v>
      </c>
      <c r="N2584">
        <f t="shared" si="326"/>
        <v>-4.0000000000000036</v>
      </c>
      <c r="O2584">
        <f t="shared" si="327"/>
        <v>-4.0000000000000036</v>
      </c>
      <c r="P2584">
        <f t="shared" si="328"/>
        <v>-2.0000000000000018</v>
      </c>
      <c r="Q2584">
        <f t="shared" si="329"/>
        <v>-1.0000000000000231</v>
      </c>
      <c r="R2584">
        <f t="shared" si="330"/>
        <v>2.0000000000000018</v>
      </c>
    </row>
    <row r="2585" spans="1:18">
      <c r="A2585" s="9">
        <v>40480</v>
      </c>
      <c r="B2585">
        <v>0.37</v>
      </c>
      <c r="C2585">
        <v>0.51</v>
      </c>
      <c r="D2585">
        <v>0.74</v>
      </c>
      <c r="E2585">
        <v>1.08</v>
      </c>
      <c r="F2585">
        <v>1.44</v>
      </c>
      <c r="G2585">
        <v>2.09</v>
      </c>
      <c r="H2585">
        <v>2.71</v>
      </c>
      <c r="I2585">
        <v>3.66</v>
      </c>
      <c r="K2585">
        <f t="shared" si="323"/>
        <v>-1.0000000000000009</v>
      </c>
      <c r="L2585">
        <f t="shared" si="324"/>
        <v>-3.0000000000000027</v>
      </c>
      <c r="M2585">
        <f t="shared" si="325"/>
        <v>-5.0000000000000044</v>
      </c>
      <c r="N2585">
        <f t="shared" si="326"/>
        <v>-5.9999999999999831</v>
      </c>
      <c r="O2585">
        <f t="shared" si="327"/>
        <v>-7.0000000000000062</v>
      </c>
      <c r="P2585">
        <f t="shared" si="328"/>
        <v>-6.0000000000000053</v>
      </c>
      <c r="Q2585">
        <f t="shared" si="329"/>
        <v>-4.9999999999999822</v>
      </c>
      <c r="R2585">
        <f t="shared" si="330"/>
        <v>-2.0000000000000018</v>
      </c>
    </row>
    <row r="2586" spans="1:18">
      <c r="A2586" s="9">
        <v>40483</v>
      </c>
      <c r="B2586">
        <v>0.38</v>
      </c>
      <c r="C2586">
        <v>0.51</v>
      </c>
      <c r="D2586">
        <v>0.74</v>
      </c>
      <c r="E2586">
        <v>1.07</v>
      </c>
      <c r="F2586">
        <v>1.44</v>
      </c>
      <c r="G2586">
        <v>2.1</v>
      </c>
      <c r="H2586">
        <v>2.71</v>
      </c>
      <c r="I2586">
        <v>3.69</v>
      </c>
      <c r="K2586">
        <f t="shared" si="323"/>
        <v>1.0000000000000009</v>
      </c>
      <c r="L2586">
        <f t="shared" si="324"/>
        <v>0</v>
      </c>
      <c r="M2586">
        <f t="shared" si="325"/>
        <v>0</v>
      </c>
      <c r="N2586">
        <f t="shared" si="326"/>
        <v>-1.0000000000000009</v>
      </c>
      <c r="O2586">
        <f t="shared" si="327"/>
        <v>0</v>
      </c>
      <c r="P2586">
        <f t="shared" si="328"/>
        <v>1.0000000000000231</v>
      </c>
      <c r="Q2586">
        <f t="shared" si="329"/>
        <v>0</v>
      </c>
      <c r="R2586">
        <f t="shared" si="330"/>
        <v>2.9999999999999805</v>
      </c>
    </row>
    <row r="2587" spans="1:18">
      <c r="A2587" s="9">
        <v>40484</v>
      </c>
      <c r="B2587">
        <v>0.39</v>
      </c>
      <c r="C2587">
        <v>0.51</v>
      </c>
      <c r="D2587">
        <v>0.75</v>
      </c>
      <c r="E2587">
        <v>1.0900000000000001</v>
      </c>
      <c r="F2587">
        <v>1.45</v>
      </c>
      <c r="G2587">
        <v>2.09</v>
      </c>
      <c r="H2587">
        <v>2.72</v>
      </c>
      <c r="I2587">
        <v>3.67</v>
      </c>
      <c r="K2587">
        <f t="shared" si="323"/>
        <v>1.0000000000000009</v>
      </c>
      <c r="L2587">
        <f t="shared" si="324"/>
        <v>0</v>
      </c>
      <c r="M2587">
        <f t="shared" si="325"/>
        <v>1.0000000000000009</v>
      </c>
      <c r="N2587">
        <f t="shared" si="326"/>
        <v>2.0000000000000018</v>
      </c>
      <c r="O2587">
        <f t="shared" si="327"/>
        <v>1.0000000000000009</v>
      </c>
      <c r="P2587">
        <f t="shared" si="328"/>
        <v>-1.0000000000000231</v>
      </c>
      <c r="Q2587">
        <f t="shared" si="329"/>
        <v>1.0000000000000231</v>
      </c>
      <c r="R2587">
        <f t="shared" si="330"/>
        <v>-2.0000000000000018</v>
      </c>
    </row>
    <row r="2588" spans="1:18">
      <c r="A2588" s="9">
        <v>40485</v>
      </c>
      <c r="B2588">
        <v>0.37</v>
      </c>
      <c r="C2588">
        <v>0.5</v>
      </c>
      <c r="D2588">
        <v>0.73</v>
      </c>
      <c r="E2588">
        <v>1.05</v>
      </c>
      <c r="F2588">
        <v>1.41</v>
      </c>
      <c r="G2588">
        <v>2.04</v>
      </c>
      <c r="H2588">
        <v>2.64</v>
      </c>
      <c r="I2588">
        <v>3.59</v>
      </c>
      <c r="K2588">
        <f t="shared" si="323"/>
        <v>-2.0000000000000018</v>
      </c>
      <c r="L2588">
        <f t="shared" si="324"/>
        <v>-1.0000000000000009</v>
      </c>
      <c r="M2588">
        <f t="shared" si="325"/>
        <v>-2.0000000000000018</v>
      </c>
      <c r="N2588">
        <f t="shared" si="326"/>
        <v>-4.0000000000000036</v>
      </c>
      <c r="O2588">
        <f t="shared" si="327"/>
        <v>-4.0000000000000036</v>
      </c>
      <c r="P2588">
        <f t="shared" si="328"/>
        <v>-4.9999999999999822</v>
      </c>
      <c r="Q2588">
        <f t="shared" si="329"/>
        <v>-8.0000000000000071</v>
      </c>
      <c r="R2588">
        <f t="shared" si="330"/>
        <v>-8.0000000000000071</v>
      </c>
    </row>
    <row r="2589" spans="1:18">
      <c r="A2589" s="9">
        <v>40486</v>
      </c>
      <c r="B2589">
        <v>0.36</v>
      </c>
      <c r="C2589">
        <v>0.47</v>
      </c>
      <c r="D2589">
        <v>0.68</v>
      </c>
      <c r="E2589">
        <v>0.98</v>
      </c>
      <c r="F2589">
        <v>1.31</v>
      </c>
      <c r="G2589">
        <v>1.96</v>
      </c>
      <c r="H2589">
        <v>2.61</v>
      </c>
      <c r="I2589">
        <v>3.68</v>
      </c>
      <c r="K2589">
        <f t="shared" si="323"/>
        <v>-1.0000000000000009</v>
      </c>
      <c r="L2589">
        <f t="shared" si="324"/>
        <v>-3.0000000000000027</v>
      </c>
      <c r="M2589">
        <f t="shared" si="325"/>
        <v>-4.9999999999999929</v>
      </c>
      <c r="N2589">
        <f t="shared" si="326"/>
        <v>-7.0000000000000062</v>
      </c>
      <c r="O2589">
        <f t="shared" si="327"/>
        <v>-9.9999999999999858</v>
      </c>
      <c r="P2589">
        <f t="shared" si="328"/>
        <v>-8.0000000000000071</v>
      </c>
      <c r="Q2589">
        <f t="shared" si="329"/>
        <v>-3.0000000000000249</v>
      </c>
      <c r="R2589">
        <f t="shared" si="330"/>
        <v>9.0000000000000302</v>
      </c>
    </row>
    <row r="2590" spans="1:18">
      <c r="A2590" s="9">
        <v>40487</v>
      </c>
      <c r="B2590">
        <v>0.38</v>
      </c>
      <c r="C2590">
        <v>0.51</v>
      </c>
      <c r="D2590">
        <v>0.72</v>
      </c>
      <c r="E2590">
        <v>1.01</v>
      </c>
      <c r="F2590">
        <v>1.35</v>
      </c>
      <c r="G2590">
        <v>2</v>
      </c>
      <c r="H2590">
        <v>2.66</v>
      </c>
      <c r="I2590">
        <v>3.75</v>
      </c>
      <c r="K2590">
        <f t="shared" si="323"/>
        <v>2.0000000000000018</v>
      </c>
      <c r="L2590">
        <f t="shared" si="324"/>
        <v>4.0000000000000036</v>
      </c>
      <c r="M2590">
        <f t="shared" si="325"/>
        <v>3.9999999999999925</v>
      </c>
      <c r="N2590">
        <f t="shared" si="326"/>
        <v>3.0000000000000027</v>
      </c>
      <c r="O2590">
        <f t="shared" si="327"/>
        <v>4.0000000000000036</v>
      </c>
      <c r="P2590">
        <f t="shared" si="328"/>
        <v>4.0000000000000036</v>
      </c>
      <c r="Q2590">
        <f t="shared" si="329"/>
        <v>5.0000000000000266</v>
      </c>
      <c r="R2590">
        <f t="shared" si="330"/>
        <v>6.999999999999984</v>
      </c>
    </row>
    <row r="2591" spans="1:18">
      <c r="A2591" s="9">
        <v>40490</v>
      </c>
      <c r="B2591">
        <v>0.43</v>
      </c>
      <c r="C2591">
        <v>0.56999999999999995</v>
      </c>
      <c r="D2591">
        <v>0.76</v>
      </c>
      <c r="E2591">
        <v>1.04</v>
      </c>
      <c r="F2591">
        <v>1.37</v>
      </c>
      <c r="G2591">
        <v>2</v>
      </c>
      <c r="H2591">
        <v>2.66</v>
      </c>
      <c r="I2591">
        <v>3.73</v>
      </c>
      <c r="K2591">
        <f t="shared" si="323"/>
        <v>4.9999999999999991</v>
      </c>
      <c r="L2591">
        <f t="shared" si="324"/>
        <v>5.9999999999999947</v>
      </c>
      <c r="M2591">
        <f t="shared" si="325"/>
        <v>4.0000000000000036</v>
      </c>
      <c r="N2591">
        <f t="shared" si="326"/>
        <v>3.0000000000000027</v>
      </c>
      <c r="O2591">
        <f t="shared" si="327"/>
        <v>2.0000000000000018</v>
      </c>
      <c r="P2591">
        <f t="shared" si="328"/>
        <v>0</v>
      </c>
      <c r="Q2591">
        <f t="shared" si="329"/>
        <v>0</v>
      </c>
      <c r="R2591">
        <f t="shared" si="330"/>
        <v>-2.0000000000000018</v>
      </c>
    </row>
    <row r="2592" spans="1:18">
      <c r="A2592" s="9">
        <v>40491</v>
      </c>
      <c r="B2592">
        <v>0.44</v>
      </c>
      <c r="C2592">
        <v>0.61</v>
      </c>
      <c r="D2592">
        <v>0.82</v>
      </c>
      <c r="E2592">
        <v>1.1200000000000001</v>
      </c>
      <c r="F2592">
        <v>1.45</v>
      </c>
      <c r="G2592">
        <v>2.09</v>
      </c>
      <c r="H2592">
        <v>2.75</v>
      </c>
      <c r="I2592">
        <v>3.79</v>
      </c>
      <c r="K2592">
        <f t="shared" si="323"/>
        <v>1.0000000000000009</v>
      </c>
      <c r="L2592">
        <f t="shared" si="324"/>
        <v>4.0000000000000036</v>
      </c>
      <c r="M2592">
        <f t="shared" si="325"/>
        <v>5.9999999999999947</v>
      </c>
      <c r="N2592">
        <f t="shared" si="326"/>
        <v>8.0000000000000071</v>
      </c>
      <c r="O2592">
        <f t="shared" si="327"/>
        <v>7.9999999999999849</v>
      </c>
      <c r="P2592">
        <f t="shared" si="328"/>
        <v>8.9999999999999858</v>
      </c>
      <c r="Q2592">
        <f t="shared" si="329"/>
        <v>8.9999999999999858</v>
      </c>
      <c r="R2592">
        <f t="shared" si="330"/>
        <v>6.0000000000000053</v>
      </c>
    </row>
    <row r="2593" spans="1:18">
      <c r="A2593" s="9">
        <v>40492</v>
      </c>
      <c r="B2593">
        <v>0.47</v>
      </c>
      <c r="C2593">
        <v>0.69</v>
      </c>
      <c r="D2593">
        <v>0.95</v>
      </c>
      <c r="E2593">
        <v>1.27</v>
      </c>
      <c r="F2593">
        <v>1.61</v>
      </c>
      <c r="G2593">
        <v>2.2200000000000002</v>
      </c>
      <c r="H2593">
        <v>2.86</v>
      </c>
      <c r="I2593">
        <v>3.89</v>
      </c>
      <c r="K2593">
        <f t="shared" si="323"/>
        <v>2.9999999999999973</v>
      </c>
      <c r="L2593">
        <f t="shared" si="324"/>
        <v>7.9999999999999964</v>
      </c>
      <c r="M2593">
        <f t="shared" si="325"/>
        <v>13</v>
      </c>
      <c r="N2593">
        <f t="shared" si="326"/>
        <v>14.999999999999991</v>
      </c>
      <c r="O2593">
        <f t="shared" si="327"/>
        <v>16.000000000000014</v>
      </c>
      <c r="P2593">
        <f t="shared" si="328"/>
        <v>13.000000000000034</v>
      </c>
      <c r="Q2593">
        <f t="shared" si="329"/>
        <v>10.999999999999988</v>
      </c>
      <c r="R2593">
        <f t="shared" si="330"/>
        <v>10.000000000000009</v>
      </c>
    </row>
    <row r="2594" spans="1:18">
      <c r="A2594" s="9">
        <v>40494</v>
      </c>
      <c r="B2594">
        <v>0.47</v>
      </c>
      <c r="C2594">
        <v>0.71</v>
      </c>
      <c r="D2594">
        <v>0.97</v>
      </c>
      <c r="E2594">
        <v>1.27</v>
      </c>
      <c r="F2594">
        <v>1.6</v>
      </c>
      <c r="G2594">
        <v>2.23</v>
      </c>
      <c r="H2594">
        <v>2.86</v>
      </c>
      <c r="I2594">
        <v>3.87</v>
      </c>
      <c r="K2594">
        <f t="shared" si="323"/>
        <v>0</v>
      </c>
      <c r="L2594">
        <f t="shared" si="324"/>
        <v>2.0000000000000018</v>
      </c>
      <c r="M2594">
        <f t="shared" si="325"/>
        <v>2.0000000000000018</v>
      </c>
      <c r="N2594">
        <f t="shared" si="326"/>
        <v>0</v>
      </c>
      <c r="O2594">
        <f t="shared" si="327"/>
        <v>-1.0000000000000009</v>
      </c>
      <c r="P2594">
        <f t="shared" si="328"/>
        <v>0.99999999999997868</v>
      </c>
      <c r="Q2594">
        <f t="shared" si="329"/>
        <v>0</v>
      </c>
      <c r="R2594">
        <f t="shared" si="330"/>
        <v>-2.0000000000000018</v>
      </c>
    </row>
    <row r="2595" spans="1:18">
      <c r="A2595" s="9">
        <v>40497</v>
      </c>
      <c r="B2595">
        <v>0.46</v>
      </c>
      <c r="C2595">
        <v>0.73</v>
      </c>
      <c r="D2595">
        <v>1.03</v>
      </c>
      <c r="E2595">
        <v>1.36</v>
      </c>
      <c r="F2595">
        <v>1.72</v>
      </c>
      <c r="G2595">
        <v>2.35</v>
      </c>
      <c r="H2595">
        <v>2.98</v>
      </c>
      <c r="I2595">
        <v>3.96</v>
      </c>
      <c r="K2595">
        <f t="shared" si="323"/>
        <v>-0.99999999999999534</v>
      </c>
      <c r="L2595">
        <f t="shared" si="324"/>
        <v>2.0000000000000018</v>
      </c>
      <c r="M2595">
        <f t="shared" si="325"/>
        <v>6.0000000000000053</v>
      </c>
      <c r="N2595">
        <f t="shared" si="326"/>
        <v>9.0000000000000071</v>
      </c>
      <c r="O2595">
        <f t="shared" si="327"/>
        <v>11.999999999999989</v>
      </c>
      <c r="P2595">
        <f t="shared" si="328"/>
        <v>12.000000000000011</v>
      </c>
      <c r="Q2595">
        <f t="shared" si="329"/>
        <v>12.000000000000011</v>
      </c>
      <c r="R2595">
        <f t="shared" si="330"/>
        <v>8.9999999999999858</v>
      </c>
    </row>
    <row r="2596" spans="1:18">
      <c r="A2596" s="9">
        <v>40498</v>
      </c>
      <c r="B2596">
        <v>0.45</v>
      </c>
      <c r="C2596">
        <v>0.73</v>
      </c>
      <c r="D2596">
        <v>1.04</v>
      </c>
      <c r="E2596">
        <v>1.4</v>
      </c>
      <c r="F2596">
        <v>1.77</v>
      </c>
      <c r="G2596">
        <v>2.42</v>
      </c>
      <c r="H2596">
        <v>3.06</v>
      </c>
      <c r="I2596">
        <v>4.0199999999999996</v>
      </c>
      <c r="K2596">
        <f t="shared" si="323"/>
        <v>-1.0000000000000009</v>
      </c>
      <c r="L2596">
        <f t="shared" si="324"/>
        <v>0</v>
      </c>
      <c r="M2596">
        <f t="shared" si="325"/>
        <v>1.0000000000000009</v>
      </c>
      <c r="N2596">
        <f t="shared" si="326"/>
        <v>3.9999999999999813</v>
      </c>
      <c r="O2596">
        <f t="shared" si="327"/>
        <v>5.0000000000000044</v>
      </c>
      <c r="P2596">
        <f t="shared" si="328"/>
        <v>6.999999999999984</v>
      </c>
      <c r="Q2596">
        <f t="shared" si="329"/>
        <v>8.0000000000000071</v>
      </c>
      <c r="R2596">
        <f t="shared" si="330"/>
        <v>5.9999999999999609</v>
      </c>
    </row>
    <row r="2597" spans="1:18">
      <c r="A2597" s="9">
        <v>40499</v>
      </c>
      <c r="B2597">
        <v>0.43</v>
      </c>
      <c r="C2597">
        <v>0.67</v>
      </c>
      <c r="D2597">
        <v>0.97</v>
      </c>
      <c r="E2597">
        <v>1.32</v>
      </c>
      <c r="F2597">
        <v>1.69</v>
      </c>
      <c r="G2597">
        <v>2.34</v>
      </c>
      <c r="H2597">
        <v>2.95</v>
      </c>
      <c r="I2597">
        <v>3.89</v>
      </c>
      <c r="K2597">
        <f t="shared" si="323"/>
        <v>-2.0000000000000018</v>
      </c>
      <c r="L2597">
        <f t="shared" si="324"/>
        <v>-5.9999999999999947</v>
      </c>
      <c r="M2597">
        <f t="shared" si="325"/>
        <v>-7.0000000000000062</v>
      </c>
      <c r="N2597">
        <f t="shared" si="326"/>
        <v>-7.9999999999999849</v>
      </c>
      <c r="O2597">
        <f t="shared" si="327"/>
        <v>-8.0000000000000071</v>
      </c>
      <c r="P2597">
        <f t="shared" si="328"/>
        <v>-8.0000000000000071</v>
      </c>
      <c r="Q2597">
        <f t="shared" si="329"/>
        <v>-10.999999999999988</v>
      </c>
      <c r="R2597">
        <f t="shared" si="330"/>
        <v>-12.999999999999945</v>
      </c>
    </row>
    <row r="2598" spans="1:18">
      <c r="A2598" s="9">
        <v>40500</v>
      </c>
      <c r="B2598">
        <v>0.44</v>
      </c>
      <c r="C2598">
        <v>0.7</v>
      </c>
      <c r="D2598">
        <v>1.03</v>
      </c>
      <c r="E2598">
        <v>1.42</v>
      </c>
      <c r="F2598">
        <v>1.81</v>
      </c>
      <c r="G2598">
        <v>2.48</v>
      </c>
      <c r="H2598">
        <v>3.11</v>
      </c>
      <c r="I2598">
        <v>4.0199999999999996</v>
      </c>
      <c r="K2598">
        <f t="shared" si="323"/>
        <v>1.0000000000000009</v>
      </c>
      <c r="L2598">
        <f t="shared" si="324"/>
        <v>2.9999999999999916</v>
      </c>
      <c r="M2598">
        <f t="shared" si="325"/>
        <v>6.0000000000000053</v>
      </c>
      <c r="N2598">
        <f t="shared" si="326"/>
        <v>9.9999999999999858</v>
      </c>
      <c r="O2598">
        <f t="shared" si="327"/>
        <v>12.000000000000011</v>
      </c>
      <c r="P2598">
        <f t="shared" si="328"/>
        <v>14.000000000000012</v>
      </c>
      <c r="Q2598">
        <f t="shared" si="329"/>
        <v>15.99999999999997</v>
      </c>
      <c r="R2598">
        <f t="shared" si="330"/>
        <v>12.999999999999945</v>
      </c>
    </row>
    <row r="2599" spans="1:18">
      <c r="A2599" s="9">
        <v>40501</v>
      </c>
      <c r="B2599">
        <v>0.43</v>
      </c>
      <c r="C2599">
        <v>0.69</v>
      </c>
      <c r="D2599">
        <v>1.01</v>
      </c>
      <c r="E2599">
        <v>1.39</v>
      </c>
      <c r="F2599">
        <v>1.77</v>
      </c>
      <c r="G2599">
        <v>2.4300000000000002</v>
      </c>
      <c r="H2599">
        <v>3.04</v>
      </c>
      <c r="I2599">
        <v>3.96</v>
      </c>
      <c r="K2599">
        <f t="shared" si="323"/>
        <v>-1.0000000000000009</v>
      </c>
      <c r="L2599">
        <f t="shared" si="324"/>
        <v>-1.0000000000000009</v>
      </c>
      <c r="M2599">
        <f t="shared" si="325"/>
        <v>-2.0000000000000018</v>
      </c>
      <c r="N2599">
        <f t="shared" si="326"/>
        <v>-3.0000000000000027</v>
      </c>
      <c r="O2599">
        <f t="shared" si="327"/>
        <v>-4.0000000000000036</v>
      </c>
      <c r="P2599">
        <f t="shared" si="328"/>
        <v>-4.9999999999999822</v>
      </c>
      <c r="Q2599">
        <f t="shared" si="329"/>
        <v>-6.999999999999984</v>
      </c>
      <c r="R2599">
        <f t="shared" si="330"/>
        <v>-5.9999999999999609</v>
      </c>
    </row>
    <row r="2600" spans="1:18">
      <c r="A2600" s="9">
        <v>40504</v>
      </c>
      <c r="B2600">
        <v>0.44</v>
      </c>
      <c r="C2600">
        <v>0.67</v>
      </c>
      <c r="D2600">
        <v>0.97</v>
      </c>
      <c r="E2600">
        <v>1.34</v>
      </c>
      <c r="F2600">
        <v>1.71</v>
      </c>
      <c r="G2600">
        <v>2.35</v>
      </c>
      <c r="H2600">
        <v>2.96</v>
      </c>
      <c r="I2600">
        <v>3.88</v>
      </c>
      <c r="K2600">
        <f t="shared" si="323"/>
        <v>1.0000000000000009</v>
      </c>
      <c r="L2600">
        <f t="shared" si="324"/>
        <v>-1.9999999999999907</v>
      </c>
      <c r="M2600">
        <f t="shared" si="325"/>
        <v>-4.0000000000000036</v>
      </c>
      <c r="N2600">
        <f t="shared" si="326"/>
        <v>-4.9999999999999822</v>
      </c>
      <c r="O2600">
        <f t="shared" si="327"/>
        <v>-6.0000000000000053</v>
      </c>
      <c r="P2600">
        <f t="shared" si="328"/>
        <v>-8.0000000000000071</v>
      </c>
      <c r="Q2600">
        <f t="shared" si="329"/>
        <v>-8.0000000000000071</v>
      </c>
      <c r="R2600">
        <f t="shared" si="330"/>
        <v>-8.0000000000000071</v>
      </c>
    </row>
    <row r="2601" spans="1:18">
      <c r="A2601" s="9">
        <v>40505</v>
      </c>
      <c r="B2601">
        <v>0.44</v>
      </c>
      <c r="C2601">
        <v>0.63</v>
      </c>
      <c r="D2601">
        <v>0.89</v>
      </c>
      <c r="E2601">
        <v>1.24</v>
      </c>
      <c r="F2601">
        <v>1.62</v>
      </c>
      <c r="G2601">
        <v>2.27</v>
      </c>
      <c r="H2601">
        <v>2.89</v>
      </c>
      <c r="I2601">
        <v>3.84</v>
      </c>
      <c r="K2601">
        <f t="shared" si="323"/>
        <v>0</v>
      </c>
      <c r="L2601">
        <f t="shared" si="324"/>
        <v>-4.0000000000000036</v>
      </c>
      <c r="M2601">
        <f t="shared" si="325"/>
        <v>-7.9999999999999964</v>
      </c>
      <c r="N2601">
        <f t="shared" si="326"/>
        <v>-10.000000000000009</v>
      </c>
      <c r="O2601">
        <f t="shared" si="327"/>
        <v>-8.9999999999999858</v>
      </c>
      <c r="P2601">
        <f t="shared" si="328"/>
        <v>-8.0000000000000071</v>
      </c>
      <c r="Q2601">
        <f t="shared" si="329"/>
        <v>-6.999999999999984</v>
      </c>
      <c r="R2601">
        <f t="shared" si="330"/>
        <v>-4.0000000000000036</v>
      </c>
    </row>
    <row r="2602" spans="1:18">
      <c r="A2602" s="9">
        <v>40506</v>
      </c>
      <c r="B2602">
        <v>0.5</v>
      </c>
      <c r="C2602">
        <v>0.72</v>
      </c>
      <c r="D2602">
        <v>1</v>
      </c>
      <c r="E2602">
        <v>1.36</v>
      </c>
      <c r="F2602">
        <v>1.74</v>
      </c>
      <c r="G2602">
        <v>2.39</v>
      </c>
      <c r="H2602">
        <v>3.01</v>
      </c>
      <c r="I2602">
        <v>3.93</v>
      </c>
      <c r="K2602">
        <f t="shared" si="323"/>
        <v>6</v>
      </c>
      <c r="L2602">
        <f t="shared" si="324"/>
        <v>8.9999999999999964</v>
      </c>
      <c r="M2602">
        <f t="shared" si="325"/>
        <v>10.999999999999998</v>
      </c>
      <c r="N2602">
        <f t="shared" si="326"/>
        <v>12.000000000000011</v>
      </c>
      <c r="O2602">
        <f t="shared" si="327"/>
        <v>11.999999999999989</v>
      </c>
      <c r="P2602">
        <f t="shared" si="328"/>
        <v>12.000000000000011</v>
      </c>
      <c r="Q2602">
        <f t="shared" si="329"/>
        <v>11.999999999999966</v>
      </c>
      <c r="R2602">
        <f t="shared" si="330"/>
        <v>9.0000000000000302</v>
      </c>
    </row>
    <row r="2603" spans="1:18">
      <c r="A2603" s="9">
        <v>40508</v>
      </c>
      <c r="B2603">
        <v>0.54</v>
      </c>
      <c r="C2603">
        <v>0.78</v>
      </c>
      <c r="D2603">
        <v>1.05</v>
      </c>
      <c r="E2603">
        <v>1.4</v>
      </c>
      <c r="F2603">
        <v>1.79</v>
      </c>
      <c r="G2603">
        <v>2.4300000000000002</v>
      </c>
      <c r="H2603">
        <v>3.02</v>
      </c>
      <c r="I2603">
        <v>3.91</v>
      </c>
      <c r="K2603">
        <f t="shared" si="323"/>
        <v>4.0000000000000036</v>
      </c>
      <c r="L2603">
        <f t="shared" si="324"/>
        <v>6.0000000000000053</v>
      </c>
      <c r="M2603">
        <f t="shared" si="325"/>
        <v>5.0000000000000044</v>
      </c>
      <c r="N2603">
        <f t="shared" si="326"/>
        <v>3.9999999999999813</v>
      </c>
      <c r="O2603">
        <f t="shared" si="327"/>
        <v>5.0000000000000044</v>
      </c>
      <c r="P2603">
        <f t="shared" si="328"/>
        <v>4.0000000000000036</v>
      </c>
      <c r="Q2603">
        <f t="shared" si="329"/>
        <v>1.0000000000000231</v>
      </c>
      <c r="R2603">
        <f t="shared" si="330"/>
        <v>-2.0000000000000018</v>
      </c>
    </row>
    <row r="2604" spans="1:18">
      <c r="A2604" s="9">
        <v>40511</v>
      </c>
      <c r="B2604">
        <v>0.54</v>
      </c>
      <c r="C2604">
        <v>0.78</v>
      </c>
      <c r="D2604">
        <v>1.06</v>
      </c>
      <c r="E2604">
        <v>1.41</v>
      </c>
      <c r="F2604">
        <v>1.78</v>
      </c>
      <c r="G2604">
        <v>2.41</v>
      </c>
      <c r="H2604">
        <v>2.99</v>
      </c>
      <c r="I2604">
        <v>3.88</v>
      </c>
      <c r="K2604">
        <f t="shared" si="323"/>
        <v>0</v>
      </c>
      <c r="L2604">
        <f t="shared" si="324"/>
        <v>0</v>
      </c>
      <c r="M2604">
        <f t="shared" si="325"/>
        <v>1.0000000000000009</v>
      </c>
      <c r="N2604">
        <f t="shared" si="326"/>
        <v>1.0000000000000009</v>
      </c>
      <c r="O2604">
        <f t="shared" si="327"/>
        <v>-1.0000000000000009</v>
      </c>
      <c r="P2604">
        <f t="shared" si="328"/>
        <v>-2.0000000000000018</v>
      </c>
      <c r="Q2604">
        <f t="shared" si="329"/>
        <v>-2.9999999999999805</v>
      </c>
      <c r="R2604">
        <f t="shared" si="330"/>
        <v>-3.0000000000000249</v>
      </c>
    </row>
    <row r="2605" spans="1:18">
      <c r="A2605" s="9">
        <v>40512</v>
      </c>
      <c r="B2605">
        <v>0.55000000000000004</v>
      </c>
      <c r="C2605">
        <v>0.76</v>
      </c>
      <c r="D2605">
        <v>1.02</v>
      </c>
      <c r="E2605">
        <v>1.36</v>
      </c>
      <c r="F2605">
        <v>1.72</v>
      </c>
      <c r="G2605">
        <v>2.34</v>
      </c>
      <c r="H2605">
        <v>2.93</v>
      </c>
      <c r="I2605">
        <v>3.79</v>
      </c>
      <c r="K2605">
        <f t="shared" si="323"/>
        <v>1.0000000000000009</v>
      </c>
      <c r="L2605">
        <f t="shared" si="324"/>
        <v>-2.0000000000000018</v>
      </c>
      <c r="M2605">
        <f t="shared" si="325"/>
        <v>-4.0000000000000036</v>
      </c>
      <c r="N2605">
        <f t="shared" si="326"/>
        <v>-4.9999999999999822</v>
      </c>
      <c r="O2605">
        <f t="shared" si="327"/>
        <v>-6.0000000000000053</v>
      </c>
      <c r="P2605">
        <f t="shared" si="328"/>
        <v>-7.0000000000000284</v>
      </c>
      <c r="Q2605">
        <f t="shared" si="329"/>
        <v>-6.0000000000000053</v>
      </c>
      <c r="R2605">
        <f t="shared" si="330"/>
        <v>-8.9999999999999858</v>
      </c>
    </row>
    <row r="2606" spans="1:18">
      <c r="A2606" s="9">
        <v>40513</v>
      </c>
      <c r="B2606">
        <v>0.55000000000000004</v>
      </c>
      <c r="C2606">
        <v>0.79</v>
      </c>
      <c r="D2606">
        <v>1.0900000000000001</v>
      </c>
      <c r="E2606">
        <v>1.46</v>
      </c>
      <c r="F2606">
        <v>1.85</v>
      </c>
      <c r="G2606">
        <v>2.4900000000000002</v>
      </c>
      <c r="H2606">
        <v>3.08</v>
      </c>
      <c r="I2606">
        <v>3.91</v>
      </c>
      <c r="K2606">
        <f t="shared" si="323"/>
        <v>0</v>
      </c>
      <c r="L2606">
        <f t="shared" si="324"/>
        <v>3.0000000000000027</v>
      </c>
      <c r="M2606">
        <f t="shared" si="325"/>
        <v>7.0000000000000062</v>
      </c>
      <c r="N2606">
        <f t="shared" si="326"/>
        <v>9.9999999999999858</v>
      </c>
      <c r="O2606">
        <f t="shared" si="327"/>
        <v>13.000000000000011</v>
      </c>
      <c r="P2606">
        <f t="shared" si="328"/>
        <v>15.000000000000036</v>
      </c>
      <c r="Q2606">
        <f t="shared" si="329"/>
        <v>14.999999999999991</v>
      </c>
      <c r="R2606">
        <f t="shared" si="330"/>
        <v>12.000000000000011</v>
      </c>
    </row>
    <row r="2607" spans="1:18">
      <c r="A2607" s="9">
        <v>40514</v>
      </c>
      <c r="B2607">
        <v>0.53</v>
      </c>
      <c r="C2607">
        <v>0.8</v>
      </c>
      <c r="D2607">
        <v>1.1399999999999999</v>
      </c>
      <c r="E2607">
        <v>1.53</v>
      </c>
      <c r="F2607">
        <v>1.93</v>
      </c>
      <c r="G2607">
        <v>2.57</v>
      </c>
      <c r="H2607">
        <v>3.15</v>
      </c>
      <c r="I2607">
        <v>3.97</v>
      </c>
      <c r="K2607">
        <f t="shared" si="323"/>
        <v>-2.0000000000000018</v>
      </c>
      <c r="L2607">
        <f t="shared" si="324"/>
        <v>1.0000000000000009</v>
      </c>
      <c r="M2607">
        <f t="shared" si="325"/>
        <v>4.9999999999999822</v>
      </c>
      <c r="N2607">
        <f t="shared" si="326"/>
        <v>7.0000000000000062</v>
      </c>
      <c r="O2607">
        <f t="shared" si="327"/>
        <v>7.9999999999999849</v>
      </c>
      <c r="P2607">
        <f t="shared" si="328"/>
        <v>7.9999999999999627</v>
      </c>
      <c r="Q2607">
        <f t="shared" si="329"/>
        <v>6.999999999999984</v>
      </c>
      <c r="R2607">
        <f t="shared" si="330"/>
        <v>6.0000000000000053</v>
      </c>
    </row>
    <row r="2608" spans="1:18">
      <c r="A2608" s="9">
        <v>40515</v>
      </c>
      <c r="B2608">
        <v>0.48</v>
      </c>
      <c r="C2608">
        <v>0.71</v>
      </c>
      <c r="D2608">
        <v>1.04</v>
      </c>
      <c r="E2608">
        <v>1.44</v>
      </c>
      <c r="F2608">
        <v>1.84</v>
      </c>
      <c r="G2608">
        <v>2.52</v>
      </c>
      <c r="H2608">
        <v>3.13</v>
      </c>
      <c r="I2608">
        <v>3.99</v>
      </c>
      <c r="K2608">
        <f t="shared" si="323"/>
        <v>-5.0000000000000044</v>
      </c>
      <c r="L2608">
        <f t="shared" si="324"/>
        <v>-9.0000000000000071</v>
      </c>
      <c r="M2608">
        <f t="shared" si="325"/>
        <v>-9.9999999999999858</v>
      </c>
      <c r="N2608">
        <f t="shared" si="326"/>
        <v>-9.0000000000000071</v>
      </c>
      <c r="O2608">
        <f t="shared" si="327"/>
        <v>-8.9999999999999858</v>
      </c>
      <c r="P2608">
        <f t="shared" si="328"/>
        <v>-4.9999999999999822</v>
      </c>
      <c r="Q2608">
        <f t="shared" si="329"/>
        <v>-2.0000000000000018</v>
      </c>
      <c r="R2608">
        <f t="shared" si="330"/>
        <v>2.0000000000000018</v>
      </c>
    </row>
    <row r="2609" spans="1:18">
      <c r="A2609" s="9">
        <v>40518</v>
      </c>
      <c r="B2609">
        <v>0.46</v>
      </c>
      <c r="C2609">
        <v>0.67</v>
      </c>
      <c r="D2609">
        <v>0.99</v>
      </c>
      <c r="E2609">
        <v>1.38</v>
      </c>
      <c r="F2609">
        <v>1.8</v>
      </c>
      <c r="G2609">
        <v>2.48</v>
      </c>
      <c r="H2609">
        <v>3.11</v>
      </c>
      <c r="I2609">
        <v>3.98</v>
      </c>
      <c r="K2609">
        <f t="shared" si="323"/>
        <v>-1.9999999999999962</v>
      </c>
      <c r="L2609">
        <f t="shared" si="324"/>
        <v>-3.9999999999999925</v>
      </c>
      <c r="M2609">
        <f t="shared" si="325"/>
        <v>-5.0000000000000044</v>
      </c>
      <c r="N2609">
        <f t="shared" si="326"/>
        <v>-6.0000000000000053</v>
      </c>
      <c r="O2609">
        <f t="shared" si="327"/>
        <v>-4.0000000000000036</v>
      </c>
      <c r="P2609">
        <f t="shared" si="328"/>
        <v>-4.0000000000000036</v>
      </c>
      <c r="Q2609">
        <f t="shared" si="329"/>
        <v>-2.0000000000000018</v>
      </c>
      <c r="R2609">
        <f t="shared" si="330"/>
        <v>-1.0000000000000231</v>
      </c>
    </row>
    <row r="2610" spans="1:18">
      <c r="A2610" s="9">
        <v>40519</v>
      </c>
      <c r="B2610">
        <v>0.46</v>
      </c>
      <c r="C2610">
        <v>0.69</v>
      </c>
      <c r="D2610">
        <v>1.03</v>
      </c>
      <c r="E2610">
        <v>1.45</v>
      </c>
      <c r="F2610">
        <v>1.88</v>
      </c>
      <c r="G2610">
        <v>2.6</v>
      </c>
      <c r="H2610">
        <v>3.23</v>
      </c>
      <c r="I2610">
        <v>4.0599999999999996</v>
      </c>
      <c r="K2610">
        <f t="shared" si="323"/>
        <v>0</v>
      </c>
      <c r="L2610">
        <f t="shared" si="324"/>
        <v>1.9999999999999907</v>
      </c>
      <c r="M2610">
        <f t="shared" si="325"/>
        <v>4.0000000000000036</v>
      </c>
      <c r="N2610">
        <f t="shared" si="326"/>
        <v>7.0000000000000062</v>
      </c>
      <c r="O2610">
        <f t="shared" si="327"/>
        <v>7.9999999999999849</v>
      </c>
      <c r="P2610">
        <f t="shared" si="328"/>
        <v>12.000000000000011</v>
      </c>
      <c r="Q2610">
        <f t="shared" si="329"/>
        <v>12.000000000000011</v>
      </c>
      <c r="R2610">
        <f t="shared" si="330"/>
        <v>7.9999999999999627</v>
      </c>
    </row>
    <row r="2611" spans="1:18">
      <c r="A2611" s="9">
        <v>40520</v>
      </c>
      <c r="B2611">
        <v>0.53</v>
      </c>
      <c r="C2611">
        <v>0.85</v>
      </c>
      <c r="D2611">
        <v>1.25</v>
      </c>
      <c r="E2611">
        <v>1.71</v>
      </c>
      <c r="F2611">
        <v>2.15</v>
      </c>
      <c r="G2611">
        <v>2.83</v>
      </c>
      <c r="H2611">
        <v>3.42</v>
      </c>
      <c r="I2611">
        <v>4.1500000000000004</v>
      </c>
      <c r="K2611">
        <f t="shared" si="323"/>
        <v>7.0000000000000009</v>
      </c>
      <c r="L2611">
        <f t="shared" si="324"/>
        <v>16.000000000000004</v>
      </c>
      <c r="M2611">
        <f t="shared" si="325"/>
        <v>21.999999999999996</v>
      </c>
      <c r="N2611">
        <f t="shared" si="326"/>
        <v>26</v>
      </c>
      <c r="O2611">
        <f t="shared" si="327"/>
        <v>27</v>
      </c>
      <c r="P2611">
        <f t="shared" si="328"/>
        <v>23</v>
      </c>
      <c r="Q2611">
        <f t="shared" si="329"/>
        <v>18.999999999999993</v>
      </c>
      <c r="R2611">
        <f t="shared" si="330"/>
        <v>9.0000000000000746</v>
      </c>
    </row>
    <row r="2612" spans="1:18">
      <c r="A2612" s="9">
        <v>40521</v>
      </c>
      <c r="B2612">
        <v>0.51</v>
      </c>
      <c r="C2612">
        <v>0.83</v>
      </c>
      <c r="D2612">
        <v>1.23</v>
      </c>
      <c r="E2612">
        <v>1.67</v>
      </c>
      <c r="F2612">
        <v>2.08</v>
      </c>
      <c r="G2612">
        <v>2.74</v>
      </c>
      <c r="H2612">
        <v>3.33</v>
      </c>
      <c r="I2612">
        <v>4.08</v>
      </c>
      <c r="K2612">
        <f t="shared" si="323"/>
        <v>-2.0000000000000018</v>
      </c>
      <c r="L2612">
        <f t="shared" si="324"/>
        <v>-2.0000000000000018</v>
      </c>
      <c r="M2612">
        <f t="shared" si="325"/>
        <v>-2.0000000000000018</v>
      </c>
      <c r="N2612">
        <f t="shared" si="326"/>
        <v>-4.0000000000000036</v>
      </c>
      <c r="O2612">
        <f t="shared" si="327"/>
        <v>-6.999999999999984</v>
      </c>
      <c r="P2612">
        <f t="shared" si="328"/>
        <v>-8.9999999999999858</v>
      </c>
      <c r="Q2612">
        <f t="shared" si="329"/>
        <v>-8.9999999999999858</v>
      </c>
      <c r="R2612">
        <f t="shared" si="330"/>
        <v>-7.0000000000000284</v>
      </c>
    </row>
    <row r="2613" spans="1:18">
      <c r="A2613" s="9">
        <v>40522</v>
      </c>
      <c r="B2613">
        <v>0.51</v>
      </c>
      <c r="C2613">
        <v>0.83</v>
      </c>
      <c r="D2613">
        <v>1.24</v>
      </c>
      <c r="E2613">
        <v>1.69</v>
      </c>
      <c r="F2613">
        <v>2.12</v>
      </c>
      <c r="G2613">
        <v>2.78</v>
      </c>
      <c r="H2613">
        <v>3.36</v>
      </c>
      <c r="I2613">
        <v>4.09</v>
      </c>
      <c r="K2613">
        <f t="shared" si="323"/>
        <v>0</v>
      </c>
      <c r="L2613">
        <f t="shared" si="324"/>
        <v>0</v>
      </c>
      <c r="M2613">
        <f t="shared" si="325"/>
        <v>1.0000000000000009</v>
      </c>
      <c r="N2613">
        <f t="shared" si="326"/>
        <v>2.0000000000000018</v>
      </c>
      <c r="O2613">
        <f t="shared" si="327"/>
        <v>4.0000000000000036</v>
      </c>
      <c r="P2613">
        <f t="shared" si="328"/>
        <v>3.9999999999999591</v>
      </c>
      <c r="Q2613">
        <f t="shared" si="329"/>
        <v>2.9999999999999805</v>
      </c>
      <c r="R2613">
        <f t="shared" si="330"/>
        <v>0.99999999999997868</v>
      </c>
    </row>
    <row r="2614" spans="1:18">
      <c r="A2614" s="9">
        <v>40525</v>
      </c>
      <c r="B2614">
        <v>0.52</v>
      </c>
      <c r="C2614">
        <v>0.87</v>
      </c>
      <c r="D2614">
        <v>1.32</v>
      </c>
      <c r="E2614">
        <v>1.78</v>
      </c>
      <c r="F2614">
        <v>2.2200000000000002</v>
      </c>
      <c r="G2614">
        <v>2.89</v>
      </c>
      <c r="H2614">
        <v>3.47</v>
      </c>
      <c r="I2614">
        <v>4.17</v>
      </c>
      <c r="K2614">
        <f t="shared" si="323"/>
        <v>1.0000000000000009</v>
      </c>
      <c r="L2614">
        <f t="shared" si="324"/>
        <v>4.0000000000000036</v>
      </c>
      <c r="M2614">
        <f t="shared" si="325"/>
        <v>8.0000000000000071</v>
      </c>
      <c r="N2614">
        <f t="shared" si="326"/>
        <v>9.0000000000000071</v>
      </c>
      <c r="O2614">
        <f t="shared" si="327"/>
        <v>10.000000000000009</v>
      </c>
      <c r="P2614">
        <f t="shared" si="328"/>
        <v>11.000000000000032</v>
      </c>
      <c r="Q2614">
        <f t="shared" si="329"/>
        <v>11.000000000000032</v>
      </c>
      <c r="R2614">
        <f t="shared" si="330"/>
        <v>8.0000000000000071</v>
      </c>
    </row>
    <row r="2615" spans="1:18">
      <c r="A2615" s="9">
        <v>40526</v>
      </c>
      <c r="B2615">
        <v>0.5</v>
      </c>
      <c r="C2615">
        <v>0.85</v>
      </c>
      <c r="D2615">
        <v>1.28</v>
      </c>
      <c r="E2615">
        <v>1.75</v>
      </c>
      <c r="F2615">
        <v>2.19</v>
      </c>
      <c r="G2615">
        <v>2.88</v>
      </c>
      <c r="H2615">
        <v>3.48</v>
      </c>
      <c r="I2615">
        <v>4.2300000000000004</v>
      </c>
      <c r="K2615">
        <f t="shared" si="323"/>
        <v>-2.0000000000000018</v>
      </c>
      <c r="L2615">
        <f t="shared" si="324"/>
        <v>-2.0000000000000018</v>
      </c>
      <c r="M2615">
        <f t="shared" si="325"/>
        <v>-4.0000000000000036</v>
      </c>
      <c r="N2615">
        <f t="shared" si="326"/>
        <v>-3.0000000000000027</v>
      </c>
      <c r="O2615">
        <f t="shared" si="327"/>
        <v>-3.0000000000000249</v>
      </c>
      <c r="P2615">
        <f t="shared" si="328"/>
        <v>-1.0000000000000231</v>
      </c>
      <c r="Q2615">
        <f t="shared" si="329"/>
        <v>0.99999999999997868</v>
      </c>
      <c r="R2615">
        <f t="shared" si="330"/>
        <v>6.0000000000000497</v>
      </c>
    </row>
    <row r="2616" spans="1:18">
      <c r="A2616" s="9">
        <v>40527</v>
      </c>
      <c r="B2616">
        <v>0.51</v>
      </c>
      <c r="C2616">
        <v>0.87</v>
      </c>
      <c r="D2616">
        <v>1.32</v>
      </c>
      <c r="E2616">
        <v>1.79</v>
      </c>
      <c r="F2616">
        <v>2.2400000000000002</v>
      </c>
      <c r="G2616">
        <v>2.93</v>
      </c>
      <c r="H2616">
        <v>3.54</v>
      </c>
      <c r="I2616">
        <v>4.28</v>
      </c>
      <c r="K2616">
        <f t="shared" si="323"/>
        <v>1.0000000000000009</v>
      </c>
      <c r="L2616">
        <f t="shared" si="324"/>
        <v>2.0000000000000018</v>
      </c>
      <c r="M2616">
        <f t="shared" si="325"/>
        <v>4.0000000000000036</v>
      </c>
      <c r="N2616">
        <f t="shared" si="326"/>
        <v>4.0000000000000036</v>
      </c>
      <c r="O2616">
        <f t="shared" si="327"/>
        <v>5.0000000000000266</v>
      </c>
      <c r="P2616">
        <f t="shared" si="328"/>
        <v>5.0000000000000266</v>
      </c>
      <c r="Q2616">
        <f t="shared" si="329"/>
        <v>6.0000000000000053</v>
      </c>
      <c r="R2616">
        <f t="shared" si="330"/>
        <v>4.9999999999999822</v>
      </c>
    </row>
    <row r="2617" spans="1:18">
      <c r="A2617" s="9">
        <v>40528</v>
      </c>
      <c r="B2617">
        <v>0.55000000000000004</v>
      </c>
      <c r="C2617">
        <v>0.94</v>
      </c>
      <c r="D2617">
        <v>1.42</v>
      </c>
      <c r="E2617">
        <v>1.92</v>
      </c>
      <c r="F2617">
        <v>2.38</v>
      </c>
      <c r="G2617">
        <v>3.09</v>
      </c>
      <c r="H2617">
        <v>3.68</v>
      </c>
      <c r="I2617">
        <v>4.37</v>
      </c>
      <c r="K2617">
        <f t="shared" si="323"/>
        <v>4.0000000000000036</v>
      </c>
      <c r="L2617">
        <f t="shared" si="324"/>
        <v>6.9999999999999947</v>
      </c>
      <c r="M2617">
        <f t="shared" si="325"/>
        <v>9.9999999999999858</v>
      </c>
      <c r="N2617">
        <f t="shared" si="326"/>
        <v>12.999999999999989</v>
      </c>
      <c r="O2617">
        <f t="shared" si="327"/>
        <v>13.999999999999968</v>
      </c>
      <c r="P2617">
        <f t="shared" si="328"/>
        <v>15.99999999999997</v>
      </c>
      <c r="Q2617">
        <f t="shared" si="329"/>
        <v>14.000000000000012</v>
      </c>
      <c r="R2617">
        <f t="shared" si="330"/>
        <v>8.9999999999999858</v>
      </c>
    </row>
    <row r="2618" spans="1:18">
      <c r="A2618" s="9">
        <v>40529</v>
      </c>
      <c r="B2618">
        <v>0.51</v>
      </c>
      <c r="C2618">
        <v>0.87</v>
      </c>
      <c r="D2618">
        <v>1.32</v>
      </c>
      <c r="E2618">
        <v>1.8</v>
      </c>
      <c r="F2618">
        <v>2.2400000000000002</v>
      </c>
      <c r="G2618">
        <v>2.92</v>
      </c>
      <c r="H2618">
        <v>3.52</v>
      </c>
      <c r="I2618">
        <v>4.24</v>
      </c>
      <c r="K2618">
        <f t="shared" si="323"/>
        <v>-4.0000000000000036</v>
      </c>
      <c r="L2618">
        <f t="shared" si="324"/>
        <v>-6.9999999999999947</v>
      </c>
      <c r="M2618">
        <f t="shared" si="325"/>
        <v>-9.9999999999999858</v>
      </c>
      <c r="N2618">
        <f t="shared" si="326"/>
        <v>-11.999999999999989</v>
      </c>
      <c r="O2618">
        <f t="shared" si="327"/>
        <v>-13.999999999999968</v>
      </c>
      <c r="P2618">
        <f t="shared" si="328"/>
        <v>-16.999999999999993</v>
      </c>
      <c r="Q2618">
        <f t="shared" si="329"/>
        <v>-16.000000000000014</v>
      </c>
      <c r="R2618">
        <f t="shared" si="330"/>
        <v>-12.999999999999989</v>
      </c>
    </row>
    <row r="2619" spans="1:18">
      <c r="A2619" s="9">
        <v>40532</v>
      </c>
      <c r="B2619">
        <v>0.48</v>
      </c>
      <c r="C2619">
        <v>0.81</v>
      </c>
      <c r="D2619">
        <v>1.23</v>
      </c>
      <c r="E2619">
        <v>1.67</v>
      </c>
      <c r="F2619">
        <v>2.09</v>
      </c>
      <c r="G2619">
        <v>2.75</v>
      </c>
      <c r="H2619">
        <v>3.34</v>
      </c>
      <c r="I2619">
        <v>4.09</v>
      </c>
      <c r="K2619">
        <f t="shared" si="323"/>
        <v>-3.0000000000000027</v>
      </c>
      <c r="L2619">
        <f t="shared" si="324"/>
        <v>-5.9999999999999947</v>
      </c>
      <c r="M2619">
        <f t="shared" si="325"/>
        <v>-9.0000000000000071</v>
      </c>
      <c r="N2619">
        <f t="shared" si="326"/>
        <v>-13.000000000000011</v>
      </c>
      <c r="O2619">
        <f t="shared" si="327"/>
        <v>-15.000000000000036</v>
      </c>
      <c r="P2619">
        <f t="shared" si="328"/>
        <v>-16.999999999999993</v>
      </c>
      <c r="Q2619">
        <f t="shared" si="329"/>
        <v>-18.000000000000014</v>
      </c>
      <c r="R2619">
        <f t="shared" si="330"/>
        <v>-15.000000000000036</v>
      </c>
    </row>
    <row r="2620" spans="1:18">
      <c r="A2620" s="9">
        <v>40533</v>
      </c>
      <c r="B2620">
        <v>0.48</v>
      </c>
      <c r="C2620">
        <v>0.81</v>
      </c>
      <c r="D2620">
        <v>1.24</v>
      </c>
      <c r="E2620">
        <v>1.7</v>
      </c>
      <c r="F2620">
        <v>2.13</v>
      </c>
      <c r="G2620">
        <v>2.82</v>
      </c>
      <c r="H2620">
        <v>3.41</v>
      </c>
      <c r="I2620">
        <v>4.1500000000000004</v>
      </c>
      <c r="K2620">
        <f t="shared" si="323"/>
        <v>0</v>
      </c>
      <c r="L2620">
        <f t="shared" si="324"/>
        <v>0</v>
      </c>
      <c r="M2620">
        <f t="shared" si="325"/>
        <v>1.0000000000000009</v>
      </c>
      <c r="N2620">
        <f t="shared" si="326"/>
        <v>3.0000000000000027</v>
      </c>
      <c r="O2620">
        <f t="shared" si="327"/>
        <v>4.0000000000000036</v>
      </c>
      <c r="P2620">
        <f t="shared" si="328"/>
        <v>6.999999999999984</v>
      </c>
      <c r="Q2620">
        <f t="shared" si="329"/>
        <v>7.0000000000000284</v>
      </c>
      <c r="R2620">
        <f t="shared" si="330"/>
        <v>6.0000000000000497</v>
      </c>
    </row>
    <row r="2621" spans="1:18">
      <c r="A2621" s="9">
        <v>40534</v>
      </c>
      <c r="B2621">
        <v>0.49</v>
      </c>
      <c r="C2621">
        <v>0.82</v>
      </c>
      <c r="D2621">
        <v>1.27</v>
      </c>
      <c r="E2621">
        <v>1.72</v>
      </c>
      <c r="F2621">
        <v>2.15</v>
      </c>
      <c r="G2621">
        <v>2.82</v>
      </c>
      <c r="H2621">
        <v>3.4</v>
      </c>
      <c r="I2621">
        <v>4.1500000000000004</v>
      </c>
      <c r="K2621">
        <f t="shared" si="323"/>
        <v>1.0000000000000009</v>
      </c>
      <c r="L2621">
        <f t="shared" si="324"/>
        <v>0.99999999999998979</v>
      </c>
      <c r="M2621">
        <f t="shared" si="325"/>
        <v>3.0000000000000027</v>
      </c>
      <c r="N2621">
        <f t="shared" si="326"/>
        <v>2.0000000000000018</v>
      </c>
      <c r="O2621">
        <f t="shared" si="327"/>
        <v>2.0000000000000018</v>
      </c>
      <c r="P2621">
        <f t="shared" si="328"/>
        <v>0</v>
      </c>
      <c r="Q2621">
        <f t="shared" si="329"/>
        <v>-1.0000000000000231</v>
      </c>
      <c r="R2621">
        <f t="shared" si="330"/>
        <v>0</v>
      </c>
    </row>
    <row r="2622" spans="1:18">
      <c r="A2622" s="9">
        <v>40535</v>
      </c>
      <c r="B2622">
        <v>0.5</v>
      </c>
      <c r="C2622">
        <v>0.9</v>
      </c>
      <c r="D2622">
        <v>1.36</v>
      </c>
      <c r="E2622">
        <v>1.82</v>
      </c>
      <c r="F2622">
        <v>2.2400000000000002</v>
      </c>
      <c r="G2622">
        <v>2.9</v>
      </c>
      <c r="H2622">
        <v>3.46</v>
      </c>
      <c r="I2622">
        <v>4.18</v>
      </c>
      <c r="K2622">
        <f t="shared" si="323"/>
        <v>1.0000000000000009</v>
      </c>
      <c r="L2622">
        <f t="shared" si="324"/>
        <v>8.0000000000000071</v>
      </c>
      <c r="M2622">
        <f t="shared" si="325"/>
        <v>9.0000000000000071</v>
      </c>
      <c r="N2622">
        <f t="shared" si="326"/>
        <v>10.000000000000009</v>
      </c>
      <c r="O2622">
        <f t="shared" si="327"/>
        <v>9.0000000000000302</v>
      </c>
      <c r="P2622">
        <f t="shared" si="328"/>
        <v>8.0000000000000071</v>
      </c>
      <c r="Q2622">
        <f t="shared" si="329"/>
        <v>6.0000000000000053</v>
      </c>
      <c r="R2622">
        <f t="shared" si="330"/>
        <v>2.9999999999999361</v>
      </c>
    </row>
    <row r="2623" spans="1:18">
      <c r="A2623" s="9">
        <v>40539</v>
      </c>
      <c r="B2623">
        <v>0.52</v>
      </c>
      <c r="C2623">
        <v>0.96</v>
      </c>
      <c r="D2623">
        <v>1.43</v>
      </c>
      <c r="E2623">
        <v>1.89</v>
      </c>
      <c r="F2623">
        <v>2.31</v>
      </c>
      <c r="G2623">
        <v>2.95</v>
      </c>
      <c r="H2623">
        <v>3.52</v>
      </c>
      <c r="I2623">
        <v>4.2300000000000004</v>
      </c>
      <c r="K2623">
        <f t="shared" si="323"/>
        <v>2.0000000000000018</v>
      </c>
      <c r="L2623">
        <f t="shared" si="324"/>
        <v>5.9999999999999947</v>
      </c>
      <c r="M2623">
        <f t="shared" si="325"/>
        <v>6.999999999999984</v>
      </c>
      <c r="N2623">
        <f t="shared" si="326"/>
        <v>6.999999999999984</v>
      </c>
      <c r="O2623">
        <f t="shared" si="327"/>
        <v>6.999999999999984</v>
      </c>
      <c r="P2623">
        <f t="shared" si="328"/>
        <v>5.0000000000000266</v>
      </c>
      <c r="Q2623">
        <f t="shared" si="329"/>
        <v>6.0000000000000053</v>
      </c>
      <c r="R2623">
        <f t="shared" si="330"/>
        <v>5.0000000000000711</v>
      </c>
    </row>
    <row r="2624" spans="1:18">
      <c r="A2624" s="9">
        <v>40540</v>
      </c>
      <c r="B2624">
        <v>0.5</v>
      </c>
      <c r="C2624">
        <v>0.9</v>
      </c>
      <c r="D2624">
        <v>1.38</v>
      </c>
      <c r="E2624">
        <v>1.84</v>
      </c>
      <c r="F2624">
        <v>2.27</v>
      </c>
      <c r="G2624">
        <v>2.92</v>
      </c>
      <c r="H2624">
        <v>3.46</v>
      </c>
      <c r="I2624">
        <v>4.2</v>
      </c>
      <c r="K2624">
        <f t="shared" si="323"/>
        <v>-2.0000000000000018</v>
      </c>
      <c r="L2624">
        <f t="shared" si="324"/>
        <v>-5.9999999999999947</v>
      </c>
      <c r="M2624">
        <f t="shared" si="325"/>
        <v>-5.0000000000000044</v>
      </c>
      <c r="N2624">
        <f t="shared" si="326"/>
        <v>-4.9999999999999822</v>
      </c>
      <c r="O2624">
        <f t="shared" si="327"/>
        <v>-4.0000000000000036</v>
      </c>
      <c r="P2624">
        <f t="shared" si="328"/>
        <v>-3.0000000000000249</v>
      </c>
      <c r="Q2624">
        <f t="shared" si="329"/>
        <v>-6.0000000000000053</v>
      </c>
      <c r="R2624">
        <f t="shared" si="330"/>
        <v>-3.0000000000000249</v>
      </c>
    </row>
    <row r="2625" spans="1:18">
      <c r="A2625" s="9">
        <v>40541</v>
      </c>
      <c r="B2625">
        <v>0.5</v>
      </c>
      <c r="C2625">
        <v>0.93</v>
      </c>
      <c r="D2625">
        <v>1.43</v>
      </c>
      <c r="E2625">
        <v>1.91</v>
      </c>
      <c r="F2625">
        <v>2.34</v>
      </c>
      <c r="G2625">
        <v>3</v>
      </c>
      <c r="H2625">
        <v>3.55</v>
      </c>
      <c r="I2625">
        <v>4.26</v>
      </c>
      <c r="K2625">
        <f t="shared" si="323"/>
        <v>0</v>
      </c>
      <c r="L2625">
        <f t="shared" si="324"/>
        <v>3.0000000000000027</v>
      </c>
      <c r="M2625">
        <f t="shared" si="325"/>
        <v>5.0000000000000044</v>
      </c>
      <c r="N2625">
        <f t="shared" si="326"/>
        <v>6.999999999999984</v>
      </c>
      <c r="O2625">
        <f t="shared" si="327"/>
        <v>6.999999999999984</v>
      </c>
      <c r="P2625">
        <f t="shared" si="328"/>
        <v>8.0000000000000071</v>
      </c>
      <c r="Q2625">
        <f t="shared" si="329"/>
        <v>8.9999999999999858</v>
      </c>
      <c r="R2625">
        <f t="shared" si="330"/>
        <v>5.9999999999999609</v>
      </c>
    </row>
    <row r="2626" spans="1:18">
      <c r="A2626" s="9">
        <v>40542</v>
      </c>
      <c r="B2626">
        <v>0.47</v>
      </c>
      <c r="C2626">
        <v>0.87</v>
      </c>
      <c r="D2626">
        <v>1.36</v>
      </c>
      <c r="E2626">
        <v>1.84</v>
      </c>
      <c r="F2626">
        <v>2.2599999999999998</v>
      </c>
      <c r="G2626">
        <v>2.91</v>
      </c>
      <c r="H2626">
        <v>3.47</v>
      </c>
      <c r="I2626">
        <v>4.2</v>
      </c>
      <c r="K2626">
        <f t="shared" si="323"/>
        <v>-3.0000000000000027</v>
      </c>
      <c r="L2626">
        <f t="shared" si="324"/>
        <v>-6.0000000000000053</v>
      </c>
      <c r="M2626">
        <f t="shared" si="325"/>
        <v>-6.999999999999984</v>
      </c>
      <c r="N2626">
        <f t="shared" si="326"/>
        <v>-6.999999999999984</v>
      </c>
      <c r="O2626">
        <f t="shared" si="327"/>
        <v>-8.0000000000000071</v>
      </c>
      <c r="P2626">
        <f t="shared" si="328"/>
        <v>-8.9999999999999858</v>
      </c>
      <c r="Q2626">
        <f t="shared" si="329"/>
        <v>-7.9999999999999627</v>
      </c>
      <c r="R2626">
        <f t="shared" si="330"/>
        <v>-5.9999999999999609</v>
      </c>
    </row>
    <row r="2627" spans="1:18">
      <c r="A2627" s="9">
        <v>40543</v>
      </c>
      <c r="B2627">
        <v>0.45</v>
      </c>
      <c r="C2627">
        <v>0.81</v>
      </c>
      <c r="D2627">
        <v>1.3</v>
      </c>
      <c r="E2627">
        <v>1.77</v>
      </c>
      <c r="F2627">
        <v>2.2000000000000002</v>
      </c>
      <c r="G2627">
        <v>2.85</v>
      </c>
      <c r="H2627">
        <v>3.41</v>
      </c>
      <c r="I2627">
        <v>4.1500000000000004</v>
      </c>
      <c r="K2627">
        <f t="shared" si="323"/>
        <v>-1.9999999999999962</v>
      </c>
      <c r="L2627">
        <f t="shared" si="324"/>
        <v>-5.9999999999999947</v>
      </c>
      <c r="M2627">
        <f t="shared" si="325"/>
        <v>-6.0000000000000053</v>
      </c>
      <c r="N2627">
        <f t="shared" si="326"/>
        <v>-7.0000000000000062</v>
      </c>
      <c r="O2627">
        <f t="shared" si="327"/>
        <v>-5.9999999999999609</v>
      </c>
      <c r="P2627">
        <f t="shared" si="328"/>
        <v>-6.0000000000000053</v>
      </c>
      <c r="Q2627">
        <f t="shared" si="329"/>
        <v>-6.0000000000000053</v>
      </c>
      <c r="R2627">
        <f t="shared" si="330"/>
        <v>-4.9999999999999822</v>
      </c>
    </row>
    <row r="2628" spans="1:18">
      <c r="A2628" s="9">
        <v>40546</v>
      </c>
      <c r="B2628">
        <v>0.44</v>
      </c>
      <c r="C2628">
        <v>0.82</v>
      </c>
      <c r="D2628">
        <v>1.31</v>
      </c>
      <c r="E2628">
        <v>1.8</v>
      </c>
      <c r="F2628">
        <v>2.23</v>
      </c>
      <c r="G2628">
        <v>2.89</v>
      </c>
      <c r="H2628">
        <v>3.45</v>
      </c>
      <c r="I2628">
        <v>4.1900000000000004</v>
      </c>
      <c r="K2628">
        <f t="shared" si="323"/>
        <v>-1.0000000000000009</v>
      </c>
      <c r="L2628">
        <f t="shared" si="324"/>
        <v>0.99999999999998979</v>
      </c>
      <c r="M2628">
        <f t="shared" si="325"/>
        <v>1.0000000000000009</v>
      </c>
      <c r="N2628">
        <f t="shared" si="326"/>
        <v>3.0000000000000027</v>
      </c>
      <c r="O2628">
        <f t="shared" si="327"/>
        <v>2.9999999999999805</v>
      </c>
      <c r="P2628">
        <f t="shared" si="328"/>
        <v>4.0000000000000036</v>
      </c>
      <c r="Q2628">
        <f t="shared" si="329"/>
        <v>4.0000000000000036</v>
      </c>
      <c r="R2628">
        <f t="shared" si="330"/>
        <v>4.0000000000000036</v>
      </c>
    </row>
    <row r="2629" spans="1:18">
      <c r="A2629" s="9">
        <v>40547</v>
      </c>
      <c r="B2629">
        <v>0.44</v>
      </c>
      <c r="C2629">
        <v>0.79</v>
      </c>
      <c r="D2629">
        <v>1.25</v>
      </c>
      <c r="E2629">
        <v>1.71</v>
      </c>
      <c r="F2629">
        <v>2.15</v>
      </c>
      <c r="G2629">
        <v>2.81</v>
      </c>
      <c r="H2629">
        <v>3.39</v>
      </c>
      <c r="I2629">
        <v>4.2</v>
      </c>
      <c r="K2629">
        <f t="shared" ref="K2629:K2692" si="331">(B2629-B2628)*100</f>
        <v>0</v>
      </c>
      <c r="L2629">
        <f t="shared" ref="L2629:L2692" si="332">(C2629-C2628)*100</f>
        <v>-2.9999999999999916</v>
      </c>
      <c r="M2629">
        <f t="shared" ref="M2629:M2692" si="333">(D2629-D2628)*100</f>
        <v>-6.0000000000000053</v>
      </c>
      <c r="N2629">
        <f t="shared" ref="N2629:N2692" si="334">(E2629-E2628)*100</f>
        <v>-9.0000000000000071</v>
      </c>
      <c r="O2629">
        <f t="shared" ref="O2629:O2692" si="335">(F2629-F2628)*100</f>
        <v>-8.0000000000000071</v>
      </c>
      <c r="P2629">
        <f t="shared" ref="P2629:P2692" si="336">(G2629-G2628)*100</f>
        <v>-8.0000000000000071</v>
      </c>
      <c r="Q2629">
        <f t="shared" ref="Q2629:Q2692" si="337">(H2629-H2628)*100</f>
        <v>-6.0000000000000053</v>
      </c>
      <c r="R2629">
        <f t="shared" ref="R2629:R2692" si="338">(I2629-I2628)*100</f>
        <v>0.99999999999997868</v>
      </c>
    </row>
    <row r="2630" spans="1:18">
      <c r="A2630" s="9">
        <v>40548</v>
      </c>
      <c r="B2630">
        <v>0.5</v>
      </c>
      <c r="C2630">
        <v>0.92</v>
      </c>
      <c r="D2630">
        <v>1.4</v>
      </c>
      <c r="E2630">
        <v>1.88</v>
      </c>
      <c r="F2630">
        <v>2.2999999999999998</v>
      </c>
      <c r="G2630">
        <v>2.95</v>
      </c>
      <c r="H2630">
        <v>3.51</v>
      </c>
      <c r="I2630">
        <v>4.3</v>
      </c>
      <c r="K2630">
        <f t="shared" si="331"/>
        <v>6</v>
      </c>
      <c r="L2630">
        <f t="shared" si="332"/>
        <v>13</v>
      </c>
      <c r="M2630">
        <f t="shared" si="333"/>
        <v>14.999999999999991</v>
      </c>
      <c r="N2630">
        <f t="shared" si="334"/>
        <v>16.999999999999993</v>
      </c>
      <c r="O2630">
        <f t="shared" si="335"/>
        <v>14.999999999999991</v>
      </c>
      <c r="P2630">
        <f t="shared" si="336"/>
        <v>14.000000000000012</v>
      </c>
      <c r="Q2630">
        <f t="shared" si="337"/>
        <v>11.999999999999966</v>
      </c>
      <c r="R2630">
        <f t="shared" si="338"/>
        <v>9.9999999999999645</v>
      </c>
    </row>
    <row r="2631" spans="1:18">
      <c r="A2631" s="9">
        <v>40549</v>
      </c>
      <c r="B2631">
        <v>0.49</v>
      </c>
      <c r="C2631">
        <v>0.91</v>
      </c>
      <c r="D2631">
        <v>1.4</v>
      </c>
      <c r="E2631">
        <v>1.87</v>
      </c>
      <c r="F2631">
        <v>2.2999999999999998</v>
      </c>
      <c r="G2631">
        <v>2.95</v>
      </c>
      <c r="H2631">
        <v>3.52</v>
      </c>
      <c r="I2631">
        <v>4.29</v>
      </c>
      <c r="K2631">
        <f t="shared" si="331"/>
        <v>-1.0000000000000009</v>
      </c>
      <c r="L2631">
        <f t="shared" si="332"/>
        <v>-1.0000000000000009</v>
      </c>
      <c r="M2631">
        <f t="shared" si="333"/>
        <v>0</v>
      </c>
      <c r="N2631">
        <f t="shared" si="334"/>
        <v>-0.99999999999997868</v>
      </c>
      <c r="O2631">
        <f t="shared" si="335"/>
        <v>0</v>
      </c>
      <c r="P2631">
        <f t="shared" si="336"/>
        <v>0</v>
      </c>
      <c r="Q2631">
        <f t="shared" si="337"/>
        <v>1.0000000000000231</v>
      </c>
      <c r="R2631">
        <f t="shared" si="338"/>
        <v>-0.99999999999997868</v>
      </c>
    </row>
    <row r="2632" spans="1:18">
      <c r="A2632" s="9">
        <v>40550</v>
      </c>
      <c r="B2632">
        <v>0.48</v>
      </c>
      <c r="C2632">
        <v>0.86</v>
      </c>
      <c r="D2632">
        <v>1.32</v>
      </c>
      <c r="E2632">
        <v>1.78</v>
      </c>
      <c r="F2632">
        <v>2.2000000000000002</v>
      </c>
      <c r="G2632">
        <v>2.86</v>
      </c>
      <c r="H2632">
        <v>3.44</v>
      </c>
      <c r="I2632">
        <v>4.24</v>
      </c>
      <c r="K2632">
        <f t="shared" si="331"/>
        <v>-1.0000000000000009</v>
      </c>
      <c r="L2632">
        <f t="shared" si="332"/>
        <v>-5.0000000000000044</v>
      </c>
      <c r="M2632">
        <f t="shared" si="333"/>
        <v>-7.9999999999999849</v>
      </c>
      <c r="N2632">
        <f t="shared" si="334"/>
        <v>-9.0000000000000071</v>
      </c>
      <c r="O2632">
        <f t="shared" si="335"/>
        <v>-9.9999999999999645</v>
      </c>
      <c r="P2632">
        <f t="shared" si="336"/>
        <v>-9.0000000000000302</v>
      </c>
      <c r="Q2632">
        <f t="shared" si="337"/>
        <v>-8.0000000000000071</v>
      </c>
      <c r="R2632">
        <f t="shared" si="338"/>
        <v>-4.9999999999999822</v>
      </c>
    </row>
    <row r="2633" spans="1:18">
      <c r="A2633" s="9">
        <v>40553</v>
      </c>
      <c r="B2633">
        <v>0.49</v>
      </c>
      <c r="C2633">
        <v>0.84</v>
      </c>
      <c r="D2633">
        <v>1.29</v>
      </c>
      <c r="E2633">
        <v>1.74</v>
      </c>
      <c r="F2633">
        <v>2.16</v>
      </c>
      <c r="G2633">
        <v>2.8</v>
      </c>
      <c r="H2633">
        <v>3.38</v>
      </c>
      <c r="I2633">
        <v>4.17</v>
      </c>
      <c r="K2633">
        <f t="shared" si="331"/>
        <v>1.0000000000000009</v>
      </c>
      <c r="L2633">
        <f t="shared" si="332"/>
        <v>-2.0000000000000018</v>
      </c>
      <c r="M2633">
        <f t="shared" si="333"/>
        <v>-3.0000000000000027</v>
      </c>
      <c r="N2633">
        <f t="shared" si="334"/>
        <v>-4.0000000000000036</v>
      </c>
      <c r="O2633">
        <f t="shared" si="335"/>
        <v>-4.0000000000000036</v>
      </c>
      <c r="P2633">
        <f t="shared" si="336"/>
        <v>-6.0000000000000053</v>
      </c>
      <c r="Q2633">
        <f t="shared" si="337"/>
        <v>-6.0000000000000053</v>
      </c>
      <c r="R2633">
        <f t="shared" si="338"/>
        <v>-7.0000000000000284</v>
      </c>
    </row>
    <row r="2634" spans="1:18">
      <c r="A2634" s="9">
        <v>40554</v>
      </c>
      <c r="B2634">
        <v>0.48</v>
      </c>
      <c r="C2634">
        <v>0.84</v>
      </c>
      <c r="D2634">
        <v>1.29</v>
      </c>
      <c r="E2634">
        <v>1.76</v>
      </c>
      <c r="F2634">
        <v>2.1800000000000002</v>
      </c>
      <c r="G2634">
        <v>2.84</v>
      </c>
      <c r="H2634">
        <v>3.43</v>
      </c>
      <c r="I2634">
        <v>4.2300000000000004</v>
      </c>
      <c r="K2634">
        <f t="shared" si="331"/>
        <v>-1.0000000000000009</v>
      </c>
      <c r="L2634">
        <f t="shared" si="332"/>
        <v>0</v>
      </c>
      <c r="M2634">
        <f t="shared" si="333"/>
        <v>0</v>
      </c>
      <c r="N2634">
        <f t="shared" si="334"/>
        <v>2.0000000000000018</v>
      </c>
      <c r="O2634">
        <f t="shared" si="335"/>
        <v>2.0000000000000018</v>
      </c>
      <c r="P2634">
        <f t="shared" si="336"/>
        <v>4.0000000000000036</v>
      </c>
      <c r="Q2634">
        <f t="shared" si="337"/>
        <v>5.0000000000000266</v>
      </c>
      <c r="R2634">
        <f t="shared" si="338"/>
        <v>6.0000000000000497</v>
      </c>
    </row>
    <row r="2635" spans="1:18">
      <c r="A2635" s="9">
        <v>40555</v>
      </c>
      <c r="B2635">
        <v>0.47</v>
      </c>
      <c r="C2635">
        <v>0.85</v>
      </c>
      <c r="D2635">
        <v>1.34</v>
      </c>
      <c r="E2635">
        <v>1.81</v>
      </c>
      <c r="F2635">
        <v>2.2400000000000002</v>
      </c>
      <c r="G2635">
        <v>2.9</v>
      </c>
      <c r="H2635">
        <v>3.47</v>
      </c>
      <c r="I2635">
        <v>4.25</v>
      </c>
      <c r="K2635">
        <f t="shared" si="331"/>
        <v>-1.0000000000000009</v>
      </c>
      <c r="L2635">
        <f t="shared" si="332"/>
        <v>1.0000000000000009</v>
      </c>
      <c r="M2635">
        <f t="shared" si="333"/>
        <v>5.0000000000000044</v>
      </c>
      <c r="N2635">
        <f t="shared" si="334"/>
        <v>5.0000000000000044</v>
      </c>
      <c r="O2635">
        <f t="shared" si="335"/>
        <v>6.0000000000000053</v>
      </c>
      <c r="P2635">
        <f t="shared" si="336"/>
        <v>6.0000000000000053</v>
      </c>
      <c r="Q2635">
        <f t="shared" si="337"/>
        <v>4.0000000000000036</v>
      </c>
      <c r="R2635">
        <f t="shared" si="338"/>
        <v>1.9999999999999574</v>
      </c>
    </row>
    <row r="2636" spans="1:18">
      <c r="A2636" s="9">
        <v>40556</v>
      </c>
      <c r="B2636">
        <v>0.46</v>
      </c>
      <c r="C2636">
        <v>0.84</v>
      </c>
      <c r="D2636">
        <v>1.31</v>
      </c>
      <c r="E2636">
        <v>1.77</v>
      </c>
      <c r="F2636">
        <v>2.19</v>
      </c>
      <c r="G2636">
        <v>2.84</v>
      </c>
      <c r="H2636">
        <v>3.44</v>
      </c>
      <c r="I2636">
        <v>4.24</v>
      </c>
      <c r="K2636">
        <f t="shared" si="331"/>
        <v>-0.99999999999999534</v>
      </c>
      <c r="L2636">
        <f t="shared" si="332"/>
        <v>-1.0000000000000009</v>
      </c>
      <c r="M2636">
        <f t="shared" si="333"/>
        <v>-3.0000000000000027</v>
      </c>
      <c r="N2636">
        <f t="shared" si="334"/>
        <v>-4.0000000000000036</v>
      </c>
      <c r="O2636">
        <f t="shared" si="335"/>
        <v>-5.0000000000000266</v>
      </c>
      <c r="P2636">
        <f t="shared" si="336"/>
        <v>-6.0000000000000053</v>
      </c>
      <c r="Q2636">
        <f t="shared" si="337"/>
        <v>-3.0000000000000249</v>
      </c>
      <c r="R2636">
        <f t="shared" si="338"/>
        <v>-0.99999999999997868</v>
      </c>
    </row>
    <row r="2637" spans="1:18">
      <c r="A2637" s="9">
        <v>40557</v>
      </c>
      <c r="B2637">
        <v>0.45</v>
      </c>
      <c r="C2637">
        <v>0.8</v>
      </c>
      <c r="D2637">
        <v>1.24</v>
      </c>
      <c r="E2637">
        <v>1.69</v>
      </c>
      <c r="F2637">
        <v>2.1</v>
      </c>
      <c r="G2637">
        <v>2.75</v>
      </c>
      <c r="H2637">
        <v>3.34</v>
      </c>
      <c r="I2637">
        <v>4.17</v>
      </c>
      <c r="K2637">
        <f t="shared" si="331"/>
        <v>-1.0000000000000009</v>
      </c>
      <c r="L2637">
        <f t="shared" si="332"/>
        <v>-3.9999999999999925</v>
      </c>
      <c r="M2637">
        <f t="shared" si="333"/>
        <v>-7.0000000000000062</v>
      </c>
      <c r="N2637">
        <f t="shared" si="334"/>
        <v>-8.0000000000000071</v>
      </c>
      <c r="O2637">
        <f t="shared" si="335"/>
        <v>-8.9999999999999858</v>
      </c>
      <c r="P2637">
        <f t="shared" si="336"/>
        <v>-8.9999999999999858</v>
      </c>
      <c r="Q2637">
        <f t="shared" si="337"/>
        <v>-10.000000000000009</v>
      </c>
      <c r="R2637">
        <f t="shared" si="338"/>
        <v>-7.0000000000000284</v>
      </c>
    </row>
    <row r="2638" spans="1:18">
      <c r="A2638" s="9">
        <v>40561</v>
      </c>
      <c r="B2638">
        <v>0.46</v>
      </c>
      <c r="C2638">
        <v>0.83</v>
      </c>
      <c r="D2638">
        <v>1.29</v>
      </c>
      <c r="E2638">
        <v>1.76</v>
      </c>
      <c r="F2638">
        <v>2.2000000000000002</v>
      </c>
      <c r="G2638">
        <v>2.86</v>
      </c>
      <c r="H2638">
        <v>3.46</v>
      </c>
      <c r="I2638">
        <v>4.29</v>
      </c>
      <c r="K2638">
        <f t="shared" si="331"/>
        <v>1.0000000000000009</v>
      </c>
      <c r="L2638">
        <f t="shared" si="332"/>
        <v>2.9999999999999916</v>
      </c>
      <c r="M2638">
        <f t="shared" si="333"/>
        <v>5.0000000000000044</v>
      </c>
      <c r="N2638">
        <f t="shared" si="334"/>
        <v>7.0000000000000062</v>
      </c>
      <c r="O2638">
        <f t="shared" si="335"/>
        <v>10.000000000000009</v>
      </c>
      <c r="P2638">
        <f t="shared" si="336"/>
        <v>10.999999999999988</v>
      </c>
      <c r="Q2638">
        <f t="shared" si="337"/>
        <v>12.000000000000011</v>
      </c>
      <c r="R2638">
        <f t="shared" si="338"/>
        <v>12.000000000000011</v>
      </c>
    </row>
    <row r="2639" spans="1:18">
      <c r="A2639" s="9">
        <v>40562</v>
      </c>
      <c r="B2639">
        <v>0.45</v>
      </c>
      <c r="C2639">
        <v>0.8</v>
      </c>
      <c r="D2639">
        <v>1.26</v>
      </c>
      <c r="E2639">
        <v>1.72</v>
      </c>
      <c r="F2639">
        <v>2.16</v>
      </c>
      <c r="G2639">
        <v>2.82</v>
      </c>
      <c r="H2639">
        <v>3.42</v>
      </c>
      <c r="I2639">
        <v>4.2699999999999996</v>
      </c>
      <c r="K2639">
        <f t="shared" si="331"/>
        <v>-1.0000000000000009</v>
      </c>
      <c r="L2639">
        <f t="shared" si="332"/>
        <v>-2.9999999999999916</v>
      </c>
      <c r="M2639">
        <f t="shared" si="333"/>
        <v>-3.0000000000000027</v>
      </c>
      <c r="N2639">
        <f t="shared" si="334"/>
        <v>-4.0000000000000036</v>
      </c>
      <c r="O2639">
        <f t="shared" si="335"/>
        <v>-4.0000000000000036</v>
      </c>
      <c r="P2639">
        <f t="shared" si="336"/>
        <v>-4.0000000000000036</v>
      </c>
      <c r="Q2639">
        <f t="shared" si="337"/>
        <v>-4.0000000000000036</v>
      </c>
      <c r="R2639">
        <f t="shared" si="338"/>
        <v>-2.0000000000000462</v>
      </c>
    </row>
    <row r="2640" spans="1:18">
      <c r="A2640" s="9">
        <v>40563</v>
      </c>
      <c r="B2640">
        <v>0.45</v>
      </c>
      <c r="C2640">
        <v>0.84</v>
      </c>
      <c r="D2640">
        <v>1.31</v>
      </c>
      <c r="E2640">
        <v>1.79</v>
      </c>
      <c r="F2640">
        <v>2.23</v>
      </c>
      <c r="G2640">
        <v>2.9</v>
      </c>
      <c r="H2640">
        <v>3.49</v>
      </c>
      <c r="I2640">
        <v>4.33</v>
      </c>
      <c r="K2640">
        <f t="shared" si="331"/>
        <v>0</v>
      </c>
      <c r="L2640">
        <f t="shared" si="332"/>
        <v>3.9999999999999925</v>
      </c>
      <c r="M2640">
        <f t="shared" si="333"/>
        <v>5.0000000000000044</v>
      </c>
      <c r="N2640">
        <f t="shared" si="334"/>
        <v>7.0000000000000062</v>
      </c>
      <c r="O2640">
        <f t="shared" si="335"/>
        <v>6.999999999999984</v>
      </c>
      <c r="P2640">
        <f t="shared" si="336"/>
        <v>8.0000000000000071</v>
      </c>
      <c r="Q2640">
        <f t="shared" si="337"/>
        <v>7.0000000000000284</v>
      </c>
      <c r="R2640">
        <f t="shared" si="338"/>
        <v>6.0000000000000497</v>
      </c>
    </row>
    <row r="2641" spans="1:18">
      <c r="A2641" s="9">
        <v>40564</v>
      </c>
      <c r="B2641">
        <v>0.46</v>
      </c>
      <c r="C2641">
        <v>0.85</v>
      </c>
      <c r="D2641">
        <v>1.34</v>
      </c>
      <c r="E2641">
        <v>1.82</v>
      </c>
      <c r="F2641">
        <v>2.2599999999999998</v>
      </c>
      <c r="G2641">
        <v>2.92</v>
      </c>
      <c r="H2641">
        <v>3.51</v>
      </c>
      <c r="I2641">
        <v>4.3099999999999996</v>
      </c>
      <c r="K2641">
        <f t="shared" si="331"/>
        <v>1.0000000000000009</v>
      </c>
      <c r="L2641">
        <f t="shared" si="332"/>
        <v>1.0000000000000009</v>
      </c>
      <c r="M2641">
        <f t="shared" si="333"/>
        <v>3.0000000000000027</v>
      </c>
      <c r="N2641">
        <f t="shared" si="334"/>
        <v>3.0000000000000027</v>
      </c>
      <c r="O2641">
        <f t="shared" si="335"/>
        <v>2.9999999999999805</v>
      </c>
      <c r="P2641">
        <f t="shared" si="336"/>
        <v>2.0000000000000018</v>
      </c>
      <c r="Q2641">
        <f t="shared" si="337"/>
        <v>1.9999999999999574</v>
      </c>
      <c r="R2641">
        <f t="shared" si="338"/>
        <v>-2.0000000000000462</v>
      </c>
    </row>
    <row r="2642" spans="1:18">
      <c r="A2642" s="9">
        <v>40567</v>
      </c>
      <c r="B2642">
        <v>0.45</v>
      </c>
      <c r="C2642">
        <v>0.85</v>
      </c>
      <c r="D2642">
        <v>1.32</v>
      </c>
      <c r="E2642">
        <v>1.79</v>
      </c>
      <c r="F2642">
        <v>2.2200000000000002</v>
      </c>
      <c r="G2642">
        <v>2.88</v>
      </c>
      <c r="H2642">
        <v>3.47</v>
      </c>
      <c r="I2642">
        <v>4.2699999999999996</v>
      </c>
      <c r="K2642">
        <f t="shared" si="331"/>
        <v>-1.0000000000000009</v>
      </c>
      <c r="L2642">
        <f t="shared" si="332"/>
        <v>0</v>
      </c>
      <c r="M2642">
        <f t="shared" si="333"/>
        <v>-2.0000000000000018</v>
      </c>
      <c r="N2642">
        <f t="shared" si="334"/>
        <v>-3.0000000000000027</v>
      </c>
      <c r="O2642">
        <f t="shared" si="335"/>
        <v>-3.9999999999999591</v>
      </c>
      <c r="P2642">
        <f t="shared" si="336"/>
        <v>-4.0000000000000036</v>
      </c>
      <c r="Q2642">
        <f t="shared" si="337"/>
        <v>-3.9999999999999591</v>
      </c>
      <c r="R2642">
        <f t="shared" si="338"/>
        <v>-4.0000000000000036</v>
      </c>
    </row>
    <row r="2643" spans="1:18">
      <c r="A2643" s="9">
        <v>40568</v>
      </c>
      <c r="B2643">
        <v>0.45</v>
      </c>
      <c r="C2643">
        <v>0.85</v>
      </c>
      <c r="D2643">
        <v>1.33</v>
      </c>
      <c r="E2643">
        <v>1.8</v>
      </c>
      <c r="F2643">
        <v>2.2400000000000002</v>
      </c>
      <c r="G2643">
        <v>2.9</v>
      </c>
      <c r="H2643">
        <v>3.49</v>
      </c>
      <c r="I2643">
        <v>4.29</v>
      </c>
      <c r="K2643">
        <f t="shared" si="331"/>
        <v>0</v>
      </c>
      <c r="L2643">
        <f t="shared" si="332"/>
        <v>0</v>
      </c>
      <c r="M2643">
        <f t="shared" si="333"/>
        <v>1.0000000000000009</v>
      </c>
      <c r="N2643">
        <f t="shared" si="334"/>
        <v>1.0000000000000009</v>
      </c>
      <c r="O2643">
        <f t="shared" si="335"/>
        <v>2.0000000000000018</v>
      </c>
      <c r="P2643">
        <f t="shared" si="336"/>
        <v>2.0000000000000018</v>
      </c>
      <c r="Q2643">
        <f t="shared" si="337"/>
        <v>2.0000000000000018</v>
      </c>
      <c r="R2643">
        <f t="shared" si="338"/>
        <v>2.0000000000000462</v>
      </c>
    </row>
    <row r="2644" spans="1:18">
      <c r="A2644" s="9">
        <v>40569</v>
      </c>
      <c r="B2644">
        <v>0.45</v>
      </c>
      <c r="C2644">
        <v>0.83</v>
      </c>
      <c r="D2644">
        <v>1.31</v>
      </c>
      <c r="E2644">
        <v>1.79</v>
      </c>
      <c r="F2644">
        <v>2.2200000000000002</v>
      </c>
      <c r="G2644">
        <v>2.88</v>
      </c>
      <c r="H2644">
        <v>3.47</v>
      </c>
      <c r="I2644">
        <v>4.2699999999999996</v>
      </c>
      <c r="K2644">
        <f t="shared" si="331"/>
        <v>0</v>
      </c>
      <c r="L2644">
        <f t="shared" si="332"/>
        <v>-2.0000000000000018</v>
      </c>
      <c r="M2644">
        <f t="shared" si="333"/>
        <v>-2.0000000000000018</v>
      </c>
      <c r="N2644">
        <f t="shared" si="334"/>
        <v>-1.0000000000000009</v>
      </c>
      <c r="O2644">
        <f t="shared" si="335"/>
        <v>-2.0000000000000018</v>
      </c>
      <c r="P2644">
        <f t="shared" si="336"/>
        <v>-2.0000000000000018</v>
      </c>
      <c r="Q2644">
        <f t="shared" si="337"/>
        <v>-2.0000000000000018</v>
      </c>
      <c r="R2644">
        <f t="shared" si="338"/>
        <v>-2.0000000000000462</v>
      </c>
    </row>
    <row r="2645" spans="1:18">
      <c r="A2645" s="9">
        <v>40570</v>
      </c>
      <c r="B2645">
        <v>0.43</v>
      </c>
      <c r="C2645">
        <v>0.81</v>
      </c>
      <c r="D2645">
        <v>1.31</v>
      </c>
      <c r="E2645">
        <v>1.8</v>
      </c>
      <c r="F2645">
        <v>2.25</v>
      </c>
      <c r="G2645">
        <v>2.94</v>
      </c>
      <c r="H2645">
        <v>3.54</v>
      </c>
      <c r="I2645">
        <v>4.34</v>
      </c>
      <c r="K2645">
        <f t="shared" si="331"/>
        <v>-2.0000000000000018</v>
      </c>
      <c r="L2645">
        <f t="shared" si="332"/>
        <v>-1.9999999999999907</v>
      </c>
      <c r="M2645">
        <f t="shared" si="333"/>
        <v>0</v>
      </c>
      <c r="N2645">
        <f t="shared" si="334"/>
        <v>1.0000000000000009</v>
      </c>
      <c r="O2645">
        <f t="shared" si="335"/>
        <v>2.9999999999999805</v>
      </c>
      <c r="P2645">
        <f t="shared" si="336"/>
        <v>6.0000000000000053</v>
      </c>
      <c r="Q2645">
        <f t="shared" si="337"/>
        <v>6.999999999999984</v>
      </c>
      <c r="R2645">
        <f t="shared" si="338"/>
        <v>7.0000000000000284</v>
      </c>
    </row>
    <row r="2646" spans="1:18">
      <c r="A2646" s="9">
        <v>40571</v>
      </c>
      <c r="B2646">
        <v>0.44</v>
      </c>
      <c r="C2646">
        <v>0.79</v>
      </c>
      <c r="D2646">
        <v>1.28</v>
      </c>
      <c r="E2646">
        <v>1.75</v>
      </c>
      <c r="F2646">
        <v>2.19</v>
      </c>
      <c r="G2646">
        <v>2.86</v>
      </c>
      <c r="H2646">
        <v>3.46</v>
      </c>
      <c r="I2646">
        <v>4.28</v>
      </c>
      <c r="K2646">
        <f t="shared" si="331"/>
        <v>1.0000000000000009</v>
      </c>
      <c r="L2646">
        <f t="shared" si="332"/>
        <v>-2.0000000000000018</v>
      </c>
      <c r="M2646">
        <f t="shared" si="333"/>
        <v>-3.0000000000000027</v>
      </c>
      <c r="N2646">
        <f t="shared" si="334"/>
        <v>-5.0000000000000044</v>
      </c>
      <c r="O2646">
        <f t="shared" si="335"/>
        <v>-6.0000000000000053</v>
      </c>
      <c r="P2646">
        <f t="shared" si="336"/>
        <v>-8.0000000000000071</v>
      </c>
      <c r="Q2646">
        <f t="shared" si="337"/>
        <v>-8.0000000000000071</v>
      </c>
      <c r="R2646">
        <f t="shared" si="338"/>
        <v>-5.9999999999999609</v>
      </c>
    </row>
    <row r="2647" spans="1:18">
      <c r="A2647" s="9">
        <v>40574</v>
      </c>
      <c r="B2647">
        <v>0.43</v>
      </c>
      <c r="C2647">
        <v>0.78</v>
      </c>
      <c r="D2647">
        <v>1.24</v>
      </c>
      <c r="E2647">
        <v>1.71</v>
      </c>
      <c r="F2647">
        <v>2.15</v>
      </c>
      <c r="G2647">
        <v>2.83</v>
      </c>
      <c r="H2647">
        <v>3.44</v>
      </c>
      <c r="I2647">
        <v>4.28</v>
      </c>
      <c r="K2647">
        <f t="shared" si="331"/>
        <v>-1.0000000000000009</v>
      </c>
      <c r="L2647">
        <f t="shared" si="332"/>
        <v>-1.0000000000000009</v>
      </c>
      <c r="M2647">
        <f t="shared" si="333"/>
        <v>-4.0000000000000036</v>
      </c>
      <c r="N2647">
        <f t="shared" si="334"/>
        <v>-4.0000000000000036</v>
      </c>
      <c r="O2647">
        <f t="shared" si="335"/>
        <v>-4.0000000000000036</v>
      </c>
      <c r="P2647">
        <f t="shared" si="336"/>
        <v>-2.9999999999999805</v>
      </c>
      <c r="Q2647">
        <f t="shared" si="337"/>
        <v>-2.0000000000000018</v>
      </c>
      <c r="R2647">
        <f t="shared" si="338"/>
        <v>0</v>
      </c>
    </row>
    <row r="2648" spans="1:18">
      <c r="A2648" s="9">
        <v>40575</v>
      </c>
      <c r="B2648">
        <v>0.45</v>
      </c>
      <c r="C2648">
        <v>0.84</v>
      </c>
      <c r="D2648">
        <v>1.33</v>
      </c>
      <c r="E2648">
        <v>1.81</v>
      </c>
      <c r="F2648">
        <v>2.2599999999999998</v>
      </c>
      <c r="G2648">
        <v>2.95</v>
      </c>
      <c r="H2648">
        <v>3.55</v>
      </c>
      <c r="I2648">
        <v>4.38</v>
      </c>
      <c r="K2648">
        <f t="shared" si="331"/>
        <v>2.0000000000000018</v>
      </c>
      <c r="L2648">
        <f t="shared" si="332"/>
        <v>5.9999999999999947</v>
      </c>
      <c r="M2648">
        <f t="shared" si="333"/>
        <v>9.0000000000000071</v>
      </c>
      <c r="N2648">
        <f t="shared" si="334"/>
        <v>10.000000000000009</v>
      </c>
      <c r="O2648">
        <f t="shared" si="335"/>
        <v>10.999999999999988</v>
      </c>
      <c r="P2648">
        <f t="shared" si="336"/>
        <v>12.000000000000011</v>
      </c>
      <c r="Q2648">
        <f t="shared" si="337"/>
        <v>10.999999999999988</v>
      </c>
      <c r="R2648">
        <f t="shared" si="338"/>
        <v>9.9999999999999645</v>
      </c>
    </row>
    <row r="2649" spans="1:18">
      <c r="A2649" s="9">
        <v>40576</v>
      </c>
      <c r="B2649">
        <v>0.47</v>
      </c>
      <c r="C2649">
        <v>0.87</v>
      </c>
      <c r="D2649">
        <v>1.38</v>
      </c>
      <c r="E2649">
        <v>1.86</v>
      </c>
      <c r="F2649">
        <v>2.2999999999999998</v>
      </c>
      <c r="G2649">
        <v>2.97</v>
      </c>
      <c r="H2649">
        <v>3.56</v>
      </c>
      <c r="I2649">
        <v>4.37</v>
      </c>
      <c r="K2649">
        <f t="shared" si="331"/>
        <v>1.9999999999999962</v>
      </c>
      <c r="L2649">
        <f t="shared" si="332"/>
        <v>3.0000000000000027</v>
      </c>
      <c r="M2649">
        <f t="shared" si="333"/>
        <v>4.9999999999999822</v>
      </c>
      <c r="N2649">
        <f t="shared" si="334"/>
        <v>5.0000000000000044</v>
      </c>
      <c r="O2649">
        <f t="shared" si="335"/>
        <v>4.0000000000000036</v>
      </c>
      <c r="P2649">
        <f t="shared" si="336"/>
        <v>2.0000000000000018</v>
      </c>
      <c r="Q2649">
        <f t="shared" si="337"/>
        <v>1.0000000000000231</v>
      </c>
      <c r="R2649">
        <f t="shared" si="338"/>
        <v>-0.99999999999997868</v>
      </c>
    </row>
    <row r="2650" spans="1:18">
      <c r="A2650" s="9">
        <v>40577</v>
      </c>
      <c r="B2650">
        <v>0.48</v>
      </c>
      <c r="C2650">
        <v>0.91</v>
      </c>
      <c r="D2650">
        <v>1.44</v>
      </c>
      <c r="E2650">
        <v>1.94</v>
      </c>
      <c r="F2650">
        <v>2.38</v>
      </c>
      <c r="G2650">
        <v>3.04</v>
      </c>
      <c r="H2650">
        <v>3.63</v>
      </c>
      <c r="I2650">
        <v>4.4000000000000004</v>
      </c>
      <c r="K2650">
        <f t="shared" si="331"/>
        <v>1.0000000000000009</v>
      </c>
      <c r="L2650">
        <f t="shared" si="332"/>
        <v>4.0000000000000036</v>
      </c>
      <c r="M2650">
        <f t="shared" si="333"/>
        <v>6.0000000000000053</v>
      </c>
      <c r="N2650">
        <f t="shared" si="334"/>
        <v>7.9999999999999849</v>
      </c>
      <c r="O2650">
        <f t="shared" si="335"/>
        <v>8.0000000000000071</v>
      </c>
      <c r="P2650">
        <f t="shared" si="336"/>
        <v>6.999999999999984</v>
      </c>
      <c r="Q2650">
        <f t="shared" si="337"/>
        <v>6.999999999999984</v>
      </c>
      <c r="R2650">
        <f t="shared" si="338"/>
        <v>3.0000000000000249</v>
      </c>
    </row>
    <row r="2651" spans="1:18">
      <c r="A2651" s="9">
        <v>40578</v>
      </c>
      <c r="B2651">
        <v>0.48</v>
      </c>
      <c r="C2651">
        <v>0.95</v>
      </c>
      <c r="D2651">
        <v>1.53</v>
      </c>
      <c r="E2651">
        <v>2.04</v>
      </c>
      <c r="F2651">
        <v>2.4900000000000002</v>
      </c>
      <c r="G2651">
        <v>3.17</v>
      </c>
      <c r="H2651">
        <v>3.75</v>
      </c>
      <c r="I2651">
        <v>4.49</v>
      </c>
      <c r="K2651">
        <f t="shared" si="331"/>
        <v>0</v>
      </c>
      <c r="L2651">
        <f t="shared" si="332"/>
        <v>3.9999999999999925</v>
      </c>
      <c r="M2651">
        <f t="shared" si="333"/>
        <v>9.0000000000000071</v>
      </c>
      <c r="N2651">
        <f t="shared" si="334"/>
        <v>10.000000000000009</v>
      </c>
      <c r="O2651">
        <f t="shared" si="335"/>
        <v>11.000000000000032</v>
      </c>
      <c r="P2651">
        <f t="shared" si="336"/>
        <v>12.999999999999989</v>
      </c>
      <c r="Q2651">
        <f t="shared" si="337"/>
        <v>12.000000000000011</v>
      </c>
      <c r="R2651">
        <f t="shared" si="338"/>
        <v>8.9999999999999858</v>
      </c>
    </row>
    <row r="2652" spans="1:18">
      <c r="A2652" s="9">
        <v>40581</v>
      </c>
      <c r="B2652">
        <v>0.49</v>
      </c>
      <c r="C2652">
        <v>1</v>
      </c>
      <c r="D2652">
        <v>1.57</v>
      </c>
      <c r="E2652">
        <v>2.08</v>
      </c>
      <c r="F2652">
        <v>2.5299999999999998</v>
      </c>
      <c r="G2652">
        <v>3.19</v>
      </c>
      <c r="H2652">
        <v>3.78</v>
      </c>
      <c r="I2652">
        <v>4.5</v>
      </c>
      <c r="K2652">
        <f t="shared" si="331"/>
        <v>1.0000000000000009</v>
      </c>
      <c r="L2652">
        <f t="shared" si="332"/>
        <v>5.0000000000000044</v>
      </c>
      <c r="M2652">
        <f t="shared" si="333"/>
        <v>4.0000000000000036</v>
      </c>
      <c r="N2652">
        <f t="shared" si="334"/>
        <v>4.0000000000000036</v>
      </c>
      <c r="O2652">
        <f t="shared" si="335"/>
        <v>3.9999999999999591</v>
      </c>
      <c r="P2652">
        <f t="shared" si="336"/>
        <v>2.0000000000000018</v>
      </c>
      <c r="Q2652">
        <f t="shared" si="337"/>
        <v>2.9999999999999805</v>
      </c>
      <c r="R2652">
        <f t="shared" si="338"/>
        <v>0.99999999999997868</v>
      </c>
    </row>
    <row r="2653" spans="1:18">
      <c r="A2653" s="9">
        <v>40582</v>
      </c>
      <c r="B2653">
        <v>0.49</v>
      </c>
      <c r="C2653">
        <v>0.99</v>
      </c>
      <c r="D2653">
        <v>1.57</v>
      </c>
      <c r="E2653">
        <v>2.09</v>
      </c>
      <c r="F2653">
        <v>2.5299999999999998</v>
      </c>
      <c r="G2653">
        <v>3.2</v>
      </c>
      <c r="H2653">
        <v>3.77</v>
      </c>
      <c r="I2653">
        <v>4.47</v>
      </c>
      <c r="K2653">
        <f t="shared" si="331"/>
        <v>0</v>
      </c>
      <c r="L2653">
        <f t="shared" si="332"/>
        <v>-1.0000000000000009</v>
      </c>
      <c r="M2653">
        <f t="shared" si="333"/>
        <v>0</v>
      </c>
      <c r="N2653">
        <f t="shared" si="334"/>
        <v>0.99999999999997868</v>
      </c>
      <c r="O2653">
        <f t="shared" si="335"/>
        <v>0</v>
      </c>
      <c r="P2653">
        <f t="shared" si="336"/>
        <v>1.0000000000000231</v>
      </c>
      <c r="Q2653">
        <f t="shared" si="337"/>
        <v>-0.99999999999997868</v>
      </c>
      <c r="R2653">
        <f t="shared" si="338"/>
        <v>-3.0000000000000249</v>
      </c>
    </row>
    <row r="2654" spans="1:18">
      <c r="A2654" s="9">
        <v>40583</v>
      </c>
      <c r="B2654">
        <v>0.49</v>
      </c>
      <c r="C2654">
        <v>1.01</v>
      </c>
      <c r="D2654">
        <v>1.6</v>
      </c>
      <c r="E2654">
        <v>2.13</v>
      </c>
      <c r="F2654">
        <v>2.58</v>
      </c>
      <c r="G2654">
        <v>3.25</v>
      </c>
      <c r="H2654">
        <v>3.83</v>
      </c>
      <c r="I2654">
        <v>4.54</v>
      </c>
      <c r="K2654">
        <f t="shared" si="331"/>
        <v>0</v>
      </c>
      <c r="L2654">
        <f t="shared" si="332"/>
        <v>2.0000000000000018</v>
      </c>
      <c r="M2654">
        <f t="shared" si="333"/>
        <v>3.0000000000000027</v>
      </c>
      <c r="N2654">
        <f t="shared" si="334"/>
        <v>4.0000000000000036</v>
      </c>
      <c r="O2654">
        <f t="shared" si="335"/>
        <v>5.0000000000000266</v>
      </c>
      <c r="P2654">
        <f t="shared" si="336"/>
        <v>4.9999999999999822</v>
      </c>
      <c r="Q2654">
        <f t="shared" si="337"/>
        <v>6.0000000000000053</v>
      </c>
      <c r="R2654">
        <f t="shared" si="338"/>
        <v>7.0000000000000284</v>
      </c>
    </row>
    <row r="2655" spans="1:18">
      <c r="A2655" s="9">
        <v>40584</v>
      </c>
      <c r="B2655">
        <v>0.5</v>
      </c>
      <c r="C2655">
        <v>1.02</v>
      </c>
      <c r="D2655">
        <v>1.61</v>
      </c>
      <c r="E2655">
        <v>2.14</v>
      </c>
      <c r="F2655">
        <v>2.58</v>
      </c>
      <c r="G2655">
        <v>3.24</v>
      </c>
      <c r="H2655">
        <v>3.79</v>
      </c>
      <c r="I2655">
        <v>4.5199999999999996</v>
      </c>
      <c r="K2655">
        <f t="shared" si="331"/>
        <v>1.0000000000000009</v>
      </c>
      <c r="L2655">
        <f t="shared" si="332"/>
        <v>1.0000000000000009</v>
      </c>
      <c r="M2655">
        <f t="shared" si="333"/>
        <v>1.0000000000000009</v>
      </c>
      <c r="N2655">
        <f t="shared" si="334"/>
        <v>1.0000000000000231</v>
      </c>
      <c r="O2655">
        <f t="shared" si="335"/>
        <v>0</v>
      </c>
      <c r="P2655">
        <f t="shared" si="336"/>
        <v>-0.99999999999997868</v>
      </c>
      <c r="Q2655">
        <f t="shared" si="337"/>
        <v>-4.0000000000000036</v>
      </c>
      <c r="R2655">
        <f t="shared" si="338"/>
        <v>-2.0000000000000462</v>
      </c>
    </row>
    <row r="2656" spans="1:18">
      <c r="A2656" s="9">
        <v>40585</v>
      </c>
      <c r="B2656">
        <v>0.49</v>
      </c>
      <c r="C2656">
        <v>1.01</v>
      </c>
      <c r="D2656">
        <v>1.59</v>
      </c>
      <c r="E2656">
        <v>2.1</v>
      </c>
      <c r="F2656">
        <v>2.5299999999999998</v>
      </c>
      <c r="G2656">
        <v>3.18</v>
      </c>
      <c r="H2656">
        <v>3.74</v>
      </c>
      <c r="I2656">
        <v>4.4800000000000004</v>
      </c>
      <c r="K2656">
        <f t="shared" si="331"/>
        <v>-1.0000000000000009</v>
      </c>
      <c r="L2656">
        <f t="shared" si="332"/>
        <v>-1.0000000000000009</v>
      </c>
      <c r="M2656">
        <f t="shared" si="333"/>
        <v>-2.0000000000000018</v>
      </c>
      <c r="N2656">
        <f t="shared" si="334"/>
        <v>-4.0000000000000036</v>
      </c>
      <c r="O2656">
        <f t="shared" si="335"/>
        <v>-5.0000000000000266</v>
      </c>
      <c r="P2656">
        <f t="shared" si="336"/>
        <v>-6.0000000000000053</v>
      </c>
      <c r="Q2656">
        <f t="shared" si="337"/>
        <v>-4.9999999999999822</v>
      </c>
      <c r="R2656">
        <f t="shared" si="338"/>
        <v>-3.9999999999999147</v>
      </c>
    </row>
    <row r="2657" spans="1:18">
      <c r="A2657" s="9">
        <v>40588</v>
      </c>
      <c r="B2657">
        <v>0.5</v>
      </c>
      <c r="C2657">
        <v>1.04</v>
      </c>
      <c r="D2657">
        <v>1.63</v>
      </c>
      <c r="E2657">
        <v>2.13</v>
      </c>
      <c r="F2657">
        <v>2.56</v>
      </c>
      <c r="G2657">
        <v>3.19</v>
      </c>
      <c r="H2657">
        <v>3.74</v>
      </c>
      <c r="I2657">
        <v>4.45</v>
      </c>
      <c r="K2657">
        <f t="shared" si="331"/>
        <v>1.0000000000000009</v>
      </c>
      <c r="L2657">
        <f t="shared" si="332"/>
        <v>3.0000000000000027</v>
      </c>
      <c r="M2657">
        <f t="shared" si="333"/>
        <v>3.9999999999999813</v>
      </c>
      <c r="N2657">
        <f t="shared" si="334"/>
        <v>2.9999999999999805</v>
      </c>
      <c r="O2657">
        <f t="shared" si="335"/>
        <v>3.0000000000000249</v>
      </c>
      <c r="P2657">
        <f t="shared" si="336"/>
        <v>0.99999999999997868</v>
      </c>
      <c r="Q2657">
        <f t="shared" si="337"/>
        <v>0</v>
      </c>
      <c r="R2657">
        <f t="shared" si="338"/>
        <v>-3.0000000000000249</v>
      </c>
    </row>
    <row r="2658" spans="1:18">
      <c r="A2658" s="9">
        <v>40589</v>
      </c>
      <c r="B2658">
        <v>0.5</v>
      </c>
      <c r="C2658">
        <v>1.06</v>
      </c>
      <c r="D2658">
        <v>1.63</v>
      </c>
      <c r="E2658">
        <v>2.13</v>
      </c>
      <c r="F2658">
        <v>2.56</v>
      </c>
      <c r="G2658">
        <v>3.19</v>
      </c>
      <c r="H2658">
        <v>3.72</v>
      </c>
      <c r="I2658">
        <v>4.4400000000000004</v>
      </c>
      <c r="K2658">
        <f t="shared" si="331"/>
        <v>0</v>
      </c>
      <c r="L2658">
        <f t="shared" si="332"/>
        <v>2.0000000000000018</v>
      </c>
      <c r="M2658">
        <f t="shared" si="333"/>
        <v>0</v>
      </c>
      <c r="N2658">
        <f t="shared" si="334"/>
        <v>0</v>
      </c>
      <c r="O2658">
        <f t="shared" si="335"/>
        <v>0</v>
      </c>
      <c r="P2658">
        <f t="shared" si="336"/>
        <v>0</v>
      </c>
      <c r="Q2658">
        <f t="shared" si="337"/>
        <v>-2.0000000000000018</v>
      </c>
      <c r="R2658">
        <f t="shared" si="338"/>
        <v>-0.99999999999997868</v>
      </c>
    </row>
    <row r="2659" spans="1:18">
      <c r="A2659" s="9">
        <v>40590</v>
      </c>
      <c r="B2659">
        <v>0.51</v>
      </c>
      <c r="C2659">
        <v>1.06</v>
      </c>
      <c r="D2659">
        <v>1.64</v>
      </c>
      <c r="E2659">
        <v>2.15</v>
      </c>
      <c r="F2659">
        <v>2.58</v>
      </c>
      <c r="G2659">
        <v>3.21</v>
      </c>
      <c r="H2659">
        <v>3.74</v>
      </c>
      <c r="I2659">
        <v>4.45</v>
      </c>
      <c r="K2659">
        <f t="shared" si="331"/>
        <v>1.0000000000000009</v>
      </c>
      <c r="L2659">
        <f t="shared" si="332"/>
        <v>0</v>
      </c>
      <c r="M2659">
        <f t="shared" si="333"/>
        <v>1.0000000000000009</v>
      </c>
      <c r="N2659">
        <f t="shared" si="334"/>
        <v>2.0000000000000018</v>
      </c>
      <c r="O2659">
        <f t="shared" si="335"/>
        <v>2.0000000000000018</v>
      </c>
      <c r="P2659">
        <f t="shared" si="336"/>
        <v>2.0000000000000018</v>
      </c>
      <c r="Q2659">
        <f t="shared" si="337"/>
        <v>2.0000000000000018</v>
      </c>
      <c r="R2659">
        <f t="shared" si="338"/>
        <v>0.99999999999997868</v>
      </c>
    </row>
    <row r="2660" spans="1:18">
      <c r="A2660" s="9">
        <v>40591</v>
      </c>
      <c r="B2660">
        <v>0.47</v>
      </c>
      <c r="C2660">
        <v>0.99</v>
      </c>
      <c r="D2660">
        <v>1.55</v>
      </c>
      <c r="E2660">
        <v>2.04</v>
      </c>
      <c r="F2660">
        <v>2.4700000000000002</v>
      </c>
      <c r="G2660">
        <v>3.1</v>
      </c>
      <c r="H2660">
        <v>3.65</v>
      </c>
      <c r="I2660">
        <v>4.3899999999999997</v>
      </c>
      <c r="K2660">
        <f t="shared" si="331"/>
        <v>-4.0000000000000036</v>
      </c>
      <c r="L2660">
        <f t="shared" si="332"/>
        <v>-7.0000000000000062</v>
      </c>
      <c r="M2660">
        <f t="shared" si="333"/>
        <v>-8.9999999999999858</v>
      </c>
      <c r="N2660">
        <f t="shared" si="334"/>
        <v>-10.999999999999988</v>
      </c>
      <c r="O2660">
        <f t="shared" si="335"/>
        <v>-10.999999999999988</v>
      </c>
      <c r="P2660">
        <f t="shared" si="336"/>
        <v>-10.999999999999988</v>
      </c>
      <c r="Q2660">
        <f t="shared" si="337"/>
        <v>-9.0000000000000302</v>
      </c>
      <c r="R2660">
        <f t="shared" si="338"/>
        <v>-6.0000000000000497</v>
      </c>
    </row>
    <row r="2661" spans="1:18">
      <c r="A2661" s="9">
        <v>40592</v>
      </c>
      <c r="B2661">
        <v>0.47</v>
      </c>
      <c r="C2661">
        <v>1</v>
      </c>
      <c r="D2661">
        <v>1.57</v>
      </c>
      <c r="E2661">
        <v>2.08</v>
      </c>
      <c r="F2661">
        <v>2.52</v>
      </c>
      <c r="G2661">
        <v>3.16</v>
      </c>
      <c r="H2661">
        <v>3.72</v>
      </c>
      <c r="I2661">
        <v>4.46</v>
      </c>
      <c r="K2661">
        <f t="shared" si="331"/>
        <v>0</v>
      </c>
      <c r="L2661">
        <f t="shared" si="332"/>
        <v>1.0000000000000009</v>
      </c>
      <c r="M2661">
        <f t="shared" si="333"/>
        <v>2.0000000000000018</v>
      </c>
      <c r="N2661">
        <f t="shared" si="334"/>
        <v>4.0000000000000036</v>
      </c>
      <c r="O2661">
        <f t="shared" si="335"/>
        <v>4.9999999999999822</v>
      </c>
      <c r="P2661">
        <f t="shared" si="336"/>
        <v>6.0000000000000053</v>
      </c>
      <c r="Q2661">
        <f t="shared" si="337"/>
        <v>7.0000000000000284</v>
      </c>
      <c r="R2661">
        <f t="shared" si="338"/>
        <v>7.0000000000000284</v>
      </c>
    </row>
    <row r="2662" spans="1:18">
      <c r="A2662" s="9">
        <v>40596</v>
      </c>
      <c r="B2662">
        <v>0.46</v>
      </c>
      <c r="C2662">
        <v>0.94</v>
      </c>
      <c r="D2662">
        <v>1.49</v>
      </c>
      <c r="E2662">
        <v>1.99</v>
      </c>
      <c r="F2662">
        <v>2.42</v>
      </c>
      <c r="G2662">
        <v>3.06</v>
      </c>
      <c r="H2662">
        <v>3.61</v>
      </c>
      <c r="I2662">
        <v>4.38</v>
      </c>
      <c r="K2662">
        <f t="shared" si="331"/>
        <v>-0.99999999999999534</v>
      </c>
      <c r="L2662">
        <f t="shared" si="332"/>
        <v>-6.0000000000000053</v>
      </c>
      <c r="M2662">
        <f t="shared" si="333"/>
        <v>-8.0000000000000071</v>
      </c>
      <c r="N2662">
        <f t="shared" si="334"/>
        <v>-9.0000000000000071</v>
      </c>
      <c r="O2662">
        <f t="shared" si="335"/>
        <v>-10.000000000000009</v>
      </c>
      <c r="P2662">
        <f t="shared" si="336"/>
        <v>-10.000000000000009</v>
      </c>
      <c r="Q2662">
        <f t="shared" si="337"/>
        <v>-11.000000000000032</v>
      </c>
      <c r="R2662">
        <f t="shared" si="338"/>
        <v>-8.0000000000000071</v>
      </c>
    </row>
    <row r="2663" spans="1:18">
      <c r="A2663" s="9">
        <v>40597</v>
      </c>
      <c r="B2663">
        <v>0.45</v>
      </c>
      <c r="C2663">
        <v>0.92</v>
      </c>
      <c r="D2663">
        <v>1.46</v>
      </c>
      <c r="E2663">
        <v>1.94</v>
      </c>
      <c r="F2663">
        <v>2.37</v>
      </c>
      <c r="G2663">
        <v>3</v>
      </c>
      <c r="H2663">
        <v>3.56</v>
      </c>
      <c r="I2663">
        <v>4.33</v>
      </c>
      <c r="K2663">
        <f t="shared" si="331"/>
        <v>-1.0000000000000009</v>
      </c>
      <c r="L2663">
        <f t="shared" si="332"/>
        <v>-1.9999999999999907</v>
      </c>
      <c r="M2663">
        <f t="shared" si="333"/>
        <v>-3.0000000000000027</v>
      </c>
      <c r="N2663">
        <f t="shared" si="334"/>
        <v>-5.0000000000000044</v>
      </c>
      <c r="O2663">
        <f t="shared" si="335"/>
        <v>-4.9999999999999822</v>
      </c>
      <c r="P2663">
        <f t="shared" si="336"/>
        <v>-6.0000000000000053</v>
      </c>
      <c r="Q2663">
        <f t="shared" si="337"/>
        <v>-4.9999999999999822</v>
      </c>
      <c r="R2663">
        <f t="shared" si="338"/>
        <v>-4.9999999999999822</v>
      </c>
    </row>
    <row r="2664" spans="1:18">
      <c r="A2664" s="9">
        <v>40598</v>
      </c>
      <c r="B2664">
        <v>0.44</v>
      </c>
      <c r="C2664">
        <v>0.91</v>
      </c>
      <c r="D2664">
        <v>1.47</v>
      </c>
      <c r="E2664">
        <v>1.95</v>
      </c>
      <c r="F2664">
        <v>2.38</v>
      </c>
      <c r="G2664">
        <v>3.01</v>
      </c>
      <c r="H2664">
        <v>3.55</v>
      </c>
      <c r="I2664">
        <v>4.3099999999999996</v>
      </c>
      <c r="K2664">
        <f t="shared" si="331"/>
        <v>-1.0000000000000009</v>
      </c>
      <c r="L2664">
        <f t="shared" si="332"/>
        <v>-1.0000000000000009</v>
      </c>
      <c r="M2664">
        <f t="shared" si="333"/>
        <v>1.0000000000000009</v>
      </c>
      <c r="N2664">
        <f t="shared" si="334"/>
        <v>1.0000000000000009</v>
      </c>
      <c r="O2664">
        <f t="shared" si="335"/>
        <v>0.99999999999997868</v>
      </c>
      <c r="P2664">
        <f t="shared" si="336"/>
        <v>0.99999999999997868</v>
      </c>
      <c r="Q2664">
        <f t="shared" si="337"/>
        <v>-1.0000000000000231</v>
      </c>
      <c r="R2664">
        <f t="shared" si="338"/>
        <v>-2.0000000000000462</v>
      </c>
    </row>
    <row r="2665" spans="1:18">
      <c r="A2665" s="9">
        <v>40599</v>
      </c>
      <c r="B2665">
        <v>0.44</v>
      </c>
      <c r="C2665">
        <v>0.92</v>
      </c>
      <c r="D2665">
        <v>1.48</v>
      </c>
      <c r="E2665">
        <v>1.97</v>
      </c>
      <c r="F2665">
        <v>2.39</v>
      </c>
      <c r="G2665">
        <v>3.01</v>
      </c>
      <c r="H2665">
        <v>3.56</v>
      </c>
      <c r="I2665">
        <v>4.3099999999999996</v>
      </c>
      <c r="K2665">
        <f t="shared" si="331"/>
        <v>0</v>
      </c>
      <c r="L2665">
        <f t="shared" si="332"/>
        <v>1.0000000000000009</v>
      </c>
      <c r="M2665">
        <f t="shared" si="333"/>
        <v>1.0000000000000009</v>
      </c>
      <c r="N2665">
        <f t="shared" si="334"/>
        <v>2.0000000000000018</v>
      </c>
      <c r="O2665">
        <f t="shared" si="335"/>
        <v>1.0000000000000231</v>
      </c>
      <c r="P2665">
        <f t="shared" si="336"/>
        <v>0</v>
      </c>
      <c r="Q2665">
        <f t="shared" si="337"/>
        <v>1.0000000000000231</v>
      </c>
      <c r="R2665">
        <f t="shared" si="338"/>
        <v>0</v>
      </c>
    </row>
    <row r="2666" spans="1:18">
      <c r="A2666" s="9">
        <v>40602</v>
      </c>
      <c r="B2666">
        <v>0.43</v>
      </c>
      <c r="C2666">
        <v>0.89</v>
      </c>
      <c r="D2666">
        <v>1.43</v>
      </c>
      <c r="E2666">
        <v>1.91</v>
      </c>
      <c r="F2666">
        <v>2.34</v>
      </c>
      <c r="G2666">
        <v>2.99</v>
      </c>
      <c r="H2666">
        <v>3.54</v>
      </c>
      <c r="I2666">
        <v>4.29</v>
      </c>
      <c r="K2666">
        <f t="shared" si="331"/>
        <v>-1.0000000000000009</v>
      </c>
      <c r="L2666">
        <f t="shared" si="332"/>
        <v>-3.0000000000000027</v>
      </c>
      <c r="M2666">
        <f t="shared" si="333"/>
        <v>-5.0000000000000044</v>
      </c>
      <c r="N2666">
        <f t="shared" si="334"/>
        <v>-6.0000000000000053</v>
      </c>
      <c r="O2666">
        <f t="shared" si="335"/>
        <v>-5.0000000000000266</v>
      </c>
      <c r="P2666">
        <f t="shared" si="336"/>
        <v>-1.9999999999999574</v>
      </c>
      <c r="Q2666">
        <f t="shared" si="337"/>
        <v>-2.0000000000000018</v>
      </c>
      <c r="R2666">
        <f t="shared" si="338"/>
        <v>-1.9999999999999574</v>
      </c>
    </row>
    <row r="2667" spans="1:18">
      <c r="A2667" s="9">
        <v>40603</v>
      </c>
      <c r="B2667">
        <v>0.42</v>
      </c>
      <c r="C2667">
        <v>0.89</v>
      </c>
      <c r="D2667">
        <v>1.43</v>
      </c>
      <c r="E2667">
        <v>1.94</v>
      </c>
      <c r="F2667">
        <v>2.38</v>
      </c>
      <c r="G2667">
        <v>3.02</v>
      </c>
      <c r="H2667">
        <v>3.58</v>
      </c>
      <c r="I2667">
        <v>4.3</v>
      </c>
      <c r="K2667">
        <f t="shared" si="331"/>
        <v>-1.0000000000000009</v>
      </c>
      <c r="L2667">
        <f t="shared" si="332"/>
        <v>0</v>
      </c>
      <c r="M2667">
        <f t="shared" si="333"/>
        <v>0</v>
      </c>
      <c r="N2667">
        <f t="shared" si="334"/>
        <v>3.0000000000000027</v>
      </c>
      <c r="O2667">
        <f t="shared" si="335"/>
        <v>4.0000000000000036</v>
      </c>
      <c r="P2667">
        <f t="shared" si="336"/>
        <v>2.9999999999999805</v>
      </c>
      <c r="Q2667">
        <f t="shared" si="337"/>
        <v>4.0000000000000036</v>
      </c>
      <c r="R2667">
        <f t="shared" si="338"/>
        <v>0.99999999999997868</v>
      </c>
    </row>
    <row r="2668" spans="1:18">
      <c r="A2668" s="9">
        <v>40604</v>
      </c>
      <c r="B2668">
        <v>0.43</v>
      </c>
      <c r="C2668">
        <v>0.86</v>
      </c>
      <c r="D2668">
        <v>1.4</v>
      </c>
      <c r="E2668">
        <v>1.89</v>
      </c>
      <c r="F2668">
        <v>2.33</v>
      </c>
      <c r="G2668">
        <v>2.98</v>
      </c>
      <c r="H2668">
        <v>3.54</v>
      </c>
      <c r="I2668">
        <v>4.28</v>
      </c>
      <c r="K2668">
        <f t="shared" si="331"/>
        <v>1.0000000000000009</v>
      </c>
      <c r="L2668">
        <f t="shared" si="332"/>
        <v>-3.0000000000000027</v>
      </c>
      <c r="M2668">
        <f t="shared" si="333"/>
        <v>-3.0000000000000027</v>
      </c>
      <c r="N2668">
        <f t="shared" si="334"/>
        <v>-5.0000000000000044</v>
      </c>
      <c r="O2668">
        <f t="shared" si="335"/>
        <v>-4.9999999999999822</v>
      </c>
      <c r="P2668">
        <f t="shared" si="336"/>
        <v>-4.0000000000000036</v>
      </c>
      <c r="Q2668">
        <f t="shared" si="337"/>
        <v>-4.0000000000000036</v>
      </c>
      <c r="R2668">
        <f t="shared" si="338"/>
        <v>-1.9999999999999574</v>
      </c>
    </row>
    <row r="2669" spans="1:18">
      <c r="A2669" s="9">
        <v>40605</v>
      </c>
      <c r="B2669">
        <v>0.45</v>
      </c>
      <c r="C2669">
        <v>0.96</v>
      </c>
      <c r="D2669">
        <v>1.53</v>
      </c>
      <c r="E2669">
        <v>2.04</v>
      </c>
      <c r="F2669">
        <v>2.4900000000000002</v>
      </c>
      <c r="G2669">
        <v>3.12</v>
      </c>
      <c r="H2669">
        <v>3.67</v>
      </c>
      <c r="I2669">
        <v>4.41</v>
      </c>
      <c r="K2669">
        <f t="shared" si="331"/>
        <v>2.0000000000000018</v>
      </c>
      <c r="L2669">
        <f t="shared" si="332"/>
        <v>9.9999999999999982</v>
      </c>
      <c r="M2669">
        <f t="shared" si="333"/>
        <v>13.000000000000011</v>
      </c>
      <c r="N2669">
        <f t="shared" si="334"/>
        <v>15.000000000000014</v>
      </c>
      <c r="O2669">
        <f t="shared" si="335"/>
        <v>16.000000000000014</v>
      </c>
      <c r="P2669">
        <f t="shared" si="336"/>
        <v>14.000000000000012</v>
      </c>
      <c r="Q2669">
        <f t="shared" si="337"/>
        <v>12.999999999999989</v>
      </c>
      <c r="R2669">
        <f t="shared" si="338"/>
        <v>12.999999999999989</v>
      </c>
    </row>
    <row r="2670" spans="1:18">
      <c r="A2670" s="9">
        <v>40606</v>
      </c>
      <c r="B2670">
        <v>0.44</v>
      </c>
      <c r="C2670">
        <v>0.91</v>
      </c>
      <c r="D2670">
        <v>1.49</v>
      </c>
      <c r="E2670">
        <v>1.99</v>
      </c>
      <c r="F2670">
        <v>2.4300000000000002</v>
      </c>
      <c r="G2670">
        <v>3.08</v>
      </c>
      <c r="H2670">
        <v>3.64</v>
      </c>
      <c r="I2670">
        <v>4.38</v>
      </c>
      <c r="K2670">
        <f t="shared" si="331"/>
        <v>-1.0000000000000009</v>
      </c>
      <c r="L2670">
        <f t="shared" si="332"/>
        <v>-4.9999999999999929</v>
      </c>
      <c r="M2670">
        <f t="shared" si="333"/>
        <v>-4.0000000000000036</v>
      </c>
      <c r="N2670">
        <f t="shared" si="334"/>
        <v>-5.0000000000000044</v>
      </c>
      <c r="O2670">
        <f t="shared" si="335"/>
        <v>-6.0000000000000053</v>
      </c>
      <c r="P2670">
        <f t="shared" si="336"/>
        <v>-4.0000000000000036</v>
      </c>
      <c r="Q2670">
        <f t="shared" si="337"/>
        <v>-2.9999999999999805</v>
      </c>
      <c r="R2670">
        <f t="shared" si="338"/>
        <v>-3.0000000000000249</v>
      </c>
    </row>
    <row r="2671" spans="1:18">
      <c r="A2671" s="9">
        <v>40609</v>
      </c>
      <c r="B2671">
        <v>0.43</v>
      </c>
      <c r="C2671">
        <v>0.9</v>
      </c>
      <c r="D2671">
        <v>1.45</v>
      </c>
      <c r="E2671">
        <v>1.95</v>
      </c>
      <c r="F2671">
        <v>2.4</v>
      </c>
      <c r="G2671">
        <v>3.05</v>
      </c>
      <c r="H2671">
        <v>3.62</v>
      </c>
      <c r="I2671">
        <v>4.3899999999999997</v>
      </c>
      <c r="K2671">
        <f t="shared" si="331"/>
        <v>-1.0000000000000009</v>
      </c>
      <c r="L2671">
        <f t="shared" si="332"/>
        <v>-1.0000000000000009</v>
      </c>
      <c r="M2671">
        <f t="shared" si="333"/>
        <v>-4.0000000000000036</v>
      </c>
      <c r="N2671">
        <f t="shared" si="334"/>
        <v>-4.0000000000000036</v>
      </c>
      <c r="O2671">
        <f t="shared" si="335"/>
        <v>-3.0000000000000249</v>
      </c>
      <c r="P2671">
        <f t="shared" si="336"/>
        <v>-3.0000000000000249</v>
      </c>
      <c r="Q2671">
        <f t="shared" si="337"/>
        <v>-2.0000000000000018</v>
      </c>
      <c r="R2671">
        <f t="shared" si="338"/>
        <v>0.99999999999997868</v>
      </c>
    </row>
    <row r="2672" spans="1:18">
      <c r="A2672" s="9">
        <v>40610</v>
      </c>
      <c r="B2672">
        <v>0.44</v>
      </c>
      <c r="C2672">
        <v>0.92</v>
      </c>
      <c r="D2672">
        <v>1.47</v>
      </c>
      <c r="E2672">
        <v>1.97</v>
      </c>
      <c r="F2672">
        <v>2.41</v>
      </c>
      <c r="G2672">
        <v>3.06</v>
      </c>
      <c r="H2672">
        <v>3.62</v>
      </c>
      <c r="I2672">
        <v>4.3899999999999997</v>
      </c>
      <c r="K2672">
        <f t="shared" si="331"/>
        <v>1.0000000000000009</v>
      </c>
      <c r="L2672">
        <f t="shared" si="332"/>
        <v>2.0000000000000018</v>
      </c>
      <c r="M2672">
        <f t="shared" si="333"/>
        <v>2.0000000000000018</v>
      </c>
      <c r="N2672">
        <f t="shared" si="334"/>
        <v>2.0000000000000018</v>
      </c>
      <c r="O2672">
        <f t="shared" si="335"/>
        <v>1.0000000000000231</v>
      </c>
      <c r="P2672">
        <f t="shared" si="336"/>
        <v>1.0000000000000231</v>
      </c>
      <c r="Q2672">
        <f t="shared" si="337"/>
        <v>0</v>
      </c>
      <c r="R2672">
        <f t="shared" si="338"/>
        <v>0</v>
      </c>
    </row>
    <row r="2673" spans="1:18">
      <c r="A2673" s="9">
        <v>40611</v>
      </c>
      <c r="B2673">
        <v>0.43</v>
      </c>
      <c r="C2673">
        <v>0.89</v>
      </c>
      <c r="D2673">
        <v>1.44</v>
      </c>
      <c r="E2673">
        <v>1.94</v>
      </c>
      <c r="F2673">
        <v>2.38</v>
      </c>
      <c r="G2673">
        <v>3.04</v>
      </c>
      <c r="H2673">
        <v>3.62</v>
      </c>
      <c r="I2673">
        <v>4.4000000000000004</v>
      </c>
      <c r="K2673">
        <f t="shared" si="331"/>
        <v>-1.0000000000000009</v>
      </c>
      <c r="L2673">
        <f t="shared" si="332"/>
        <v>-3.0000000000000027</v>
      </c>
      <c r="M2673">
        <f t="shared" si="333"/>
        <v>-3.0000000000000027</v>
      </c>
      <c r="N2673">
        <f t="shared" si="334"/>
        <v>-3.0000000000000027</v>
      </c>
      <c r="O2673">
        <f t="shared" si="335"/>
        <v>-3.0000000000000249</v>
      </c>
      <c r="P2673">
        <f t="shared" si="336"/>
        <v>-2.0000000000000018</v>
      </c>
      <c r="Q2673">
        <f t="shared" si="337"/>
        <v>0</v>
      </c>
      <c r="R2673">
        <f t="shared" si="338"/>
        <v>1.0000000000000675</v>
      </c>
    </row>
    <row r="2674" spans="1:18">
      <c r="A2674" s="9">
        <v>40612</v>
      </c>
      <c r="B2674">
        <v>0.43</v>
      </c>
      <c r="C2674">
        <v>0.87</v>
      </c>
      <c r="D2674">
        <v>1.41</v>
      </c>
      <c r="E2674">
        <v>1.9</v>
      </c>
      <c r="F2674">
        <v>2.33</v>
      </c>
      <c r="G2674">
        <v>2.98</v>
      </c>
      <c r="H2674">
        <v>3.55</v>
      </c>
      <c r="I2674">
        <v>4.3499999999999996</v>
      </c>
      <c r="K2674">
        <f t="shared" si="331"/>
        <v>0</v>
      </c>
      <c r="L2674">
        <f t="shared" si="332"/>
        <v>-2.0000000000000018</v>
      </c>
      <c r="M2674">
        <f t="shared" si="333"/>
        <v>-3.0000000000000027</v>
      </c>
      <c r="N2674">
        <f t="shared" si="334"/>
        <v>-4.0000000000000036</v>
      </c>
      <c r="O2674">
        <f t="shared" si="335"/>
        <v>-4.9999999999999822</v>
      </c>
      <c r="P2674">
        <f t="shared" si="336"/>
        <v>-6.0000000000000053</v>
      </c>
      <c r="Q2674">
        <f t="shared" si="337"/>
        <v>-7.0000000000000284</v>
      </c>
      <c r="R2674">
        <f t="shared" si="338"/>
        <v>-5.0000000000000711</v>
      </c>
    </row>
    <row r="2675" spans="1:18">
      <c r="A2675" s="9">
        <v>40613</v>
      </c>
      <c r="B2675">
        <v>0.42</v>
      </c>
      <c r="C2675">
        <v>0.83</v>
      </c>
      <c r="D2675">
        <v>1.35</v>
      </c>
      <c r="E2675">
        <v>1.83</v>
      </c>
      <c r="F2675">
        <v>2.2599999999999998</v>
      </c>
      <c r="G2675">
        <v>2.92</v>
      </c>
      <c r="H2675">
        <v>3.5</v>
      </c>
      <c r="I2675">
        <v>4.3</v>
      </c>
      <c r="K2675">
        <f t="shared" si="331"/>
        <v>-1.0000000000000009</v>
      </c>
      <c r="L2675">
        <f t="shared" si="332"/>
        <v>-4.0000000000000036</v>
      </c>
      <c r="M2675">
        <f t="shared" si="333"/>
        <v>-5.9999999999999831</v>
      </c>
      <c r="N2675">
        <f t="shared" si="334"/>
        <v>-6.999999999999984</v>
      </c>
      <c r="O2675">
        <f t="shared" si="335"/>
        <v>-7.0000000000000284</v>
      </c>
      <c r="P2675">
        <f t="shared" si="336"/>
        <v>-6.0000000000000053</v>
      </c>
      <c r="Q2675">
        <f t="shared" si="337"/>
        <v>-4.9999999999999822</v>
      </c>
      <c r="R2675">
        <f t="shared" si="338"/>
        <v>-4.9999999999999822</v>
      </c>
    </row>
    <row r="2676" spans="1:18">
      <c r="A2676" s="9">
        <v>40616</v>
      </c>
      <c r="B2676">
        <v>0.4</v>
      </c>
      <c r="C2676">
        <v>0.77</v>
      </c>
      <c r="D2676">
        <v>1.26</v>
      </c>
      <c r="E2676">
        <v>1.73</v>
      </c>
      <c r="F2676">
        <v>2.16</v>
      </c>
      <c r="G2676">
        <v>2.84</v>
      </c>
      <c r="H2676">
        <v>3.45</v>
      </c>
      <c r="I2676">
        <v>4.3</v>
      </c>
      <c r="K2676">
        <f t="shared" si="331"/>
        <v>-1.9999999999999962</v>
      </c>
      <c r="L2676">
        <f t="shared" si="332"/>
        <v>-5.9999999999999947</v>
      </c>
      <c r="M2676">
        <f t="shared" si="333"/>
        <v>-9.0000000000000071</v>
      </c>
      <c r="N2676">
        <f t="shared" si="334"/>
        <v>-10.000000000000009</v>
      </c>
      <c r="O2676">
        <f t="shared" si="335"/>
        <v>-9.9999999999999645</v>
      </c>
      <c r="P2676">
        <f t="shared" si="336"/>
        <v>-8.0000000000000071</v>
      </c>
      <c r="Q2676">
        <f t="shared" si="337"/>
        <v>-4.9999999999999822</v>
      </c>
      <c r="R2676">
        <f t="shared" si="338"/>
        <v>0</v>
      </c>
    </row>
    <row r="2677" spans="1:18">
      <c r="A2677" s="9">
        <v>40617</v>
      </c>
      <c r="B2677">
        <v>0.41</v>
      </c>
      <c r="C2677">
        <v>0.75</v>
      </c>
      <c r="D2677">
        <v>1.24</v>
      </c>
      <c r="E2677">
        <v>1.7</v>
      </c>
      <c r="F2677">
        <v>2.14</v>
      </c>
      <c r="G2677">
        <v>2.8</v>
      </c>
      <c r="H2677">
        <v>3.4</v>
      </c>
      <c r="I2677">
        <v>4.24</v>
      </c>
      <c r="K2677">
        <f t="shared" si="331"/>
        <v>0.99999999999999534</v>
      </c>
      <c r="L2677">
        <f t="shared" si="332"/>
        <v>-2.0000000000000018</v>
      </c>
      <c r="M2677">
        <f t="shared" si="333"/>
        <v>-2.0000000000000018</v>
      </c>
      <c r="N2677">
        <f t="shared" si="334"/>
        <v>-3.0000000000000027</v>
      </c>
      <c r="O2677">
        <f t="shared" si="335"/>
        <v>-2.0000000000000018</v>
      </c>
      <c r="P2677">
        <f t="shared" si="336"/>
        <v>-4.0000000000000036</v>
      </c>
      <c r="Q2677">
        <f t="shared" si="337"/>
        <v>-5.0000000000000266</v>
      </c>
      <c r="R2677">
        <f t="shared" si="338"/>
        <v>-5.9999999999999609</v>
      </c>
    </row>
    <row r="2678" spans="1:18">
      <c r="A2678" s="9">
        <v>40618</v>
      </c>
      <c r="B2678">
        <v>0.43</v>
      </c>
      <c r="C2678">
        <v>0.79</v>
      </c>
      <c r="D2678">
        <v>1.26</v>
      </c>
      <c r="E2678">
        <v>1.73</v>
      </c>
      <c r="F2678">
        <v>2.15</v>
      </c>
      <c r="G2678">
        <v>2.79</v>
      </c>
      <c r="H2678">
        <v>3.38</v>
      </c>
      <c r="I2678">
        <v>4.2</v>
      </c>
      <c r="K2678">
        <f t="shared" si="331"/>
        <v>2.0000000000000018</v>
      </c>
      <c r="L2678">
        <f t="shared" si="332"/>
        <v>4.0000000000000036</v>
      </c>
      <c r="M2678">
        <f t="shared" si="333"/>
        <v>2.0000000000000018</v>
      </c>
      <c r="N2678">
        <f t="shared" si="334"/>
        <v>3.0000000000000027</v>
      </c>
      <c r="O2678">
        <f t="shared" si="335"/>
        <v>0.99999999999997868</v>
      </c>
      <c r="P2678">
        <f t="shared" si="336"/>
        <v>-0.99999999999997868</v>
      </c>
      <c r="Q2678">
        <f t="shared" si="337"/>
        <v>-2.0000000000000018</v>
      </c>
      <c r="R2678">
        <f t="shared" si="338"/>
        <v>-4.0000000000000036</v>
      </c>
    </row>
    <row r="2679" spans="1:18">
      <c r="A2679" s="9">
        <v>40619</v>
      </c>
      <c r="B2679">
        <v>0.42</v>
      </c>
      <c r="C2679">
        <v>0.8</v>
      </c>
      <c r="D2679">
        <v>1.28</v>
      </c>
      <c r="E2679">
        <v>1.74</v>
      </c>
      <c r="F2679">
        <v>2.16</v>
      </c>
      <c r="G2679">
        <v>2.81</v>
      </c>
      <c r="H2679">
        <v>3.39</v>
      </c>
      <c r="I2679">
        <v>4.2</v>
      </c>
      <c r="K2679">
        <f t="shared" si="331"/>
        <v>-1.0000000000000009</v>
      </c>
      <c r="L2679">
        <f t="shared" si="332"/>
        <v>1.0000000000000009</v>
      </c>
      <c r="M2679">
        <f t="shared" si="333"/>
        <v>2.0000000000000018</v>
      </c>
      <c r="N2679">
        <f t="shared" si="334"/>
        <v>1.0000000000000009</v>
      </c>
      <c r="O2679">
        <f t="shared" si="335"/>
        <v>1.0000000000000231</v>
      </c>
      <c r="P2679">
        <f t="shared" si="336"/>
        <v>2.0000000000000018</v>
      </c>
      <c r="Q2679">
        <f t="shared" si="337"/>
        <v>1.0000000000000231</v>
      </c>
      <c r="R2679">
        <f t="shared" si="338"/>
        <v>0</v>
      </c>
    </row>
    <row r="2680" spans="1:18">
      <c r="A2680" s="9">
        <v>40620</v>
      </c>
      <c r="B2680">
        <v>0.42</v>
      </c>
      <c r="C2680">
        <v>0.79</v>
      </c>
      <c r="D2680">
        <v>1.27</v>
      </c>
      <c r="E2680">
        <v>1.73</v>
      </c>
      <c r="F2680">
        <v>2.15</v>
      </c>
      <c r="G2680">
        <v>2.8</v>
      </c>
      <c r="H2680">
        <v>3.38</v>
      </c>
      <c r="I2680">
        <v>4.1900000000000004</v>
      </c>
      <c r="K2680">
        <f t="shared" si="331"/>
        <v>0</v>
      </c>
      <c r="L2680">
        <f t="shared" si="332"/>
        <v>-1.0000000000000009</v>
      </c>
      <c r="M2680">
        <f t="shared" si="333"/>
        <v>-1.0000000000000009</v>
      </c>
      <c r="N2680">
        <f t="shared" si="334"/>
        <v>-1.0000000000000009</v>
      </c>
      <c r="O2680">
        <f t="shared" si="335"/>
        <v>-1.0000000000000231</v>
      </c>
      <c r="P2680">
        <f t="shared" si="336"/>
        <v>-1.0000000000000231</v>
      </c>
      <c r="Q2680">
        <f t="shared" si="337"/>
        <v>-1.0000000000000231</v>
      </c>
      <c r="R2680">
        <f t="shared" si="338"/>
        <v>-0.99999999999997868</v>
      </c>
    </row>
    <row r="2681" spans="1:18">
      <c r="A2681" s="9">
        <v>40623</v>
      </c>
      <c r="B2681">
        <v>0.43</v>
      </c>
      <c r="C2681">
        <v>0.85</v>
      </c>
      <c r="D2681">
        <v>1.36</v>
      </c>
      <c r="E2681">
        <v>1.83</v>
      </c>
      <c r="F2681">
        <v>2.2599999999999998</v>
      </c>
      <c r="G2681">
        <v>2.89</v>
      </c>
      <c r="H2681">
        <v>3.45</v>
      </c>
      <c r="I2681">
        <v>4.22</v>
      </c>
      <c r="K2681">
        <f t="shared" si="331"/>
        <v>1.0000000000000009</v>
      </c>
      <c r="L2681">
        <f t="shared" si="332"/>
        <v>5.9999999999999947</v>
      </c>
      <c r="M2681">
        <f t="shared" si="333"/>
        <v>9.0000000000000071</v>
      </c>
      <c r="N2681">
        <f t="shared" si="334"/>
        <v>10.000000000000009</v>
      </c>
      <c r="O2681">
        <f t="shared" si="335"/>
        <v>10.999999999999988</v>
      </c>
      <c r="P2681">
        <f t="shared" si="336"/>
        <v>9.0000000000000302</v>
      </c>
      <c r="Q2681">
        <f t="shared" si="337"/>
        <v>7.0000000000000284</v>
      </c>
      <c r="R2681">
        <f t="shared" si="338"/>
        <v>2.9999999999999361</v>
      </c>
    </row>
    <row r="2682" spans="1:18">
      <c r="A2682" s="9">
        <v>40624</v>
      </c>
      <c r="B2682">
        <v>0.44</v>
      </c>
      <c r="C2682">
        <v>0.86</v>
      </c>
      <c r="D2682">
        <v>1.37</v>
      </c>
      <c r="E2682">
        <v>1.85</v>
      </c>
      <c r="F2682">
        <v>2.27</v>
      </c>
      <c r="G2682">
        <v>2.89</v>
      </c>
      <c r="H2682">
        <v>3.44</v>
      </c>
      <c r="I2682">
        <v>4.2</v>
      </c>
      <c r="K2682">
        <f t="shared" si="331"/>
        <v>1.0000000000000009</v>
      </c>
      <c r="L2682">
        <f t="shared" si="332"/>
        <v>1.0000000000000009</v>
      </c>
      <c r="M2682">
        <f t="shared" si="333"/>
        <v>1.0000000000000009</v>
      </c>
      <c r="N2682">
        <f t="shared" si="334"/>
        <v>2.0000000000000018</v>
      </c>
      <c r="O2682">
        <f t="shared" si="335"/>
        <v>1.0000000000000231</v>
      </c>
      <c r="P2682">
        <f t="shared" si="336"/>
        <v>0</v>
      </c>
      <c r="Q2682">
        <f t="shared" si="337"/>
        <v>-1.0000000000000231</v>
      </c>
      <c r="R2682">
        <f t="shared" si="338"/>
        <v>-1.9999999999999574</v>
      </c>
    </row>
    <row r="2683" spans="1:18">
      <c r="A2683" s="9">
        <v>40625</v>
      </c>
      <c r="B2683">
        <v>0.44</v>
      </c>
      <c r="C2683">
        <v>0.84</v>
      </c>
      <c r="D2683">
        <v>1.34</v>
      </c>
      <c r="E2683">
        <v>1.8</v>
      </c>
      <c r="F2683">
        <v>2.2200000000000002</v>
      </c>
      <c r="G2683">
        <v>2.85</v>
      </c>
      <c r="H2683">
        <v>3.4</v>
      </c>
      <c r="I2683">
        <v>4.17</v>
      </c>
      <c r="K2683">
        <f t="shared" si="331"/>
        <v>0</v>
      </c>
      <c r="L2683">
        <f t="shared" si="332"/>
        <v>-2.0000000000000018</v>
      </c>
      <c r="M2683">
        <f t="shared" si="333"/>
        <v>-3.0000000000000027</v>
      </c>
      <c r="N2683">
        <f t="shared" si="334"/>
        <v>-5.0000000000000044</v>
      </c>
      <c r="O2683">
        <f t="shared" si="335"/>
        <v>-4.9999999999999822</v>
      </c>
      <c r="P2683">
        <f t="shared" si="336"/>
        <v>-4.0000000000000036</v>
      </c>
      <c r="Q2683">
        <f t="shared" si="337"/>
        <v>-4.0000000000000036</v>
      </c>
      <c r="R2683">
        <f t="shared" si="338"/>
        <v>-3.0000000000000249</v>
      </c>
    </row>
    <row r="2684" spans="1:18">
      <c r="A2684" s="9">
        <v>40626</v>
      </c>
      <c r="B2684">
        <v>0.45</v>
      </c>
      <c r="C2684">
        <v>0.87</v>
      </c>
      <c r="D2684">
        <v>1.39</v>
      </c>
      <c r="E2684">
        <v>1.88</v>
      </c>
      <c r="F2684">
        <v>2.2999999999999998</v>
      </c>
      <c r="G2684">
        <v>2.94</v>
      </c>
      <c r="H2684">
        <v>3.49</v>
      </c>
      <c r="I2684">
        <v>4.24</v>
      </c>
      <c r="K2684">
        <f t="shared" si="331"/>
        <v>1.0000000000000009</v>
      </c>
      <c r="L2684">
        <f t="shared" si="332"/>
        <v>3.0000000000000027</v>
      </c>
      <c r="M2684">
        <f t="shared" si="333"/>
        <v>4.9999999999999822</v>
      </c>
      <c r="N2684">
        <f t="shared" si="334"/>
        <v>7.9999999999999849</v>
      </c>
      <c r="O2684">
        <f t="shared" si="335"/>
        <v>7.9999999999999627</v>
      </c>
      <c r="P2684">
        <f t="shared" si="336"/>
        <v>8.9999999999999858</v>
      </c>
      <c r="Q2684">
        <f t="shared" si="337"/>
        <v>9.0000000000000302</v>
      </c>
      <c r="R2684">
        <f t="shared" si="338"/>
        <v>7.0000000000000284</v>
      </c>
    </row>
    <row r="2685" spans="1:18">
      <c r="A2685" s="9">
        <v>40627</v>
      </c>
      <c r="B2685">
        <v>0.46</v>
      </c>
      <c r="C2685">
        <v>0.9</v>
      </c>
      <c r="D2685">
        <v>1.43</v>
      </c>
      <c r="E2685">
        <v>1.91</v>
      </c>
      <c r="F2685">
        <v>2.33</v>
      </c>
      <c r="G2685">
        <v>2.96</v>
      </c>
      <c r="H2685">
        <v>3.51</v>
      </c>
      <c r="I2685">
        <v>4.25</v>
      </c>
      <c r="K2685">
        <f t="shared" si="331"/>
        <v>1.0000000000000009</v>
      </c>
      <c r="L2685">
        <f t="shared" si="332"/>
        <v>3.0000000000000027</v>
      </c>
      <c r="M2685">
        <f t="shared" si="333"/>
        <v>4.0000000000000036</v>
      </c>
      <c r="N2685">
        <f t="shared" si="334"/>
        <v>3.0000000000000027</v>
      </c>
      <c r="O2685">
        <f t="shared" si="335"/>
        <v>3.0000000000000249</v>
      </c>
      <c r="P2685">
        <f t="shared" si="336"/>
        <v>2.0000000000000018</v>
      </c>
      <c r="Q2685">
        <f t="shared" si="337"/>
        <v>1.9999999999999574</v>
      </c>
      <c r="R2685">
        <f t="shared" si="338"/>
        <v>0.99999999999997868</v>
      </c>
    </row>
    <row r="2686" spans="1:18">
      <c r="A2686" s="9">
        <v>40630</v>
      </c>
      <c r="B2686">
        <v>0.49</v>
      </c>
      <c r="C2686">
        <v>0.96</v>
      </c>
      <c r="D2686">
        <v>1.52</v>
      </c>
      <c r="E2686">
        <v>1.99</v>
      </c>
      <c r="F2686">
        <v>2.42</v>
      </c>
      <c r="G2686">
        <v>3.03</v>
      </c>
      <c r="H2686">
        <v>3.57</v>
      </c>
      <c r="I2686">
        <v>4.28</v>
      </c>
      <c r="K2686">
        <f t="shared" si="331"/>
        <v>2.9999999999999973</v>
      </c>
      <c r="L2686">
        <f t="shared" si="332"/>
        <v>5.9999999999999947</v>
      </c>
      <c r="M2686">
        <f t="shared" si="333"/>
        <v>9.0000000000000071</v>
      </c>
      <c r="N2686">
        <f t="shared" si="334"/>
        <v>8.0000000000000071</v>
      </c>
      <c r="O2686">
        <f t="shared" si="335"/>
        <v>8.9999999999999858</v>
      </c>
      <c r="P2686">
        <f t="shared" si="336"/>
        <v>6.999999999999984</v>
      </c>
      <c r="Q2686">
        <f t="shared" si="337"/>
        <v>6.0000000000000053</v>
      </c>
      <c r="R2686">
        <f t="shared" si="338"/>
        <v>3.0000000000000249</v>
      </c>
    </row>
    <row r="2687" spans="1:18">
      <c r="A2687" s="9">
        <v>40631</v>
      </c>
      <c r="B2687">
        <v>0.48</v>
      </c>
      <c r="C2687">
        <v>0.97</v>
      </c>
      <c r="D2687">
        <v>1.53</v>
      </c>
      <c r="E2687">
        <v>2.0099999999999998</v>
      </c>
      <c r="F2687">
        <v>2.42</v>
      </c>
      <c r="G2687">
        <v>3.03</v>
      </c>
      <c r="H2687">
        <v>3.56</v>
      </c>
      <c r="I2687">
        <v>4.29</v>
      </c>
      <c r="K2687">
        <f t="shared" si="331"/>
        <v>-1.0000000000000009</v>
      </c>
      <c r="L2687">
        <f t="shared" si="332"/>
        <v>1.0000000000000009</v>
      </c>
      <c r="M2687">
        <f t="shared" si="333"/>
        <v>1.0000000000000009</v>
      </c>
      <c r="N2687">
        <f t="shared" si="334"/>
        <v>1.9999999999999796</v>
      </c>
      <c r="O2687">
        <f t="shared" si="335"/>
        <v>0</v>
      </c>
      <c r="P2687">
        <f t="shared" si="336"/>
        <v>0</v>
      </c>
      <c r="Q2687">
        <f t="shared" si="337"/>
        <v>-0.99999999999997868</v>
      </c>
      <c r="R2687">
        <f t="shared" si="338"/>
        <v>0.99999999999997868</v>
      </c>
    </row>
    <row r="2688" spans="1:18">
      <c r="A2688" s="9">
        <v>40632</v>
      </c>
      <c r="B2688">
        <v>0.48</v>
      </c>
      <c r="C2688">
        <v>0.98</v>
      </c>
      <c r="D2688">
        <v>1.53</v>
      </c>
      <c r="E2688">
        <v>2.0099999999999998</v>
      </c>
      <c r="F2688">
        <v>2.4300000000000002</v>
      </c>
      <c r="G2688">
        <v>3.04</v>
      </c>
      <c r="H2688">
        <v>3.58</v>
      </c>
      <c r="I2688">
        <v>4.3099999999999996</v>
      </c>
      <c r="K2688">
        <f t="shared" si="331"/>
        <v>0</v>
      </c>
      <c r="L2688">
        <f t="shared" si="332"/>
        <v>1.0000000000000009</v>
      </c>
      <c r="M2688">
        <f t="shared" si="333"/>
        <v>0</v>
      </c>
      <c r="N2688">
        <f t="shared" si="334"/>
        <v>0</v>
      </c>
      <c r="O2688">
        <f t="shared" si="335"/>
        <v>1.0000000000000231</v>
      </c>
      <c r="P2688">
        <f t="shared" si="336"/>
        <v>1.0000000000000231</v>
      </c>
      <c r="Q2688">
        <f t="shared" si="337"/>
        <v>2.0000000000000018</v>
      </c>
      <c r="R2688">
        <f t="shared" si="338"/>
        <v>1.9999999999999574</v>
      </c>
    </row>
    <row r="2689" spans="1:18">
      <c r="A2689" s="9">
        <v>40633</v>
      </c>
      <c r="B2689">
        <v>0.46</v>
      </c>
      <c r="C2689">
        <v>0.97</v>
      </c>
      <c r="D2689">
        <v>1.52</v>
      </c>
      <c r="E2689">
        <v>2.0099999999999998</v>
      </c>
      <c r="F2689">
        <v>2.4300000000000002</v>
      </c>
      <c r="G2689">
        <v>3.04</v>
      </c>
      <c r="H2689">
        <v>3.57</v>
      </c>
      <c r="I2689">
        <v>4.32</v>
      </c>
      <c r="K2689">
        <f t="shared" si="331"/>
        <v>-1.9999999999999962</v>
      </c>
      <c r="L2689">
        <f t="shared" si="332"/>
        <v>-1.0000000000000009</v>
      </c>
      <c r="M2689">
        <f t="shared" si="333"/>
        <v>-1.0000000000000009</v>
      </c>
      <c r="N2689">
        <f t="shared" si="334"/>
        <v>0</v>
      </c>
      <c r="O2689">
        <f t="shared" si="335"/>
        <v>0</v>
      </c>
      <c r="P2689">
        <f t="shared" si="336"/>
        <v>0</v>
      </c>
      <c r="Q2689">
        <f t="shared" si="337"/>
        <v>-1.0000000000000231</v>
      </c>
      <c r="R2689">
        <f t="shared" si="338"/>
        <v>1.0000000000000675</v>
      </c>
    </row>
    <row r="2690" spans="1:18">
      <c r="A2690" s="9">
        <v>40634</v>
      </c>
      <c r="B2690">
        <v>0.47</v>
      </c>
      <c r="C2690">
        <v>1.01</v>
      </c>
      <c r="D2690">
        <v>1.59</v>
      </c>
      <c r="E2690">
        <v>2.0699999999999998</v>
      </c>
      <c r="F2690">
        <v>2.48</v>
      </c>
      <c r="G2690">
        <v>3.07</v>
      </c>
      <c r="H2690">
        <v>3.58</v>
      </c>
      <c r="I2690">
        <v>4.3</v>
      </c>
      <c r="K2690">
        <f t="shared" si="331"/>
        <v>0.99999999999999534</v>
      </c>
      <c r="L2690">
        <f t="shared" si="332"/>
        <v>4.0000000000000036</v>
      </c>
      <c r="M2690">
        <f t="shared" si="333"/>
        <v>7.0000000000000062</v>
      </c>
      <c r="N2690">
        <f t="shared" si="334"/>
        <v>6.0000000000000053</v>
      </c>
      <c r="O2690">
        <f t="shared" si="335"/>
        <v>4.9999999999999822</v>
      </c>
      <c r="P2690">
        <f t="shared" si="336"/>
        <v>2.9999999999999805</v>
      </c>
      <c r="Q2690">
        <f t="shared" si="337"/>
        <v>1.0000000000000231</v>
      </c>
      <c r="R2690">
        <f t="shared" si="338"/>
        <v>-2.0000000000000462</v>
      </c>
    </row>
    <row r="2691" spans="1:18">
      <c r="A2691" s="9">
        <v>40637</v>
      </c>
      <c r="B2691">
        <v>0.43</v>
      </c>
      <c r="C2691">
        <v>0.95</v>
      </c>
      <c r="D2691">
        <v>1.51</v>
      </c>
      <c r="E2691">
        <v>1.98</v>
      </c>
      <c r="F2691">
        <v>2.39</v>
      </c>
      <c r="G2691">
        <v>2.99</v>
      </c>
      <c r="H2691">
        <v>3.51</v>
      </c>
      <c r="I2691">
        <v>4.25</v>
      </c>
      <c r="K2691">
        <f t="shared" si="331"/>
        <v>-3.9999999999999982</v>
      </c>
      <c r="L2691">
        <f t="shared" si="332"/>
        <v>-6.0000000000000053</v>
      </c>
      <c r="M2691">
        <f t="shared" si="333"/>
        <v>-8.0000000000000071</v>
      </c>
      <c r="N2691">
        <f t="shared" si="334"/>
        <v>-8.9999999999999858</v>
      </c>
      <c r="O2691">
        <f t="shared" si="335"/>
        <v>-8.9999999999999858</v>
      </c>
      <c r="P2691">
        <f t="shared" si="336"/>
        <v>-7.9999999999999627</v>
      </c>
      <c r="Q2691">
        <f t="shared" si="337"/>
        <v>-7.0000000000000284</v>
      </c>
      <c r="R2691">
        <f t="shared" si="338"/>
        <v>-4.9999999999999822</v>
      </c>
    </row>
    <row r="2692" spans="1:18">
      <c r="A2692" s="9">
        <v>40638</v>
      </c>
      <c r="B2692">
        <v>0.44</v>
      </c>
      <c r="C2692">
        <v>0.97</v>
      </c>
      <c r="D2692">
        <v>1.54</v>
      </c>
      <c r="E2692">
        <v>2.02</v>
      </c>
      <c r="F2692">
        <v>2.4300000000000002</v>
      </c>
      <c r="G2692">
        <v>3.03</v>
      </c>
      <c r="H2692">
        <v>3.56</v>
      </c>
      <c r="I2692">
        <v>4.2699999999999996</v>
      </c>
      <c r="K2692">
        <f t="shared" si="331"/>
        <v>1.0000000000000009</v>
      </c>
      <c r="L2692">
        <f t="shared" si="332"/>
        <v>2.0000000000000018</v>
      </c>
      <c r="M2692">
        <f t="shared" si="333"/>
        <v>3.0000000000000027</v>
      </c>
      <c r="N2692">
        <f t="shared" si="334"/>
        <v>4.0000000000000036</v>
      </c>
      <c r="O2692">
        <f t="shared" si="335"/>
        <v>4.0000000000000036</v>
      </c>
      <c r="P2692">
        <f t="shared" si="336"/>
        <v>3.9999999999999591</v>
      </c>
      <c r="Q2692">
        <f t="shared" si="337"/>
        <v>5.0000000000000266</v>
      </c>
      <c r="R2692">
        <f t="shared" si="338"/>
        <v>1.9999999999999574</v>
      </c>
    </row>
    <row r="2693" spans="1:18">
      <c r="A2693" s="9">
        <v>40639</v>
      </c>
      <c r="B2693">
        <v>0.45</v>
      </c>
      <c r="C2693">
        <v>1.01</v>
      </c>
      <c r="D2693">
        <v>1.6</v>
      </c>
      <c r="E2693">
        <v>2.09</v>
      </c>
      <c r="F2693">
        <v>2.5099999999999998</v>
      </c>
      <c r="G2693">
        <v>3.12</v>
      </c>
      <c r="H2693">
        <v>3.64</v>
      </c>
      <c r="I2693">
        <v>4.34</v>
      </c>
      <c r="K2693">
        <f t="shared" ref="K2693:K2756" si="339">(B2693-B2692)*100</f>
        <v>1.0000000000000009</v>
      </c>
      <c r="L2693">
        <f t="shared" ref="L2693:L2756" si="340">(C2693-C2692)*100</f>
        <v>4.0000000000000036</v>
      </c>
      <c r="M2693">
        <f t="shared" ref="M2693:M2756" si="341">(D2693-D2692)*100</f>
        <v>6.0000000000000053</v>
      </c>
      <c r="N2693">
        <f t="shared" ref="N2693:N2756" si="342">(E2693-E2692)*100</f>
        <v>6.999999999999984</v>
      </c>
      <c r="O2693">
        <f t="shared" ref="O2693:O2756" si="343">(F2693-F2692)*100</f>
        <v>7.9999999999999627</v>
      </c>
      <c r="P2693">
        <f t="shared" ref="P2693:P2756" si="344">(G2693-G2692)*100</f>
        <v>9.0000000000000302</v>
      </c>
      <c r="Q2693">
        <f t="shared" ref="Q2693:Q2756" si="345">(H2693-H2692)*100</f>
        <v>8.0000000000000071</v>
      </c>
      <c r="R2693">
        <f t="shared" ref="R2693:R2756" si="346">(I2693-I2692)*100</f>
        <v>7.0000000000000284</v>
      </c>
    </row>
    <row r="2694" spans="1:18">
      <c r="A2694" s="9">
        <v>40640</v>
      </c>
      <c r="B2694">
        <v>0.44</v>
      </c>
      <c r="C2694">
        <v>0.99</v>
      </c>
      <c r="D2694">
        <v>1.57</v>
      </c>
      <c r="E2694">
        <v>2.0699999999999998</v>
      </c>
      <c r="F2694">
        <v>2.4900000000000002</v>
      </c>
      <c r="G2694">
        <v>3.11</v>
      </c>
      <c r="H2694">
        <v>3.65</v>
      </c>
      <c r="I2694">
        <v>4.38</v>
      </c>
      <c r="K2694">
        <f t="shared" si="339"/>
        <v>-1.0000000000000009</v>
      </c>
      <c r="L2694">
        <f t="shared" si="340"/>
        <v>-2.0000000000000018</v>
      </c>
      <c r="M2694">
        <f t="shared" si="341"/>
        <v>-3.0000000000000027</v>
      </c>
      <c r="N2694">
        <f t="shared" si="342"/>
        <v>-2.0000000000000018</v>
      </c>
      <c r="O2694">
        <f t="shared" si="343"/>
        <v>-1.9999999999999574</v>
      </c>
      <c r="P2694">
        <f t="shared" si="344"/>
        <v>-1.0000000000000231</v>
      </c>
      <c r="Q2694">
        <f t="shared" si="345"/>
        <v>0.99999999999997868</v>
      </c>
      <c r="R2694">
        <f t="shared" si="346"/>
        <v>4.0000000000000036</v>
      </c>
    </row>
    <row r="2695" spans="1:18">
      <c r="A2695" s="9">
        <v>40641</v>
      </c>
      <c r="B2695">
        <v>0.43</v>
      </c>
      <c r="C2695">
        <v>1</v>
      </c>
      <c r="D2695">
        <v>1.6</v>
      </c>
      <c r="E2695">
        <v>2.1</v>
      </c>
      <c r="F2695">
        <v>2.52</v>
      </c>
      <c r="G2695">
        <v>3.14</v>
      </c>
      <c r="H2695">
        <v>3.68</v>
      </c>
      <c r="I2695">
        <v>4.41</v>
      </c>
      <c r="K2695">
        <f t="shared" si="339"/>
        <v>-1.0000000000000009</v>
      </c>
      <c r="L2695">
        <f t="shared" si="340"/>
        <v>1.0000000000000009</v>
      </c>
      <c r="M2695">
        <f t="shared" si="341"/>
        <v>3.0000000000000027</v>
      </c>
      <c r="N2695">
        <f t="shared" si="342"/>
        <v>3.0000000000000249</v>
      </c>
      <c r="O2695">
        <f t="shared" si="343"/>
        <v>2.9999999999999805</v>
      </c>
      <c r="P2695">
        <f t="shared" si="344"/>
        <v>3.0000000000000249</v>
      </c>
      <c r="Q2695">
        <f t="shared" si="345"/>
        <v>3.0000000000000249</v>
      </c>
      <c r="R2695">
        <f t="shared" si="346"/>
        <v>3.0000000000000249</v>
      </c>
    </row>
    <row r="2696" spans="1:18">
      <c r="A2696" s="9">
        <v>40644</v>
      </c>
      <c r="B2696">
        <v>0.44</v>
      </c>
      <c r="C2696">
        <v>1</v>
      </c>
      <c r="D2696">
        <v>1.59</v>
      </c>
      <c r="E2696">
        <v>2.09</v>
      </c>
      <c r="F2696">
        <v>2.52</v>
      </c>
      <c r="G2696">
        <v>3.14</v>
      </c>
      <c r="H2696">
        <v>3.69</v>
      </c>
      <c r="I2696">
        <v>4.42</v>
      </c>
      <c r="K2696">
        <f t="shared" si="339"/>
        <v>1.0000000000000009</v>
      </c>
      <c r="L2696">
        <f t="shared" si="340"/>
        <v>0</v>
      </c>
      <c r="M2696">
        <f t="shared" si="341"/>
        <v>-1.0000000000000009</v>
      </c>
      <c r="N2696">
        <f t="shared" si="342"/>
        <v>-1.0000000000000231</v>
      </c>
      <c r="O2696">
        <f t="shared" si="343"/>
        <v>0</v>
      </c>
      <c r="P2696">
        <f t="shared" si="344"/>
        <v>0</v>
      </c>
      <c r="Q2696">
        <f t="shared" si="345"/>
        <v>0.99999999999997868</v>
      </c>
      <c r="R2696">
        <f t="shared" si="346"/>
        <v>0.99999999999997868</v>
      </c>
    </row>
    <row r="2697" spans="1:18">
      <c r="A2697" s="9">
        <v>40645</v>
      </c>
      <c r="B2697">
        <v>0.41</v>
      </c>
      <c r="C2697">
        <v>0.92</v>
      </c>
      <c r="D2697">
        <v>1.49</v>
      </c>
      <c r="E2697">
        <v>1.98</v>
      </c>
      <c r="F2697">
        <v>2.39</v>
      </c>
      <c r="G2697">
        <v>3.02</v>
      </c>
      <c r="H2697">
        <v>3.57</v>
      </c>
      <c r="I2697">
        <v>4.32</v>
      </c>
      <c r="K2697">
        <f t="shared" si="339"/>
        <v>-3.0000000000000027</v>
      </c>
      <c r="L2697">
        <f t="shared" si="340"/>
        <v>-7.9999999999999964</v>
      </c>
      <c r="M2697">
        <f t="shared" si="341"/>
        <v>-10.000000000000009</v>
      </c>
      <c r="N2697">
        <f t="shared" si="342"/>
        <v>-10.999999999999988</v>
      </c>
      <c r="O2697">
        <f t="shared" si="343"/>
        <v>-12.999999999999989</v>
      </c>
      <c r="P2697">
        <f t="shared" si="344"/>
        <v>-12.000000000000011</v>
      </c>
      <c r="Q2697">
        <f t="shared" si="345"/>
        <v>-12.000000000000011</v>
      </c>
      <c r="R2697">
        <f t="shared" si="346"/>
        <v>-9.9999999999999645</v>
      </c>
    </row>
    <row r="2698" spans="1:18">
      <c r="A2698" s="9">
        <v>40646</v>
      </c>
      <c r="B2698">
        <v>0.41</v>
      </c>
      <c r="C2698">
        <v>0.93</v>
      </c>
      <c r="D2698">
        <v>1.5</v>
      </c>
      <c r="E2698">
        <v>1.99</v>
      </c>
      <c r="F2698">
        <v>2.42</v>
      </c>
      <c r="G2698">
        <v>3.04</v>
      </c>
      <c r="H2698">
        <v>3.6</v>
      </c>
      <c r="I2698">
        <v>4.3499999999999996</v>
      </c>
      <c r="K2698">
        <f t="shared" si="339"/>
        <v>0</v>
      </c>
      <c r="L2698">
        <f t="shared" si="340"/>
        <v>1.0000000000000009</v>
      </c>
      <c r="M2698">
        <f t="shared" si="341"/>
        <v>1.0000000000000009</v>
      </c>
      <c r="N2698">
        <f t="shared" si="342"/>
        <v>1.0000000000000009</v>
      </c>
      <c r="O2698">
        <f t="shared" si="343"/>
        <v>2.9999999999999805</v>
      </c>
      <c r="P2698">
        <f t="shared" si="344"/>
        <v>2.0000000000000018</v>
      </c>
      <c r="Q2698">
        <f t="shared" si="345"/>
        <v>3.0000000000000249</v>
      </c>
      <c r="R2698">
        <f t="shared" si="346"/>
        <v>2.9999999999999361</v>
      </c>
    </row>
    <row r="2699" spans="1:18">
      <c r="A2699" s="9">
        <v>40647</v>
      </c>
      <c r="B2699">
        <v>0.41</v>
      </c>
      <c r="C2699">
        <v>0.91</v>
      </c>
      <c r="D2699">
        <v>1.46</v>
      </c>
      <c r="E2699">
        <v>1.94</v>
      </c>
      <c r="F2699">
        <v>2.36</v>
      </c>
      <c r="G2699">
        <v>2.98</v>
      </c>
      <c r="H2699">
        <v>3.54</v>
      </c>
      <c r="I2699">
        <v>4.3099999999999996</v>
      </c>
      <c r="K2699">
        <f t="shared" si="339"/>
        <v>0</v>
      </c>
      <c r="L2699">
        <f t="shared" si="340"/>
        <v>-2.0000000000000018</v>
      </c>
      <c r="M2699">
        <f t="shared" si="341"/>
        <v>-4.0000000000000036</v>
      </c>
      <c r="N2699">
        <f t="shared" si="342"/>
        <v>-5.0000000000000044</v>
      </c>
      <c r="O2699">
        <f t="shared" si="343"/>
        <v>-6.0000000000000053</v>
      </c>
      <c r="P2699">
        <f t="shared" si="344"/>
        <v>-6.0000000000000053</v>
      </c>
      <c r="Q2699">
        <f t="shared" si="345"/>
        <v>-6.0000000000000053</v>
      </c>
      <c r="R2699">
        <f t="shared" si="346"/>
        <v>-4.0000000000000036</v>
      </c>
    </row>
    <row r="2700" spans="1:18">
      <c r="A2700" s="9">
        <v>40648</v>
      </c>
      <c r="B2700">
        <v>0.4</v>
      </c>
      <c r="C2700">
        <v>0.88</v>
      </c>
      <c r="D2700">
        <v>1.43</v>
      </c>
      <c r="E2700">
        <v>1.91</v>
      </c>
      <c r="F2700">
        <v>2.33</v>
      </c>
      <c r="G2700">
        <v>2.97</v>
      </c>
      <c r="H2700">
        <v>3.52</v>
      </c>
      <c r="I2700">
        <v>4.2699999999999996</v>
      </c>
      <c r="K2700">
        <f t="shared" si="339"/>
        <v>-0.99999999999999534</v>
      </c>
      <c r="L2700">
        <f t="shared" si="340"/>
        <v>-3.0000000000000027</v>
      </c>
      <c r="M2700">
        <f t="shared" si="341"/>
        <v>-3.0000000000000027</v>
      </c>
      <c r="N2700">
        <f t="shared" si="342"/>
        <v>-3.0000000000000027</v>
      </c>
      <c r="O2700">
        <f t="shared" si="343"/>
        <v>-2.9999999999999805</v>
      </c>
      <c r="P2700">
        <f t="shared" si="344"/>
        <v>-0.99999999999997868</v>
      </c>
      <c r="Q2700">
        <f t="shared" si="345"/>
        <v>-2.0000000000000018</v>
      </c>
      <c r="R2700">
        <f t="shared" si="346"/>
        <v>-4.0000000000000036</v>
      </c>
    </row>
    <row r="2701" spans="1:18">
      <c r="A2701" s="9">
        <v>40651</v>
      </c>
      <c r="B2701">
        <v>0.39</v>
      </c>
      <c r="C2701">
        <v>0.83</v>
      </c>
      <c r="D2701">
        <v>1.35</v>
      </c>
      <c r="E2701">
        <v>1.84</v>
      </c>
      <c r="F2701">
        <v>2.27</v>
      </c>
      <c r="G2701">
        <v>2.9</v>
      </c>
      <c r="H2701">
        <v>3.48</v>
      </c>
      <c r="I2701">
        <v>4.26</v>
      </c>
      <c r="K2701">
        <f t="shared" si="339"/>
        <v>-1.0000000000000009</v>
      </c>
      <c r="L2701">
        <f t="shared" si="340"/>
        <v>-5.0000000000000044</v>
      </c>
      <c r="M2701">
        <f t="shared" si="341"/>
        <v>-7.9999999999999849</v>
      </c>
      <c r="N2701">
        <f t="shared" si="342"/>
        <v>-6.999999999999984</v>
      </c>
      <c r="O2701">
        <f t="shared" si="343"/>
        <v>-6.0000000000000053</v>
      </c>
      <c r="P2701">
        <f t="shared" si="344"/>
        <v>-7.0000000000000284</v>
      </c>
      <c r="Q2701">
        <f t="shared" si="345"/>
        <v>-4.0000000000000036</v>
      </c>
      <c r="R2701">
        <f t="shared" si="346"/>
        <v>-0.99999999999997868</v>
      </c>
    </row>
    <row r="2702" spans="1:18">
      <c r="A2702" s="9">
        <v>40652</v>
      </c>
      <c r="B2702">
        <v>0.39</v>
      </c>
      <c r="C2702">
        <v>0.82</v>
      </c>
      <c r="D2702">
        <v>1.35</v>
      </c>
      <c r="E2702">
        <v>1.82</v>
      </c>
      <c r="F2702">
        <v>2.25</v>
      </c>
      <c r="G2702">
        <v>2.88</v>
      </c>
      <c r="H2702">
        <v>3.44</v>
      </c>
      <c r="I2702">
        <v>4.2</v>
      </c>
      <c r="K2702">
        <f t="shared" si="339"/>
        <v>0</v>
      </c>
      <c r="L2702">
        <f t="shared" si="340"/>
        <v>-1.0000000000000009</v>
      </c>
      <c r="M2702">
        <f t="shared" si="341"/>
        <v>0</v>
      </c>
      <c r="N2702">
        <f t="shared" si="342"/>
        <v>-2.0000000000000018</v>
      </c>
      <c r="O2702">
        <f t="shared" si="343"/>
        <v>-2.0000000000000018</v>
      </c>
      <c r="P2702">
        <f t="shared" si="344"/>
        <v>-2.0000000000000018</v>
      </c>
      <c r="Q2702">
        <f t="shared" si="345"/>
        <v>-4.0000000000000036</v>
      </c>
      <c r="R2702">
        <f t="shared" si="346"/>
        <v>-5.9999999999999609</v>
      </c>
    </row>
    <row r="2703" spans="1:18">
      <c r="A2703" s="9">
        <v>40653</v>
      </c>
      <c r="B2703">
        <v>0.4</v>
      </c>
      <c r="C2703">
        <v>0.85</v>
      </c>
      <c r="D2703">
        <v>1.4</v>
      </c>
      <c r="E2703">
        <v>1.88</v>
      </c>
      <c r="F2703">
        <v>2.2999999999999998</v>
      </c>
      <c r="G2703">
        <v>2.92</v>
      </c>
      <c r="H2703">
        <v>3.47</v>
      </c>
      <c r="I2703">
        <v>4.21</v>
      </c>
      <c r="K2703">
        <f t="shared" si="339"/>
        <v>1.0000000000000009</v>
      </c>
      <c r="L2703">
        <f t="shared" si="340"/>
        <v>3.0000000000000027</v>
      </c>
      <c r="M2703">
        <f t="shared" si="341"/>
        <v>4.9999999999999822</v>
      </c>
      <c r="N2703">
        <f t="shared" si="342"/>
        <v>5.9999999999999831</v>
      </c>
      <c r="O2703">
        <f t="shared" si="343"/>
        <v>4.9999999999999822</v>
      </c>
      <c r="P2703">
        <f t="shared" si="344"/>
        <v>4.0000000000000036</v>
      </c>
      <c r="Q2703">
        <f t="shared" si="345"/>
        <v>3.0000000000000249</v>
      </c>
      <c r="R2703">
        <f t="shared" si="346"/>
        <v>0.99999999999997868</v>
      </c>
    </row>
    <row r="2704" spans="1:18">
      <c r="A2704" s="9">
        <v>40654</v>
      </c>
      <c r="B2704">
        <v>0.39</v>
      </c>
      <c r="C2704">
        <v>0.84</v>
      </c>
      <c r="D2704">
        <v>1.39</v>
      </c>
      <c r="E2704">
        <v>1.87</v>
      </c>
      <c r="F2704">
        <v>2.2999999999999998</v>
      </c>
      <c r="G2704">
        <v>2.92</v>
      </c>
      <c r="H2704">
        <v>3.46</v>
      </c>
      <c r="I2704">
        <v>4.22</v>
      </c>
      <c r="K2704">
        <f t="shared" si="339"/>
        <v>-1.0000000000000009</v>
      </c>
      <c r="L2704">
        <f t="shared" si="340"/>
        <v>-1.0000000000000009</v>
      </c>
      <c r="M2704">
        <f t="shared" si="341"/>
        <v>-1.0000000000000009</v>
      </c>
      <c r="N2704">
        <f t="shared" si="342"/>
        <v>-0.99999999999997868</v>
      </c>
      <c r="O2704">
        <f t="shared" si="343"/>
        <v>0</v>
      </c>
      <c r="P2704">
        <f t="shared" si="344"/>
        <v>0</v>
      </c>
      <c r="Q2704">
        <f t="shared" si="345"/>
        <v>-1.0000000000000231</v>
      </c>
      <c r="R2704">
        <f t="shared" si="346"/>
        <v>0.99999999999997868</v>
      </c>
    </row>
    <row r="2705" spans="1:18">
      <c r="A2705" s="9">
        <v>40658</v>
      </c>
      <c r="B2705">
        <v>0.4</v>
      </c>
      <c r="C2705">
        <v>0.83</v>
      </c>
      <c r="D2705">
        <v>1.36</v>
      </c>
      <c r="E2705">
        <v>1.85</v>
      </c>
      <c r="F2705">
        <v>2.2799999999999998</v>
      </c>
      <c r="G2705">
        <v>2.9</v>
      </c>
      <c r="H2705">
        <v>3.45</v>
      </c>
      <c r="I2705">
        <v>4.24</v>
      </c>
      <c r="K2705">
        <f t="shared" si="339"/>
        <v>1.0000000000000009</v>
      </c>
      <c r="L2705">
        <f t="shared" si="340"/>
        <v>-1.0000000000000009</v>
      </c>
      <c r="M2705">
        <f t="shared" si="341"/>
        <v>-2.9999999999999805</v>
      </c>
      <c r="N2705">
        <f t="shared" si="342"/>
        <v>-2.0000000000000018</v>
      </c>
      <c r="O2705">
        <f t="shared" si="343"/>
        <v>-2.0000000000000018</v>
      </c>
      <c r="P2705">
        <f t="shared" si="344"/>
        <v>-2.0000000000000018</v>
      </c>
      <c r="Q2705">
        <f t="shared" si="345"/>
        <v>-0.99999999999997868</v>
      </c>
      <c r="R2705">
        <f t="shared" si="346"/>
        <v>2.0000000000000462</v>
      </c>
    </row>
    <row r="2706" spans="1:18">
      <c r="A2706" s="9">
        <v>40659</v>
      </c>
      <c r="B2706">
        <v>0.4</v>
      </c>
      <c r="C2706">
        <v>0.82</v>
      </c>
      <c r="D2706">
        <v>1.34</v>
      </c>
      <c r="E2706">
        <v>1.83</v>
      </c>
      <c r="F2706">
        <v>2.25</v>
      </c>
      <c r="G2706">
        <v>2.87</v>
      </c>
      <c r="H2706">
        <v>3.42</v>
      </c>
      <c r="I2706">
        <v>4.2</v>
      </c>
      <c r="K2706">
        <f t="shared" si="339"/>
        <v>0</v>
      </c>
      <c r="L2706">
        <f t="shared" si="340"/>
        <v>-1.0000000000000009</v>
      </c>
      <c r="M2706">
        <f t="shared" si="341"/>
        <v>-2.0000000000000018</v>
      </c>
      <c r="N2706">
        <f t="shared" si="342"/>
        <v>-2.0000000000000018</v>
      </c>
      <c r="O2706">
        <f t="shared" si="343"/>
        <v>-2.9999999999999805</v>
      </c>
      <c r="P2706">
        <f t="shared" si="344"/>
        <v>-2.9999999999999805</v>
      </c>
      <c r="Q2706">
        <f t="shared" si="345"/>
        <v>-3.0000000000000249</v>
      </c>
      <c r="R2706">
        <f t="shared" si="346"/>
        <v>-4.0000000000000036</v>
      </c>
    </row>
    <row r="2707" spans="1:18">
      <c r="A2707" s="9">
        <v>40660</v>
      </c>
      <c r="B2707">
        <v>0.4</v>
      </c>
      <c r="C2707">
        <v>0.84</v>
      </c>
      <c r="D2707">
        <v>1.38</v>
      </c>
      <c r="E2707">
        <v>1.85</v>
      </c>
      <c r="F2707">
        <v>2.27</v>
      </c>
      <c r="G2707">
        <v>2.89</v>
      </c>
      <c r="H2707">
        <v>3.43</v>
      </c>
      <c r="I2707">
        <v>4.2</v>
      </c>
      <c r="K2707">
        <f t="shared" si="339"/>
        <v>0</v>
      </c>
      <c r="L2707">
        <f t="shared" si="340"/>
        <v>2.0000000000000018</v>
      </c>
      <c r="M2707">
        <f t="shared" si="341"/>
        <v>3.9999999999999813</v>
      </c>
      <c r="N2707">
        <f t="shared" si="342"/>
        <v>2.0000000000000018</v>
      </c>
      <c r="O2707">
        <f t="shared" si="343"/>
        <v>2.0000000000000018</v>
      </c>
      <c r="P2707">
        <f t="shared" si="344"/>
        <v>2.0000000000000018</v>
      </c>
      <c r="Q2707">
        <f t="shared" si="345"/>
        <v>1.0000000000000231</v>
      </c>
      <c r="R2707">
        <f t="shared" si="346"/>
        <v>0</v>
      </c>
    </row>
    <row r="2708" spans="1:18">
      <c r="A2708" s="9">
        <v>40661</v>
      </c>
      <c r="B2708">
        <v>0.38</v>
      </c>
      <c r="C2708">
        <v>0.77</v>
      </c>
      <c r="D2708">
        <v>1.27</v>
      </c>
      <c r="E2708">
        <v>1.74</v>
      </c>
      <c r="F2708">
        <v>2.15</v>
      </c>
      <c r="G2708">
        <v>2.8</v>
      </c>
      <c r="H2708">
        <v>3.37</v>
      </c>
      <c r="I2708">
        <v>4.18</v>
      </c>
      <c r="K2708">
        <f t="shared" si="339"/>
        <v>-2.0000000000000018</v>
      </c>
      <c r="L2708">
        <f t="shared" si="340"/>
        <v>-6.9999999999999947</v>
      </c>
      <c r="M2708">
        <f t="shared" si="341"/>
        <v>-10.999999999999988</v>
      </c>
      <c r="N2708">
        <f t="shared" si="342"/>
        <v>-11.000000000000011</v>
      </c>
      <c r="O2708">
        <f t="shared" si="343"/>
        <v>-12.000000000000011</v>
      </c>
      <c r="P2708">
        <f t="shared" si="344"/>
        <v>-9.0000000000000302</v>
      </c>
      <c r="Q2708">
        <f t="shared" si="345"/>
        <v>-6.0000000000000053</v>
      </c>
      <c r="R2708">
        <f t="shared" si="346"/>
        <v>-2.0000000000000462</v>
      </c>
    </row>
    <row r="2709" spans="1:18">
      <c r="A2709" s="9">
        <v>40662</v>
      </c>
      <c r="B2709">
        <v>0.38</v>
      </c>
      <c r="C2709">
        <v>0.78</v>
      </c>
      <c r="D2709">
        <v>1.28</v>
      </c>
      <c r="E2709">
        <v>1.75</v>
      </c>
      <c r="F2709">
        <v>2.17</v>
      </c>
      <c r="G2709">
        <v>2.81</v>
      </c>
      <c r="H2709">
        <v>3.38</v>
      </c>
      <c r="I2709">
        <v>4.17</v>
      </c>
      <c r="K2709">
        <f t="shared" si="339"/>
        <v>0</v>
      </c>
      <c r="L2709">
        <f t="shared" si="340"/>
        <v>1.0000000000000009</v>
      </c>
      <c r="M2709">
        <f t="shared" si="341"/>
        <v>1.0000000000000009</v>
      </c>
      <c r="N2709">
        <f t="shared" si="342"/>
        <v>1.0000000000000009</v>
      </c>
      <c r="O2709">
        <f t="shared" si="343"/>
        <v>2.0000000000000018</v>
      </c>
      <c r="P2709">
        <f t="shared" si="344"/>
        <v>1.0000000000000231</v>
      </c>
      <c r="Q2709">
        <f t="shared" si="345"/>
        <v>0.99999999999997868</v>
      </c>
      <c r="R2709">
        <f t="shared" si="346"/>
        <v>-0.99999999999997868</v>
      </c>
    </row>
    <row r="2710" spans="1:18">
      <c r="A2710" s="9">
        <v>40665</v>
      </c>
      <c r="B2710">
        <v>0.38</v>
      </c>
      <c r="C2710">
        <v>0.77</v>
      </c>
      <c r="D2710">
        <v>1.25</v>
      </c>
      <c r="E2710">
        <v>1.71</v>
      </c>
      <c r="F2710">
        <v>2.13</v>
      </c>
      <c r="G2710">
        <v>2.76</v>
      </c>
      <c r="H2710">
        <v>3.34</v>
      </c>
      <c r="I2710">
        <v>4.1399999999999997</v>
      </c>
      <c r="K2710">
        <f t="shared" si="339"/>
        <v>0</v>
      </c>
      <c r="L2710">
        <f t="shared" si="340"/>
        <v>-1.0000000000000009</v>
      </c>
      <c r="M2710">
        <f t="shared" si="341"/>
        <v>-3.0000000000000027</v>
      </c>
      <c r="N2710">
        <f t="shared" si="342"/>
        <v>-4.0000000000000036</v>
      </c>
      <c r="O2710">
        <f t="shared" si="343"/>
        <v>-4.0000000000000036</v>
      </c>
      <c r="P2710">
        <f t="shared" si="344"/>
        <v>-5.0000000000000266</v>
      </c>
      <c r="Q2710">
        <f t="shared" si="345"/>
        <v>-4.0000000000000036</v>
      </c>
      <c r="R2710">
        <f t="shared" si="346"/>
        <v>-3.0000000000000249</v>
      </c>
    </row>
    <row r="2711" spans="1:18">
      <c r="A2711" s="9">
        <v>40666</v>
      </c>
      <c r="B2711">
        <v>0.38</v>
      </c>
      <c r="C2711">
        <v>0.77</v>
      </c>
      <c r="D2711">
        <v>1.25</v>
      </c>
      <c r="E2711">
        <v>1.71</v>
      </c>
      <c r="F2711">
        <v>2.12</v>
      </c>
      <c r="G2711">
        <v>2.76</v>
      </c>
      <c r="H2711">
        <v>3.33</v>
      </c>
      <c r="I2711">
        <v>4.1100000000000003</v>
      </c>
      <c r="K2711">
        <f t="shared" si="339"/>
        <v>0</v>
      </c>
      <c r="L2711">
        <f t="shared" si="340"/>
        <v>0</v>
      </c>
      <c r="M2711">
        <f t="shared" si="341"/>
        <v>0</v>
      </c>
      <c r="N2711">
        <f t="shared" si="342"/>
        <v>0</v>
      </c>
      <c r="O2711">
        <f t="shared" si="343"/>
        <v>-0.99999999999997868</v>
      </c>
      <c r="P2711">
        <f t="shared" si="344"/>
        <v>0</v>
      </c>
      <c r="Q2711">
        <f t="shared" si="345"/>
        <v>-0.99999999999997868</v>
      </c>
      <c r="R2711">
        <f t="shared" si="346"/>
        <v>-2.9999999999999361</v>
      </c>
    </row>
    <row r="2712" spans="1:18">
      <c r="A2712" s="9">
        <v>40667</v>
      </c>
      <c r="B2712">
        <v>0.37</v>
      </c>
      <c r="C2712">
        <v>0.77</v>
      </c>
      <c r="D2712">
        <v>1.25</v>
      </c>
      <c r="E2712">
        <v>1.71</v>
      </c>
      <c r="F2712">
        <v>2.11</v>
      </c>
      <c r="G2712">
        <v>2.74</v>
      </c>
      <c r="H2712">
        <v>3.3</v>
      </c>
      <c r="I2712">
        <v>4.09</v>
      </c>
      <c r="K2712">
        <f t="shared" si="339"/>
        <v>-1.0000000000000009</v>
      </c>
      <c r="L2712">
        <f t="shared" si="340"/>
        <v>0</v>
      </c>
      <c r="M2712">
        <f t="shared" si="341"/>
        <v>0</v>
      </c>
      <c r="N2712">
        <f t="shared" si="342"/>
        <v>0</v>
      </c>
      <c r="O2712">
        <f t="shared" si="343"/>
        <v>-1.0000000000000231</v>
      </c>
      <c r="P2712">
        <f t="shared" si="344"/>
        <v>-1.9999999999999574</v>
      </c>
      <c r="Q2712">
        <f t="shared" si="345"/>
        <v>-3.0000000000000249</v>
      </c>
      <c r="R2712">
        <f t="shared" si="346"/>
        <v>-2.0000000000000462</v>
      </c>
    </row>
    <row r="2713" spans="1:18">
      <c r="A2713" s="9">
        <v>40668</v>
      </c>
      <c r="B2713">
        <v>0.36</v>
      </c>
      <c r="C2713">
        <v>0.74</v>
      </c>
      <c r="D2713">
        <v>1.23</v>
      </c>
      <c r="E2713">
        <v>1.69</v>
      </c>
      <c r="F2713">
        <v>2.09</v>
      </c>
      <c r="G2713">
        <v>2.71</v>
      </c>
      <c r="H2713">
        <v>3.27</v>
      </c>
      <c r="I2713">
        <v>4.05</v>
      </c>
      <c r="K2713">
        <f t="shared" si="339"/>
        <v>-1.0000000000000009</v>
      </c>
      <c r="L2713">
        <f t="shared" si="340"/>
        <v>-3.0000000000000027</v>
      </c>
      <c r="M2713">
        <f t="shared" si="341"/>
        <v>-2.0000000000000018</v>
      </c>
      <c r="N2713">
        <f t="shared" si="342"/>
        <v>-2.0000000000000018</v>
      </c>
      <c r="O2713">
        <f t="shared" si="343"/>
        <v>-2.0000000000000018</v>
      </c>
      <c r="P2713">
        <f t="shared" si="344"/>
        <v>-3.0000000000000249</v>
      </c>
      <c r="Q2713">
        <f t="shared" si="345"/>
        <v>-2.9999999999999805</v>
      </c>
      <c r="R2713">
        <f t="shared" si="346"/>
        <v>-4.0000000000000036</v>
      </c>
    </row>
    <row r="2714" spans="1:18">
      <c r="A2714" s="9">
        <v>40669</v>
      </c>
      <c r="B2714">
        <v>0.37</v>
      </c>
      <c r="C2714">
        <v>0.76</v>
      </c>
      <c r="D2714">
        <v>1.24</v>
      </c>
      <c r="E2714">
        <v>1.69</v>
      </c>
      <c r="F2714">
        <v>2.1</v>
      </c>
      <c r="G2714">
        <v>2.73</v>
      </c>
      <c r="H2714">
        <v>3.29</v>
      </c>
      <c r="I2714">
        <v>4.08</v>
      </c>
      <c r="K2714">
        <f t="shared" si="339"/>
        <v>1.0000000000000009</v>
      </c>
      <c r="L2714">
        <f t="shared" si="340"/>
        <v>2.0000000000000018</v>
      </c>
      <c r="M2714">
        <f t="shared" si="341"/>
        <v>1.0000000000000009</v>
      </c>
      <c r="N2714">
        <f t="shared" si="342"/>
        <v>0</v>
      </c>
      <c r="O2714">
        <f t="shared" si="343"/>
        <v>1.0000000000000231</v>
      </c>
      <c r="P2714">
        <f t="shared" si="344"/>
        <v>2.0000000000000018</v>
      </c>
      <c r="Q2714">
        <f t="shared" si="345"/>
        <v>2.0000000000000018</v>
      </c>
      <c r="R2714">
        <f t="shared" si="346"/>
        <v>3.0000000000000249</v>
      </c>
    </row>
    <row r="2715" spans="1:18">
      <c r="A2715" s="9">
        <v>40672</v>
      </c>
      <c r="B2715">
        <v>0.36</v>
      </c>
      <c r="C2715">
        <v>0.72</v>
      </c>
      <c r="D2715">
        <v>1.19</v>
      </c>
      <c r="E2715">
        <v>1.63</v>
      </c>
      <c r="F2715">
        <v>2.04</v>
      </c>
      <c r="G2715">
        <v>2.66</v>
      </c>
      <c r="H2715">
        <v>3.24</v>
      </c>
      <c r="I2715">
        <v>4.04</v>
      </c>
      <c r="K2715">
        <f t="shared" si="339"/>
        <v>-1.0000000000000009</v>
      </c>
      <c r="L2715">
        <f t="shared" si="340"/>
        <v>-4.0000000000000036</v>
      </c>
      <c r="M2715">
        <f t="shared" si="341"/>
        <v>-5.0000000000000044</v>
      </c>
      <c r="N2715">
        <f t="shared" si="342"/>
        <v>-6.0000000000000053</v>
      </c>
      <c r="O2715">
        <f t="shared" si="343"/>
        <v>-6.0000000000000053</v>
      </c>
      <c r="P2715">
        <f t="shared" si="344"/>
        <v>-6.999999999999984</v>
      </c>
      <c r="Q2715">
        <f t="shared" si="345"/>
        <v>-4.9999999999999822</v>
      </c>
      <c r="R2715">
        <f t="shared" si="346"/>
        <v>-4.0000000000000036</v>
      </c>
    </row>
    <row r="2716" spans="1:18">
      <c r="A2716" s="9">
        <v>40673</v>
      </c>
      <c r="B2716">
        <v>0.36</v>
      </c>
      <c r="C2716">
        <v>0.74</v>
      </c>
      <c r="D2716">
        <v>1.21</v>
      </c>
      <c r="E2716">
        <v>1.65</v>
      </c>
      <c r="F2716">
        <v>2.06</v>
      </c>
      <c r="G2716">
        <v>2.68</v>
      </c>
      <c r="H2716">
        <v>3.25</v>
      </c>
      <c r="I2716">
        <v>4.0599999999999996</v>
      </c>
      <c r="K2716">
        <f t="shared" si="339"/>
        <v>0</v>
      </c>
      <c r="L2716">
        <f t="shared" si="340"/>
        <v>2.0000000000000018</v>
      </c>
      <c r="M2716">
        <f t="shared" si="341"/>
        <v>2.0000000000000018</v>
      </c>
      <c r="N2716">
        <f t="shared" si="342"/>
        <v>2.0000000000000018</v>
      </c>
      <c r="O2716">
        <f t="shared" si="343"/>
        <v>2.0000000000000018</v>
      </c>
      <c r="P2716">
        <f t="shared" si="344"/>
        <v>2.0000000000000018</v>
      </c>
      <c r="Q2716">
        <f t="shared" si="345"/>
        <v>0.99999999999997868</v>
      </c>
      <c r="R2716">
        <f t="shared" si="346"/>
        <v>1.9999999999999574</v>
      </c>
    </row>
    <row r="2717" spans="1:18">
      <c r="A2717" s="9">
        <v>40674</v>
      </c>
      <c r="B2717">
        <v>0.36</v>
      </c>
      <c r="C2717">
        <v>0.76</v>
      </c>
      <c r="D2717">
        <v>1.26</v>
      </c>
      <c r="E2717">
        <v>1.71</v>
      </c>
      <c r="F2717">
        <v>2.12</v>
      </c>
      <c r="G2717">
        <v>2.74</v>
      </c>
      <c r="H2717">
        <v>3.31</v>
      </c>
      <c r="I2717">
        <v>4.1100000000000003</v>
      </c>
      <c r="K2717">
        <f t="shared" si="339"/>
        <v>0</v>
      </c>
      <c r="L2717">
        <f t="shared" si="340"/>
        <v>2.0000000000000018</v>
      </c>
      <c r="M2717">
        <f t="shared" si="341"/>
        <v>5.0000000000000044</v>
      </c>
      <c r="N2717">
        <f t="shared" si="342"/>
        <v>6.0000000000000053</v>
      </c>
      <c r="O2717">
        <f t="shared" si="343"/>
        <v>6.0000000000000053</v>
      </c>
      <c r="P2717">
        <f t="shared" si="344"/>
        <v>6.0000000000000053</v>
      </c>
      <c r="Q2717">
        <f t="shared" si="345"/>
        <v>6.0000000000000053</v>
      </c>
      <c r="R2717">
        <f t="shared" si="346"/>
        <v>5.0000000000000711</v>
      </c>
    </row>
    <row r="2718" spans="1:18">
      <c r="A2718" s="9">
        <v>40675</v>
      </c>
      <c r="B2718">
        <v>0.35</v>
      </c>
      <c r="C2718">
        <v>0.73</v>
      </c>
      <c r="D2718">
        <v>1.2</v>
      </c>
      <c r="E2718">
        <v>1.66</v>
      </c>
      <c r="F2718">
        <v>2.06</v>
      </c>
      <c r="G2718">
        <v>2.68</v>
      </c>
      <c r="H2718">
        <v>3.26</v>
      </c>
      <c r="I2718">
        <v>4.0599999999999996</v>
      </c>
      <c r="K2718">
        <f t="shared" si="339"/>
        <v>-1.0000000000000009</v>
      </c>
      <c r="L2718">
        <f t="shared" si="340"/>
        <v>-3.0000000000000027</v>
      </c>
      <c r="M2718">
        <f t="shared" si="341"/>
        <v>-6.0000000000000053</v>
      </c>
      <c r="N2718">
        <f t="shared" si="342"/>
        <v>-5.0000000000000044</v>
      </c>
      <c r="O2718">
        <f t="shared" si="343"/>
        <v>-6.0000000000000053</v>
      </c>
      <c r="P2718">
        <f t="shared" si="344"/>
        <v>-6.0000000000000053</v>
      </c>
      <c r="Q2718">
        <f t="shared" si="345"/>
        <v>-5.0000000000000266</v>
      </c>
      <c r="R2718">
        <f t="shared" si="346"/>
        <v>-5.0000000000000711</v>
      </c>
    </row>
    <row r="2719" spans="1:18">
      <c r="A2719" s="9">
        <v>40676</v>
      </c>
      <c r="B2719">
        <v>0.36</v>
      </c>
      <c r="C2719">
        <v>0.73</v>
      </c>
      <c r="D2719">
        <v>1.2</v>
      </c>
      <c r="E2719">
        <v>1.65</v>
      </c>
      <c r="F2719">
        <v>2.0499999999999998</v>
      </c>
      <c r="G2719">
        <v>2.68</v>
      </c>
      <c r="H2719">
        <v>3.26</v>
      </c>
      <c r="I2719">
        <v>4.07</v>
      </c>
      <c r="K2719">
        <f t="shared" si="339"/>
        <v>1.0000000000000009</v>
      </c>
      <c r="L2719">
        <f t="shared" si="340"/>
        <v>0</v>
      </c>
      <c r="M2719">
        <f t="shared" si="341"/>
        <v>0</v>
      </c>
      <c r="N2719">
        <f t="shared" si="342"/>
        <v>-1.0000000000000009</v>
      </c>
      <c r="O2719">
        <f t="shared" si="343"/>
        <v>-1.0000000000000231</v>
      </c>
      <c r="P2719">
        <f t="shared" si="344"/>
        <v>0</v>
      </c>
      <c r="Q2719">
        <f t="shared" si="345"/>
        <v>0</v>
      </c>
      <c r="R2719">
        <f t="shared" si="346"/>
        <v>1.0000000000000675</v>
      </c>
    </row>
    <row r="2720" spans="1:18">
      <c r="A2720" s="9">
        <v>40679</v>
      </c>
      <c r="B2720">
        <v>0.36</v>
      </c>
      <c r="C2720">
        <v>0.73</v>
      </c>
      <c r="D2720">
        <v>1.2</v>
      </c>
      <c r="E2720">
        <v>1.65</v>
      </c>
      <c r="F2720">
        <v>2.06</v>
      </c>
      <c r="G2720">
        <v>2.69</v>
      </c>
      <c r="H2720">
        <v>3.27</v>
      </c>
      <c r="I2720">
        <v>4.0599999999999996</v>
      </c>
      <c r="K2720">
        <f t="shared" si="339"/>
        <v>0</v>
      </c>
      <c r="L2720">
        <f t="shared" si="340"/>
        <v>0</v>
      </c>
      <c r="M2720">
        <f t="shared" si="341"/>
        <v>0</v>
      </c>
      <c r="N2720">
        <f t="shared" si="342"/>
        <v>0</v>
      </c>
      <c r="O2720">
        <f t="shared" si="343"/>
        <v>1.0000000000000231</v>
      </c>
      <c r="P2720">
        <f t="shared" si="344"/>
        <v>0.99999999999997868</v>
      </c>
      <c r="Q2720">
        <f t="shared" si="345"/>
        <v>1.0000000000000231</v>
      </c>
      <c r="R2720">
        <f t="shared" si="346"/>
        <v>-1.0000000000000675</v>
      </c>
    </row>
    <row r="2721" spans="1:18">
      <c r="A2721" s="9">
        <v>40680</v>
      </c>
      <c r="B2721">
        <v>0.36</v>
      </c>
      <c r="C2721">
        <v>0.71</v>
      </c>
      <c r="D2721">
        <v>1.1499999999999999</v>
      </c>
      <c r="E2721">
        <v>1.59</v>
      </c>
      <c r="F2721">
        <v>1.99</v>
      </c>
      <c r="G2721">
        <v>2.62</v>
      </c>
      <c r="H2721">
        <v>3.19</v>
      </c>
      <c r="I2721">
        <v>3.97</v>
      </c>
      <c r="K2721">
        <f t="shared" si="339"/>
        <v>0</v>
      </c>
      <c r="L2721">
        <f t="shared" si="340"/>
        <v>-2.0000000000000018</v>
      </c>
      <c r="M2721">
        <f t="shared" si="341"/>
        <v>-5.0000000000000044</v>
      </c>
      <c r="N2721">
        <f t="shared" si="342"/>
        <v>-5.9999999999999831</v>
      </c>
      <c r="O2721">
        <f t="shared" si="343"/>
        <v>-7.0000000000000062</v>
      </c>
      <c r="P2721">
        <f t="shared" si="344"/>
        <v>-6.999999999999984</v>
      </c>
      <c r="Q2721">
        <f t="shared" si="345"/>
        <v>-8.0000000000000071</v>
      </c>
      <c r="R2721">
        <f t="shared" si="346"/>
        <v>-8.9999999999999414</v>
      </c>
    </row>
    <row r="2722" spans="1:18">
      <c r="A2722" s="9">
        <v>40681</v>
      </c>
      <c r="B2722">
        <v>0.37</v>
      </c>
      <c r="C2722">
        <v>0.74</v>
      </c>
      <c r="D2722">
        <v>1.19</v>
      </c>
      <c r="E2722">
        <v>1.63</v>
      </c>
      <c r="F2722">
        <v>2.0299999999999998</v>
      </c>
      <c r="G2722">
        <v>2.66</v>
      </c>
      <c r="H2722">
        <v>3.22</v>
      </c>
      <c r="I2722">
        <v>4.01</v>
      </c>
      <c r="K2722">
        <f t="shared" si="339"/>
        <v>1.0000000000000009</v>
      </c>
      <c r="L2722">
        <f t="shared" si="340"/>
        <v>3.0000000000000027</v>
      </c>
      <c r="M2722">
        <f t="shared" si="341"/>
        <v>4.0000000000000036</v>
      </c>
      <c r="N2722">
        <f t="shared" si="342"/>
        <v>3.9999999999999813</v>
      </c>
      <c r="O2722">
        <f t="shared" si="343"/>
        <v>3.9999999999999813</v>
      </c>
      <c r="P2722">
        <f t="shared" si="344"/>
        <v>4.0000000000000036</v>
      </c>
      <c r="Q2722">
        <f t="shared" si="345"/>
        <v>3.0000000000000249</v>
      </c>
      <c r="R2722">
        <f t="shared" si="346"/>
        <v>3.9999999999999591</v>
      </c>
    </row>
    <row r="2723" spans="1:18">
      <c r="A2723" s="9">
        <v>40682</v>
      </c>
      <c r="B2723">
        <v>0.37</v>
      </c>
      <c r="C2723">
        <v>0.75</v>
      </c>
      <c r="D2723">
        <v>1.22</v>
      </c>
      <c r="E2723">
        <v>1.68</v>
      </c>
      <c r="F2723">
        <v>2.09</v>
      </c>
      <c r="G2723">
        <v>2.72</v>
      </c>
      <c r="H2723">
        <v>3.29</v>
      </c>
      <c r="I2723">
        <v>4.07</v>
      </c>
      <c r="K2723">
        <f t="shared" si="339"/>
        <v>0</v>
      </c>
      <c r="L2723">
        <f t="shared" si="340"/>
        <v>1.0000000000000009</v>
      </c>
      <c r="M2723">
        <f t="shared" si="341"/>
        <v>3.0000000000000027</v>
      </c>
      <c r="N2723">
        <f t="shared" si="342"/>
        <v>5.0000000000000044</v>
      </c>
      <c r="O2723">
        <f t="shared" si="343"/>
        <v>6.0000000000000053</v>
      </c>
      <c r="P2723">
        <f t="shared" si="344"/>
        <v>6.0000000000000053</v>
      </c>
      <c r="Q2723">
        <f t="shared" si="345"/>
        <v>6.999999999999984</v>
      </c>
      <c r="R2723">
        <f t="shared" si="346"/>
        <v>6.0000000000000497</v>
      </c>
    </row>
    <row r="2724" spans="1:18">
      <c r="A2724" s="9">
        <v>40683</v>
      </c>
      <c r="B2724">
        <v>0.36</v>
      </c>
      <c r="C2724">
        <v>0.71</v>
      </c>
      <c r="D2724">
        <v>1.17</v>
      </c>
      <c r="E2724">
        <v>1.62</v>
      </c>
      <c r="F2724">
        <v>2.02</v>
      </c>
      <c r="G2724">
        <v>2.66</v>
      </c>
      <c r="H2724">
        <v>3.24</v>
      </c>
      <c r="I2724">
        <v>4.07</v>
      </c>
      <c r="K2724">
        <f t="shared" si="339"/>
        <v>-1.0000000000000009</v>
      </c>
      <c r="L2724">
        <f t="shared" si="340"/>
        <v>-4.0000000000000036</v>
      </c>
      <c r="M2724">
        <f t="shared" si="341"/>
        <v>-5.0000000000000044</v>
      </c>
      <c r="N2724">
        <f t="shared" si="342"/>
        <v>-5.9999999999999831</v>
      </c>
      <c r="O2724">
        <f t="shared" si="343"/>
        <v>-6.999999999999984</v>
      </c>
      <c r="P2724">
        <f t="shared" si="344"/>
        <v>-6.0000000000000053</v>
      </c>
      <c r="Q2724">
        <f t="shared" si="345"/>
        <v>-4.9999999999999822</v>
      </c>
      <c r="R2724">
        <f t="shared" si="346"/>
        <v>0</v>
      </c>
    </row>
    <row r="2725" spans="1:18">
      <c r="A2725" s="9">
        <v>40686</v>
      </c>
      <c r="B2725">
        <v>0.37</v>
      </c>
      <c r="C2725">
        <v>0.71</v>
      </c>
      <c r="D2725">
        <v>1.1499999999999999</v>
      </c>
      <c r="E2725">
        <v>1.59</v>
      </c>
      <c r="F2725">
        <v>2</v>
      </c>
      <c r="G2725">
        <v>2.63</v>
      </c>
      <c r="H2725">
        <v>3.2</v>
      </c>
      <c r="I2725">
        <v>4.03</v>
      </c>
      <c r="K2725">
        <f t="shared" si="339"/>
        <v>1.0000000000000009</v>
      </c>
      <c r="L2725">
        <f t="shared" si="340"/>
        <v>0</v>
      </c>
      <c r="M2725">
        <f t="shared" si="341"/>
        <v>-2.0000000000000018</v>
      </c>
      <c r="N2725">
        <f t="shared" si="342"/>
        <v>-3.0000000000000027</v>
      </c>
      <c r="O2725">
        <f t="shared" si="343"/>
        <v>-2.0000000000000018</v>
      </c>
      <c r="P2725">
        <f t="shared" si="344"/>
        <v>-3.0000000000000249</v>
      </c>
      <c r="Q2725">
        <f t="shared" si="345"/>
        <v>-4.0000000000000036</v>
      </c>
      <c r="R2725">
        <f t="shared" si="346"/>
        <v>-4.0000000000000036</v>
      </c>
    </row>
    <row r="2726" spans="1:18">
      <c r="A2726" s="9">
        <v>40687</v>
      </c>
      <c r="B2726">
        <v>0.38</v>
      </c>
      <c r="C2726">
        <v>0.73</v>
      </c>
      <c r="D2726">
        <v>1.18</v>
      </c>
      <c r="E2726">
        <v>1.63</v>
      </c>
      <c r="F2726">
        <v>2.0299999999999998</v>
      </c>
      <c r="G2726">
        <v>2.66</v>
      </c>
      <c r="H2726">
        <v>3.23</v>
      </c>
      <c r="I2726">
        <v>4.04</v>
      </c>
      <c r="K2726">
        <f t="shared" si="339"/>
        <v>1.0000000000000009</v>
      </c>
      <c r="L2726">
        <f t="shared" si="340"/>
        <v>2.0000000000000018</v>
      </c>
      <c r="M2726">
        <f t="shared" si="341"/>
        <v>3.0000000000000027</v>
      </c>
      <c r="N2726">
        <f t="shared" si="342"/>
        <v>3.9999999999999813</v>
      </c>
      <c r="O2726">
        <f t="shared" si="343"/>
        <v>2.9999999999999805</v>
      </c>
      <c r="P2726">
        <f t="shared" si="344"/>
        <v>3.0000000000000249</v>
      </c>
      <c r="Q2726">
        <f t="shared" si="345"/>
        <v>2.9999999999999805</v>
      </c>
      <c r="R2726">
        <f t="shared" si="346"/>
        <v>0.99999999999997868</v>
      </c>
    </row>
    <row r="2727" spans="1:18">
      <c r="A2727" s="9">
        <v>40688</v>
      </c>
      <c r="B2727">
        <v>0.37</v>
      </c>
      <c r="C2727">
        <v>0.72</v>
      </c>
      <c r="D2727">
        <v>1.1599999999999999</v>
      </c>
      <c r="E2727">
        <v>1.61</v>
      </c>
      <c r="F2727">
        <v>2.0099999999999998</v>
      </c>
      <c r="G2727">
        <v>2.64</v>
      </c>
      <c r="H2727">
        <v>3.21</v>
      </c>
      <c r="I2727">
        <v>4.0199999999999996</v>
      </c>
      <c r="K2727">
        <f t="shared" si="339"/>
        <v>-1.0000000000000009</v>
      </c>
      <c r="L2727">
        <f t="shared" si="340"/>
        <v>-1.0000000000000009</v>
      </c>
      <c r="M2727">
        <f t="shared" si="341"/>
        <v>-2.0000000000000018</v>
      </c>
      <c r="N2727">
        <f t="shared" si="342"/>
        <v>-1.9999999999999796</v>
      </c>
      <c r="O2727">
        <f t="shared" si="343"/>
        <v>-2.0000000000000018</v>
      </c>
      <c r="P2727">
        <f t="shared" si="344"/>
        <v>-2.0000000000000018</v>
      </c>
      <c r="Q2727">
        <f t="shared" si="345"/>
        <v>-2.0000000000000018</v>
      </c>
      <c r="R2727">
        <f t="shared" si="346"/>
        <v>-2.0000000000000462</v>
      </c>
    </row>
    <row r="2728" spans="1:18">
      <c r="A2728" s="9">
        <v>40689</v>
      </c>
      <c r="B2728">
        <v>0.37</v>
      </c>
      <c r="C2728">
        <v>0.68</v>
      </c>
      <c r="D2728">
        <v>1.1200000000000001</v>
      </c>
      <c r="E2728">
        <v>1.55</v>
      </c>
      <c r="F2728">
        <v>1.96</v>
      </c>
      <c r="G2728">
        <v>2.59</v>
      </c>
      <c r="H2728">
        <v>3.16</v>
      </c>
      <c r="I2728">
        <v>3.97</v>
      </c>
      <c r="K2728">
        <f t="shared" si="339"/>
        <v>0</v>
      </c>
      <c r="L2728">
        <f t="shared" si="340"/>
        <v>-3.9999999999999925</v>
      </c>
      <c r="M2728">
        <f t="shared" si="341"/>
        <v>-3.9999999999999813</v>
      </c>
      <c r="N2728">
        <f t="shared" si="342"/>
        <v>-6.0000000000000053</v>
      </c>
      <c r="O2728">
        <f t="shared" si="343"/>
        <v>-4.9999999999999822</v>
      </c>
      <c r="P2728">
        <f t="shared" si="344"/>
        <v>-5.0000000000000266</v>
      </c>
      <c r="Q2728">
        <f t="shared" si="345"/>
        <v>-4.9999999999999822</v>
      </c>
      <c r="R2728">
        <f t="shared" si="346"/>
        <v>-4.9999999999999378</v>
      </c>
    </row>
    <row r="2729" spans="1:18">
      <c r="A2729" s="9">
        <v>40690</v>
      </c>
      <c r="B2729">
        <v>0.36</v>
      </c>
      <c r="C2729">
        <v>0.68</v>
      </c>
      <c r="D2729">
        <v>1.1000000000000001</v>
      </c>
      <c r="E2729">
        <v>1.54</v>
      </c>
      <c r="F2729">
        <v>1.94</v>
      </c>
      <c r="G2729">
        <v>2.58</v>
      </c>
      <c r="H2729">
        <v>3.16</v>
      </c>
      <c r="I2729">
        <v>3.99</v>
      </c>
      <c r="K2729">
        <f t="shared" si="339"/>
        <v>-1.0000000000000009</v>
      </c>
      <c r="L2729">
        <f t="shared" si="340"/>
        <v>0</v>
      </c>
      <c r="M2729">
        <f t="shared" si="341"/>
        <v>-2.0000000000000018</v>
      </c>
      <c r="N2729">
        <f t="shared" si="342"/>
        <v>-1.0000000000000009</v>
      </c>
      <c r="O2729">
        <f t="shared" si="343"/>
        <v>-2.0000000000000018</v>
      </c>
      <c r="P2729">
        <f t="shared" si="344"/>
        <v>-0.99999999999997868</v>
      </c>
      <c r="Q2729">
        <f t="shared" si="345"/>
        <v>0</v>
      </c>
      <c r="R2729">
        <f t="shared" si="346"/>
        <v>2.0000000000000018</v>
      </c>
    </row>
    <row r="2730" spans="1:18">
      <c r="A2730" s="9">
        <v>40694</v>
      </c>
      <c r="B2730">
        <v>0.36</v>
      </c>
      <c r="C2730">
        <v>0.66</v>
      </c>
      <c r="D2730">
        <v>1.1000000000000001</v>
      </c>
      <c r="E2730">
        <v>1.53</v>
      </c>
      <c r="F2730">
        <v>1.94</v>
      </c>
      <c r="G2730">
        <v>2.58</v>
      </c>
      <c r="H2730">
        <v>3.16</v>
      </c>
      <c r="I2730">
        <v>3.97</v>
      </c>
      <c r="K2730">
        <f t="shared" si="339"/>
        <v>0</v>
      </c>
      <c r="L2730">
        <f t="shared" si="340"/>
        <v>-2.0000000000000018</v>
      </c>
      <c r="M2730">
        <f t="shared" si="341"/>
        <v>0</v>
      </c>
      <c r="N2730">
        <f t="shared" si="342"/>
        <v>-1.0000000000000009</v>
      </c>
      <c r="O2730">
        <f t="shared" si="343"/>
        <v>0</v>
      </c>
      <c r="P2730">
        <f t="shared" si="344"/>
        <v>0</v>
      </c>
      <c r="Q2730">
        <f t="shared" si="345"/>
        <v>0</v>
      </c>
      <c r="R2730">
        <f t="shared" si="346"/>
        <v>-2.0000000000000018</v>
      </c>
    </row>
    <row r="2731" spans="1:18">
      <c r="A2731" s="9">
        <v>40695</v>
      </c>
      <c r="B2731">
        <v>0.36</v>
      </c>
      <c r="C2731">
        <v>0.63</v>
      </c>
      <c r="D2731">
        <v>1.03</v>
      </c>
      <c r="E2731">
        <v>1.45</v>
      </c>
      <c r="F2731">
        <v>1.85</v>
      </c>
      <c r="G2731">
        <v>2.4900000000000002</v>
      </c>
      <c r="H2731">
        <v>3.08</v>
      </c>
      <c r="I2731">
        <v>3.91</v>
      </c>
      <c r="K2731">
        <f t="shared" si="339"/>
        <v>0</v>
      </c>
      <c r="L2731">
        <f t="shared" si="340"/>
        <v>-3.0000000000000027</v>
      </c>
      <c r="M2731">
        <f t="shared" si="341"/>
        <v>-7.0000000000000062</v>
      </c>
      <c r="N2731">
        <f t="shared" si="342"/>
        <v>-8.0000000000000071</v>
      </c>
      <c r="O2731">
        <f t="shared" si="343"/>
        <v>-8.9999999999999858</v>
      </c>
      <c r="P2731">
        <f t="shared" si="344"/>
        <v>-8.9999999999999858</v>
      </c>
      <c r="Q2731">
        <f t="shared" si="345"/>
        <v>-8.0000000000000071</v>
      </c>
      <c r="R2731">
        <f t="shared" si="346"/>
        <v>-6.0000000000000053</v>
      </c>
    </row>
    <row r="2732" spans="1:18">
      <c r="A2732" s="9">
        <v>40696</v>
      </c>
      <c r="B2732">
        <v>0.36</v>
      </c>
      <c r="C2732">
        <v>0.64</v>
      </c>
      <c r="D2732">
        <v>1.04</v>
      </c>
      <c r="E2732">
        <v>1.46</v>
      </c>
      <c r="F2732">
        <v>1.87</v>
      </c>
      <c r="G2732">
        <v>2.5099999999999998</v>
      </c>
      <c r="H2732">
        <v>3.11</v>
      </c>
      <c r="I2732">
        <v>3.96</v>
      </c>
      <c r="K2732">
        <f t="shared" si="339"/>
        <v>0</v>
      </c>
      <c r="L2732">
        <f t="shared" si="340"/>
        <v>1.0000000000000009</v>
      </c>
      <c r="M2732">
        <f t="shared" si="341"/>
        <v>1.0000000000000009</v>
      </c>
      <c r="N2732">
        <f t="shared" si="342"/>
        <v>1.0000000000000009</v>
      </c>
      <c r="O2732">
        <f t="shared" si="343"/>
        <v>2.0000000000000018</v>
      </c>
      <c r="P2732">
        <f t="shared" si="344"/>
        <v>1.9999999999999574</v>
      </c>
      <c r="Q2732">
        <f t="shared" si="345"/>
        <v>2.9999999999999805</v>
      </c>
      <c r="R2732">
        <f t="shared" si="346"/>
        <v>4.9999999999999822</v>
      </c>
    </row>
    <row r="2733" spans="1:18">
      <c r="A2733" s="9">
        <v>40697</v>
      </c>
      <c r="B2733">
        <v>0.36</v>
      </c>
      <c r="C2733">
        <v>0.64</v>
      </c>
      <c r="D2733">
        <v>1.04</v>
      </c>
      <c r="E2733">
        <v>1.47</v>
      </c>
      <c r="F2733">
        <v>1.88</v>
      </c>
      <c r="G2733">
        <v>2.5299999999999998</v>
      </c>
      <c r="H2733">
        <v>3.14</v>
      </c>
      <c r="I2733">
        <v>4.01</v>
      </c>
      <c r="K2733">
        <f t="shared" si="339"/>
        <v>0</v>
      </c>
      <c r="L2733">
        <f t="shared" si="340"/>
        <v>0</v>
      </c>
      <c r="M2733">
        <f t="shared" si="341"/>
        <v>0</v>
      </c>
      <c r="N2733">
        <f t="shared" si="342"/>
        <v>1.0000000000000009</v>
      </c>
      <c r="O2733">
        <f t="shared" si="343"/>
        <v>0.99999999999997868</v>
      </c>
      <c r="P2733">
        <f t="shared" si="344"/>
        <v>2.0000000000000018</v>
      </c>
      <c r="Q2733">
        <f t="shared" si="345"/>
        <v>3.0000000000000249</v>
      </c>
      <c r="R2733">
        <f t="shared" si="346"/>
        <v>4.9999999999999822</v>
      </c>
    </row>
    <row r="2734" spans="1:18">
      <c r="A2734" s="9">
        <v>40700</v>
      </c>
      <c r="B2734">
        <v>0.36</v>
      </c>
      <c r="C2734">
        <v>0.63</v>
      </c>
      <c r="D2734">
        <v>1.03</v>
      </c>
      <c r="E2734">
        <v>1.46</v>
      </c>
      <c r="F2734">
        <v>1.87</v>
      </c>
      <c r="G2734">
        <v>2.5299999999999998</v>
      </c>
      <c r="H2734">
        <v>3.14</v>
      </c>
      <c r="I2734">
        <v>4</v>
      </c>
      <c r="K2734">
        <f t="shared" si="339"/>
        <v>0</v>
      </c>
      <c r="L2734">
        <f t="shared" si="340"/>
        <v>-1.0000000000000009</v>
      </c>
      <c r="M2734">
        <f t="shared" si="341"/>
        <v>-1.0000000000000009</v>
      </c>
      <c r="N2734">
        <f t="shared" si="342"/>
        <v>-1.0000000000000009</v>
      </c>
      <c r="O2734">
        <f t="shared" si="343"/>
        <v>-0.99999999999997868</v>
      </c>
      <c r="P2734">
        <f t="shared" si="344"/>
        <v>0</v>
      </c>
      <c r="Q2734">
        <f t="shared" si="345"/>
        <v>0</v>
      </c>
      <c r="R2734">
        <f t="shared" si="346"/>
        <v>-0.99999999999997868</v>
      </c>
    </row>
    <row r="2735" spans="1:18">
      <c r="A2735" s="9">
        <v>40701</v>
      </c>
      <c r="B2735">
        <v>0.36</v>
      </c>
      <c r="C2735">
        <v>0.63</v>
      </c>
      <c r="D2735">
        <v>1.04</v>
      </c>
      <c r="E2735">
        <v>1.47</v>
      </c>
      <c r="F2735">
        <v>1.89</v>
      </c>
      <c r="G2735">
        <v>2.56</v>
      </c>
      <c r="H2735">
        <v>3.18</v>
      </c>
      <c r="I2735">
        <v>4.04</v>
      </c>
      <c r="K2735">
        <f t="shared" si="339"/>
        <v>0</v>
      </c>
      <c r="L2735">
        <f t="shared" si="340"/>
        <v>0</v>
      </c>
      <c r="M2735">
        <f t="shared" si="341"/>
        <v>1.0000000000000009</v>
      </c>
      <c r="N2735">
        <f t="shared" si="342"/>
        <v>1.0000000000000009</v>
      </c>
      <c r="O2735">
        <f t="shared" si="343"/>
        <v>1.9999999999999796</v>
      </c>
      <c r="P2735">
        <f t="shared" si="344"/>
        <v>3.0000000000000249</v>
      </c>
      <c r="Q2735">
        <f t="shared" si="345"/>
        <v>4.0000000000000036</v>
      </c>
      <c r="R2735">
        <f t="shared" si="346"/>
        <v>4.0000000000000036</v>
      </c>
    </row>
    <row r="2736" spans="1:18">
      <c r="A2736" s="9">
        <v>40702</v>
      </c>
      <c r="B2736">
        <v>0.35</v>
      </c>
      <c r="C2736">
        <v>0.59</v>
      </c>
      <c r="D2736">
        <v>0.97</v>
      </c>
      <c r="E2736">
        <v>1.39</v>
      </c>
      <c r="F2736">
        <v>1.8</v>
      </c>
      <c r="G2736">
        <v>2.46</v>
      </c>
      <c r="H2736">
        <v>3.09</v>
      </c>
      <c r="I2736">
        <v>3.97</v>
      </c>
      <c r="K2736">
        <f t="shared" si="339"/>
        <v>-1.0000000000000009</v>
      </c>
      <c r="L2736">
        <f t="shared" si="340"/>
        <v>-4.0000000000000036</v>
      </c>
      <c r="M2736">
        <f t="shared" si="341"/>
        <v>-7.0000000000000062</v>
      </c>
      <c r="N2736">
        <f t="shared" si="342"/>
        <v>-8.0000000000000071</v>
      </c>
      <c r="O2736">
        <f t="shared" si="343"/>
        <v>-8.9999999999999858</v>
      </c>
      <c r="P2736">
        <f t="shared" si="344"/>
        <v>-10.000000000000009</v>
      </c>
      <c r="Q2736">
        <f t="shared" si="345"/>
        <v>-9.0000000000000302</v>
      </c>
      <c r="R2736">
        <f t="shared" si="346"/>
        <v>-6.999999999999984</v>
      </c>
    </row>
    <row r="2737" spans="1:18">
      <c r="A2737" s="9">
        <v>40703</v>
      </c>
      <c r="B2737">
        <v>0.36</v>
      </c>
      <c r="C2737">
        <v>0.6</v>
      </c>
      <c r="D2737">
        <v>0.96</v>
      </c>
      <c r="E2737">
        <v>1.38</v>
      </c>
      <c r="F2737">
        <v>1.78</v>
      </c>
      <c r="G2737">
        <v>2.44</v>
      </c>
      <c r="H2737">
        <v>3.06</v>
      </c>
      <c r="I2737">
        <v>3.93</v>
      </c>
      <c r="K2737">
        <f t="shared" si="339"/>
        <v>1.0000000000000009</v>
      </c>
      <c r="L2737">
        <f t="shared" si="340"/>
        <v>1.0000000000000009</v>
      </c>
      <c r="M2737">
        <f t="shared" si="341"/>
        <v>-1.0000000000000009</v>
      </c>
      <c r="N2737">
        <f t="shared" si="342"/>
        <v>-1.0000000000000009</v>
      </c>
      <c r="O2737">
        <f t="shared" si="343"/>
        <v>-2.0000000000000018</v>
      </c>
      <c r="P2737">
        <f t="shared" si="344"/>
        <v>-2.0000000000000018</v>
      </c>
      <c r="Q2737">
        <f t="shared" si="345"/>
        <v>-2.9999999999999805</v>
      </c>
      <c r="R2737">
        <f t="shared" si="346"/>
        <v>-4.0000000000000036</v>
      </c>
    </row>
    <row r="2738" spans="1:18">
      <c r="A2738" s="9">
        <v>40704</v>
      </c>
      <c r="B2738">
        <v>0.36</v>
      </c>
      <c r="C2738">
        <v>0.59</v>
      </c>
      <c r="D2738">
        <v>0.96</v>
      </c>
      <c r="E2738">
        <v>1.37</v>
      </c>
      <c r="F2738">
        <v>1.79</v>
      </c>
      <c r="G2738">
        <v>2.44</v>
      </c>
      <c r="H2738">
        <v>3.05</v>
      </c>
      <c r="I2738">
        <v>3.92</v>
      </c>
      <c r="K2738">
        <f t="shared" si="339"/>
        <v>0</v>
      </c>
      <c r="L2738">
        <f t="shared" si="340"/>
        <v>-1.0000000000000009</v>
      </c>
      <c r="M2738">
        <f t="shared" si="341"/>
        <v>0</v>
      </c>
      <c r="N2738">
        <f t="shared" si="342"/>
        <v>-0.99999999999997868</v>
      </c>
      <c r="O2738">
        <f t="shared" si="343"/>
        <v>1.0000000000000009</v>
      </c>
      <c r="P2738">
        <f t="shared" si="344"/>
        <v>0</v>
      </c>
      <c r="Q2738">
        <f t="shared" si="345"/>
        <v>-1.0000000000000231</v>
      </c>
      <c r="R2738">
        <f t="shared" si="346"/>
        <v>-1.0000000000000231</v>
      </c>
    </row>
    <row r="2739" spans="1:18">
      <c r="A2739" s="9">
        <v>40707</v>
      </c>
      <c r="B2739">
        <v>0.37</v>
      </c>
      <c r="C2739">
        <v>0.61</v>
      </c>
      <c r="D2739">
        <v>0.99</v>
      </c>
      <c r="E2739">
        <v>1.42</v>
      </c>
      <c r="F2739">
        <v>1.84</v>
      </c>
      <c r="G2739">
        <v>2.4900000000000002</v>
      </c>
      <c r="H2739">
        <v>3.09</v>
      </c>
      <c r="I2739">
        <v>3.94</v>
      </c>
      <c r="K2739">
        <f t="shared" si="339"/>
        <v>1.0000000000000009</v>
      </c>
      <c r="L2739">
        <f t="shared" si="340"/>
        <v>2.0000000000000018</v>
      </c>
      <c r="M2739">
        <f t="shared" si="341"/>
        <v>3.0000000000000027</v>
      </c>
      <c r="N2739">
        <f t="shared" si="342"/>
        <v>4.9999999999999822</v>
      </c>
      <c r="O2739">
        <f t="shared" si="343"/>
        <v>5.0000000000000044</v>
      </c>
      <c r="P2739">
        <f t="shared" si="344"/>
        <v>5.0000000000000266</v>
      </c>
      <c r="Q2739">
        <f t="shared" si="345"/>
        <v>4.0000000000000036</v>
      </c>
      <c r="R2739">
        <f t="shared" si="346"/>
        <v>2.0000000000000018</v>
      </c>
    </row>
    <row r="2740" spans="1:18">
      <c r="A2740" s="9">
        <v>40708</v>
      </c>
      <c r="B2740">
        <v>0.37</v>
      </c>
      <c r="C2740">
        <v>0.63</v>
      </c>
      <c r="D2740">
        <v>1.04</v>
      </c>
      <c r="E2740">
        <v>1.49</v>
      </c>
      <c r="F2740">
        <v>1.91</v>
      </c>
      <c r="G2740">
        <v>2.57</v>
      </c>
      <c r="H2740">
        <v>3.18</v>
      </c>
      <c r="I2740">
        <v>4.0199999999999996</v>
      </c>
      <c r="K2740">
        <f t="shared" si="339"/>
        <v>0</v>
      </c>
      <c r="L2740">
        <f t="shared" si="340"/>
        <v>2.0000000000000018</v>
      </c>
      <c r="M2740">
        <f t="shared" si="341"/>
        <v>5.0000000000000044</v>
      </c>
      <c r="N2740">
        <f t="shared" si="342"/>
        <v>7.0000000000000062</v>
      </c>
      <c r="O2740">
        <f t="shared" si="343"/>
        <v>6.999999999999984</v>
      </c>
      <c r="P2740">
        <f t="shared" si="344"/>
        <v>7.9999999999999627</v>
      </c>
      <c r="Q2740">
        <f t="shared" si="345"/>
        <v>9.0000000000000302</v>
      </c>
      <c r="R2740">
        <f t="shared" si="346"/>
        <v>7.9999999999999627</v>
      </c>
    </row>
    <row r="2741" spans="1:18">
      <c r="A2741" s="9">
        <v>40709</v>
      </c>
      <c r="B2741">
        <v>0.39</v>
      </c>
      <c r="C2741">
        <v>0.62</v>
      </c>
      <c r="D2741">
        <v>1.03</v>
      </c>
      <c r="E2741">
        <v>1.47</v>
      </c>
      <c r="F2741">
        <v>1.89</v>
      </c>
      <c r="G2741">
        <v>2.5499999999999998</v>
      </c>
      <c r="H2741">
        <v>3.17</v>
      </c>
      <c r="I2741">
        <v>4.0199999999999996</v>
      </c>
      <c r="K2741">
        <f t="shared" si="339"/>
        <v>2.0000000000000018</v>
      </c>
      <c r="L2741">
        <f t="shared" si="340"/>
        <v>-1.0000000000000009</v>
      </c>
      <c r="M2741">
        <f t="shared" si="341"/>
        <v>-1.0000000000000009</v>
      </c>
      <c r="N2741">
        <f t="shared" si="342"/>
        <v>-2.0000000000000018</v>
      </c>
      <c r="O2741">
        <f t="shared" si="343"/>
        <v>-2.0000000000000018</v>
      </c>
      <c r="P2741">
        <f t="shared" si="344"/>
        <v>-2.0000000000000018</v>
      </c>
      <c r="Q2741">
        <f t="shared" si="345"/>
        <v>-1.0000000000000231</v>
      </c>
      <c r="R2741">
        <f t="shared" si="346"/>
        <v>0</v>
      </c>
    </row>
    <row r="2742" spans="1:18">
      <c r="A2742" s="9">
        <v>40710</v>
      </c>
      <c r="B2742">
        <v>0.43</v>
      </c>
      <c r="C2742">
        <v>0.65</v>
      </c>
      <c r="D2742">
        <v>1.02</v>
      </c>
      <c r="E2742">
        <v>1.44</v>
      </c>
      <c r="F2742">
        <v>1.84</v>
      </c>
      <c r="G2742">
        <v>2.48</v>
      </c>
      <c r="H2742">
        <v>3.08</v>
      </c>
      <c r="I2742">
        <v>3.91</v>
      </c>
      <c r="K2742">
        <f t="shared" si="339"/>
        <v>3.9999999999999982</v>
      </c>
      <c r="L2742">
        <f t="shared" si="340"/>
        <v>3.0000000000000027</v>
      </c>
      <c r="M2742">
        <f t="shared" si="341"/>
        <v>-1.0000000000000009</v>
      </c>
      <c r="N2742">
        <f t="shared" si="342"/>
        <v>-3.0000000000000027</v>
      </c>
      <c r="O2742">
        <f t="shared" si="343"/>
        <v>-4.9999999999999822</v>
      </c>
      <c r="P2742">
        <f t="shared" si="344"/>
        <v>-6.999999999999984</v>
      </c>
      <c r="Q2742">
        <f t="shared" si="345"/>
        <v>-8.9999999999999858</v>
      </c>
      <c r="R2742">
        <f t="shared" si="346"/>
        <v>-10.999999999999943</v>
      </c>
    </row>
    <row r="2743" spans="1:18">
      <c r="A2743" s="9">
        <v>40711</v>
      </c>
      <c r="B2743">
        <v>0.41</v>
      </c>
      <c r="C2743">
        <v>0.64</v>
      </c>
      <c r="D2743">
        <v>1.02</v>
      </c>
      <c r="E2743">
        <v>1.44</v>
      </c>
      <c r="F2743">
        <v>1.85</v>
      </c>
      <c r="G2743">
        <v>2.4900000000000002</v>
      </c>
      <c r="H2743">
        <v>3.1</v>
      </c>
      <c r="I2743">
        <v>3.94</v>
      </c>
      <c r="K2743">
        <f t="shared" si="339"/>
        <v>-2.0000000000000018</v>
      </c>
      <c r="L2743">
        <f t="shared" si="340"/>
        <v>-1.0000000000000009</v>
      </c>
      <c r="M2743">
        <f t="shared" si="341"/>
        <v>0</v>
      </c>
      <c r="N2743">
        <f t="shared" si="342"/>
        <v>0</v>
      </c>
      <c r="O2743">
        <f t="shared" si="343"/>
        <v>1.0000000000000009</v>
      </c>
      <c r="P2743">
        <f t="shared" si="344"/>
        <v>1.0000000000000231</v>
      </c>
      <c r="Q2743">
        <f t="shared" si="345"/>
        <v>2.0000000000000018</v>
      </c>
      <c r="R2743">
        <f t="shared" si="346"/>
        <v>2.9999999999999805</v>
      </c>
    </row>
    <row r="2744" spans="1:18">
      <c r="A2744" s="9">
        <v>40714</v>
      </c>
      <c r="B2744">
        <v>0.4</v>
      </c>
      <c r="C2744">
        <v>0.64</v>
      </c>
      <c r="D2744">
        <v>1.01</v>
      </c>
      <c r="E2744">
        <v>1.43</v>
      </c>
      <c r="F2744">
        <v>1.84</v>
      </c>
      <c r="G2744">
        <v>2.48</v>
      </c>
      <c r="H2744">
        <v>3.09</v>
      </c>
      <c r="I2744">
        <v>3.93</v>
      </c>
      <c r="K2744">
        <f t="shared" si="339"/>
        <v>-0.99999999999999534</v>
      </c>
      <c r="L2744">
        <f t="shared" si="340"/>
        <v>0</v>
      </c>
      <c r="M2744">
        <f t="shared" si="341"/>
        <v>-1.0000000000000009</v>
      </c>
      <c r="N2744">
        <f t="shared" si="342"/>
        <v>-1.0000000000000009</v>
      </c>
      <c r="O2744">
        <f t="shared" si="343"/>
        <v>-1.0000000000000009</v>
      </c>
      <c r="P2744">
        <f t="shared" si="344"/>
        <v>-1.0000000000000231</v>
      </c>
      <c r="Q2744">
        <f t="shared" si="345"/>
        <v>-1.0000000000000231</v>
      </c>
      <c r="R2744">
        <f t="shared" si="346"/>
        <v>-0.99999999999997868</v>
      </c>
    </row>
    <row r="2745" spans="1:18">
      <c r="A2745" s="9">
        <v>40715</v>
      </c>
      <c r="B2745">
        <v>0.41</v>
      </c>
      <c r="C2745">
        <v>0.65</v>
      </c>
      <c r="D2745">
        <v>1.02</v>
      </c>
      <c r="E2745">
        <v>1.45</v>
      </c>
      <c r="F2745">
        <v>1.87</v>
      </c>
      <c r="G2745">
        <v>2.52</v>
      </c>
      <c r="H2745">
        <v>3.13</v>
      </c>
      <c r="I2745">
        <v>3.96</v>
      </c>
      <c r="K2745">
        <f t="shared" si="339"/>
        <v>0.99999999999999534</v>
      </c>
      <c r="L2745">
        <f t="shared" si="340"/>
        <v>1.0000000000000009</v>
      </c>
      <c r="M2745">
        <f t="shared" si="341"/>
        <v>1.0000000000000009</v>
      </c>
      <c r="N2745">
        <f t="shared" si="342"/>
        <v>2.0000000000000018</v>
      </c>
      <c r="O2745">
        <f t="shared" si="343"/>
        <v>3.0000000000000027</v>
      </c>
      <c r="P2745">
        <f t="shared" si="344"/>
        <v>4.0000000000000036</v>
      </c>
      <c r="Q2745">
        <f t="shared" si="345"/>
        <v>4.0000000000000036</v>
      </c>
      <c r="R2745">
        <f t="shared" si="346"/>
        <v>2.9999999999999805</v>
      </c>
    </row>
    <row r="2746" spans="1:18">
      <c r="A2746" s="9">
        <v>40716</v>
      </c>
      <c r="B2746">
        <v>0.39</v>
      </c>
      <c r="C2746">
        <v>0.62</v>
      </c>
      <c r="D2746">
        <v>0.99</v>
      </c>
      <c r="E2746">
        <v>1.41</v>
      </c>
      <c r="F2746">
        <v>1.83</v>
      </c>
      <c r="G2746">
        <v>2.4900000000000002</v>
      </c>
      <c r="H2746">
        <v>3.1</v>
      </c>
      <c r="I2746">
        <v>3.94</v>
      </c>
      <c r="K2746">
        <f t="shared" si="339"/>
        <v>-1.9999999999999962</v>
      </c>
      <c r="L2746">
        <f t="shared" si="340"/>
        <v>-3.0000000000000027</v>
      </c>
      <c r="M2746">
        <f t="shared" si="341"/>
        <v>-3.0000000000000027</v>
      </c>
      <c r="N2746">
        <f t="shared" si="342"/>
        <v>-4.0000000000000036</v>
      </c>
      <c r="O2746">
        <f t="shared" si="343"/>
        <v>-4.0000000000000036</v>
      </c>
      <c r="P2746">
        <f t="shared" si="344"/>
        <v>-2.9999999999999805</v>
      </c>
      <c r="Q2746">
        <f t="shared" si="345"/>
        <v>-2.9999999999999805</v>
      </c>
      <c r="R2746">
        <f t="shared" si="346"/>
        <v>-2.0000000000000018</v>
      </c>
    </row>
    <row r="2747" spans="1:18">
      <c r="A2747" s="9">
        <v>40717</v>
      </c>
      <c r="B2747">
        <v>0.42</v>
      </c>
      <c r="C2747">
        <v>0.63</v>
      </c>
      <c r="D2747">
        <v>0.98</v>
      </c>
      <c r="E2747">
        <v>1.39</v>
      </c>
      <c r="F2747">
        <v>1.8</v>
      </c>
      <c r="G2747">
        <v>2.44</v>
      </c>
      <c r="H2747">
        <v>3.05</v>
      </c>
      <c r="I2747">
        <v>3.89</v>
      </c>
      <c r="K2747">
        <f t="shared" si="339"/>
        <v>2.9999999999999973</v>
      </c>
      <c r="L2747">
        <f t="shared" si="340"/>
        <v>1.0000000000000009</v>
      </c>
      <c r="M2747">
        <f t="shared" si="341"/>
        <v>-1.0000000000000009</v>
      </c>
      <c r="N2747">
        <f t="shared" si="342"/>
        <v>-2.0000000000000018</v>
      </c>
      <c r="O2747">
        <f t="shared" si="343"/>
        <v>-3.0000000000000027</v>
      </c>
      <c r="P2747">
        <f t="shared" si="344"/>
        <v>-5.0000000000000266</v>
      </c>
      <c r="Q2747">
        <f t="shared" si="345"/>
        <v>-5.0000000000000266</v>
      </c>
      <c r="R2747">
        <f t="shared" si="346"/>
        <v>-4.9999999999999822</v>
      </c>
    </row>
    <row r="2748" spans="1:18">
      <c r="A2748" s="9">
        <v>40718</v>
      </c>
      <c r="B2748">
        <v>0.43</v>
      </c>
      <c r="C2748">
        <v>0.64</v>
      </c>
      <c r="D2748">
        <v>0.97</v>
      </c>
      <c r="E2748">
        <v>1.37</v>
      </c>
      <c r="F2748">
        <v>1.78</v>
      </c>
      <c r="G2748">
        <v>2.41</v>
      </c>
      <c r="H2748">
        <v>3.02</v>
      </c>
      <c r="I2748">
        <v>3.87</v>
      </c>
      <c r="K2748">
        <f t="shared" si="339"/>
        <v>1.0000000000000009</v>
      </c>
      <c r="L2748">
        <f t="shared" si="340"/>
        <v>1.0000000000000009</v>
      </c>
      <c r="M2748">
        <f t="shared" si="341"/>
        <v>-1.0000000000000009</v>
      </c>
      <c r="N2748">
        <f t="shared" si="342"/>
        <v>-1.9999999999999796</v>
      </c>
      <c r="O2748">
        <f t="shared" si="343"/>
        <v>-2.0000000000000018</v>
      </c>
      <c r="P2748">
        <f t="shared" si="344"/>
        <v>-2.9999999999999805</v>
      </c>
      <c r="Q2748">
        <f t="shared" si="345"/>
        <v>-2.9999999999999805</v>
      </c>
      <c r="R2748">
        <f t="shared" si="346"/>
        <v>-2.0000000000000018</v>
      </c>
    </row>
    <row r="2749" spans="1:18">
      <c r="A2749" s="9">
        <v>40721</v>
      </c>
      <c r="B2749">
        <v>0.45</v>
      </c>
      <c r="C2749">
        <v>0.66</v>
      </c>
      <c r="D2749">
        <v>0.98</v>
      </c>
      <c r="E2749">
        <v>1.37</v>
      </c>
      <c r="F2749">
        <v>1.77</v>
      </c>
      <c r="G2749">
        <v>2.41</v>
      </c>
      <c r="H2749">
        <v>3.01</v>
      </c>
      <c r="I2749">
        <v>3.88</v>
      </c>
      <c r="K2749">
        <f t="shared" si="339"/>
        <v>2.0000000000000018</v>
      </c>
      <c r="L2749">
        <f t="shared" si="340"/>
        <v>2.0000000000000018</v>
      </c>
      <c r="M2749">
        <f t="shared" si="341"/>
        <v>1.0000000000000009</v>
      </c>
      <c r="N2749">
        <f t="shared" si="342"/>
        <v>0</v>
      </c>
      <c r="O2749">
        <f t="shared" si="343"/>
        <v>-1.0000000000000009</v>
      </c>
      <c r="P2749">
        <f t="shared" si="344"/>
        <v>0</v>
      </c>
      <c r="Q2749">
        <f t="shared" si="345"/>
        <v>-1.0000000000000231</v>
      </c>
      <c r="R2749">
        <f t="shared" si="346"/>
        <v>0.99999999999997868</v>
      </c>
    </row>
    <row r="2750" spans="1:18">
      <c r="A2750" s="9">
        <v>40722</v>
      </c>
      <c r="B2750">
        <v>0.43</v>
      </c>
      <c r="C2750">
        <v>0.67</v>
      </c>
      <c r="D2750">
        <v>1.02</v>
      </c>
      <c r="E2750">
        <v>1.42</v>
      </c>
      <c r="F2750">
        <v>1.83</v>
      </c>
      <c r="G2750">
        <v>2.4700000000000002</v>
      </c>
      <c r="H2750">
        <v>3.08</v>
      </c>
      <c r="I2750">
        <v>3.95</v>
      </c>
      <c r="K2750">
        <f t="shared" si="339"/>
        <v>-2.0000000000000018</v>
      </c>
      <c r="L2750">
        <f t="shared" si="340"/>
        <v>1.0000000000000009</v>
      </c>
      <c r="M2750">
        <f t="shared" si="341"/>
        <v>4.0000000000000036</v>
      </c>
      <c r="N2750">
        <f t="shared" si="342"/>
        <v>4.9999999999999822</v>
      </c>
      <c r="O2750">
        <f t="shared" si="343"/>
        <v>6.0000000000000053</v>
      </c>
      <c r="P2750">
        <f t="shared" si="344"/>
        <v>6.0000000000000053</v>
      </c>
      <c r="Q2750">
        <f t="shared" si="345"/>
        <v>7.0000000000000284</v>
      </c>
      <c r="R2750">
        <f t="shared" si="346"/>
        <v>7.0000000000000284</v>
      </c>
    </row>
    <row r="2751" spans="1:18">
      <c r="A2751" s="9">
        <v>40723</v>
      </c>
      <c r="B2751">
        <v>0.41</v>
      </c>
      <c r="C2751">
        <v>0.7</v>
      </c>
      <c r="D2751">
        <v>1.1000000000000001</v>
      </c>
      <c r="E2751">
        <v>1.53</v>
      </c>
      <c r="F2751">
        <v>1.94</v>
      </c>
      <c r="G2751">
        <v>2.58</v>
      </c>
      <c r="H2751">
        <v>3.19</v>
      </c>
      <c r="I2751">
        <v>4.01</v>
      </c>
      <c r="K2751">
        <f t="shared" si="339"/>
        <v>-2.0000000000000018</v>
      </c>
      <c r="L2751">
        <f t="shared" si="340"/>
        <v>2.9999999999999916</v>
      </c>
      <c r="M2751">
        <f t="shared" si="341"/>
        <v>8.0000000000000071</v>
      </c>
      <c r="N2751">
        <f t="shared" si="342"/>
        <v>11.000000000000011</v>
      </c>
      <c r="O2751">
        <f t="shared" si="343"/>
        <v>10.999999999999988</v>
      </c>
      <c r="P2751">
        <f t="shared" si="344"/>
        <v>10.999999999999988</v>
      </c>
      <c r="Q2751">
        <f t="shared" si="345"/>
        <v>10.999999999999988</v>
      </c>
      <c r="R2751">
        <f t="shared" si="346"/>
        <v>5.9999999999999609</v>
      </c>
    </row>
    <row r="2752" spans="1:18">
      <c r="A2752" s="9">
        <v>40724</v>
      </c>
      <c r="B2752">
        <v>0.4</v>
      </c>
      <c r="C2752">
        <v>0.71</v>
      </c>
      <c r="D2752">
        <v>1.1499999999999999</v>
      </c>
      <c r="E2752">
        <v>1.61</v>
      </c>
      <c r="F2752">
        <v>2.04</v>
      </c>
      <c r="G2752">
        <v>2.69</v>
      </c>
      <c r="H2752">
        <v>3.28</v>
      </c>
      <c r="I2752">
        <v>4.0999999999999996</v>
      </c>
      <c r="K2752">
        <f t="shared" si="339"/>
        <v>-0.99999999999999534</v>
      </c>
      <c r="L2752">
        <f t="shared" si="340"/>
        <v>1.0000000000000009</v>
      </c>
      <c r="M2752">
        <f t="shared" si="341"/>
        <v>4.9999999999999822</v>
      </c>
      <c r="N2752">
        <f t="shared" si="342"/>
        <v>8.0000000000000071</v>
      </c>
      <c r="O2752">
        <f t="shared" si="343"/>
        <v>10.000000000000009</v>
      </c>
      <c r="P2752">
        <f t="shared" si="344"/>
        <v>10.999999999999988</v>
      </c>
      <c r="Q2752">
        <f t="shared" si="345"/>
        <v>8.9999999999999858</v>
      </c>
      <c r="R2752">
        <f t="shared" si="346"/>
        <v>8.9999999999999858</v>
      </c>
    </row>
    <row r="2753" spans="1:18">
      <c r="A2753" s="9">
        <v>40725</v>
      </c>
      <c r="B2753">
        <v>0.39</v>
      </c>
      <c r="C2753">
        <v>0.73</v>
      </c>
      <c r="D2753">
        <v>1.18</v>
      </c>
      <c r="E2753">
        <v>1.65</v>
      </c>
      <c r="F2753">
        <v>2.08</v>
      </c>
      <c r="G2753">
        <v>2.74</v>
      </c>
      <c r="H2753">
        <v>3.32</v>
      </c>
      <c r="I2753">
        <v>4.1100000000000003</v>
      </c>
      <c r="K2753">
        <f t="shared" si="339"/>
        <v>-1.0000000000000009</v>
      </c>
      <c r="L2753">
        <f t="shared" si="340"/>
        <v>2.0000000000000018</v>
      </c>
      <c r="M2753">
        <f t="shared" si="341"/>
        <v>3.0000000000000027</v>
      </c>
      <c r="N2753">
        <f t="shared" si="342"/>
        <v>3.9999999999999813</v>
      </c>
      <c r="O2753">
        <f t="shared" si="343"/>
        <v>4.0000000000000036</v>
      </c>
      <c r="P2753">
        <f t="shared" si="344"/>
        <v>5.0000000000000266</v>
      </c>
      <c r="Q2753">
        <f t="shared" si="345"/>
        <v>4.0000000000000036</v>
      </c>
      <c r="R2753">
        <f t="shared" si="346"/>
        <v>1.0000000000000675</v>
      </c>
    </row>
    <row r="2754" spans="1:18">
      <c r="A2754" s="9">
        <v>40729</v>
      </c>
      <c r="B2754">
        <v>0.4</v>
      </c>
      <c r="C2754">
        <v>0.69</v>
      </c>
      <c r="D2754">
        <v>1.1200000000000001</v>
      </c>
      <c r="E2754">
        <v>1.57</v>
      </c>
      <c r="F2754">
        <v>1.99</v>
      </c>
      <c r="G2754">
        <v>2.65</v>
      </c>
      <c r="H2754">
        <v>3.25</v>
      </c>
      <c r="I2754">
        <v>4.0599999999999996</v>
      </c>
      <c r="K2754">
        <f t="shared" si="339"/>
        <v>1.0000000000000009</v>
      </c>
      <c r="L2754">
        <f t="shared" si="340"/>
        <v>-4.0000000000000036</v>
      </c>
      <c r="M2754">
        <f t="shared" si="341"/>
        <v>-5.9999999999999831</v>
      </c>
      <c r="N2754">
        <f t="shared" si="342"/>
        <v>-7.9999999999999849</v>
      </c>
      <c r="O2754">
        <f t="shared" si="343"/>
        <v>-9.0000000000000071</v>
      </c>
      <c r="P2754">
        <f t="shared" si="344"/>
        <v>-9.0000000000000302</v>
      </c>
      <c r="Q2754">
        <f t="shared" si="345"/>
        <v>-6.999999999999984</v>
      </c>
      <c r="R2754">
        <f t="shared" si="346"/>
        <v>-5.0000000000000711</v>
      </c>
    </row>
    <row r="2755" spans="1:18">
      <c r="A2755" s="9">
        <v>40730</v>
      </c>
      <c r="B2755">
        <v>0.41</v>
      </c>
      <c r="C2755">
        <v>0.68</v>
      </c>
      <c r="D2755">
        <v>1.08</v>
      </c>
      <c r="E2755">
        <v>1.52</v>
      </c>
      <c r="F2755">
        <v>1.94</v>
      </c>
      <c r="G2755">
        <v>2.61</v>
      </c>
      <c r="H2755">
        <v>3.23</v>
      </c>
      <c r="I2755">
        <v>4.05</v>
      </c>
      <c r="K2755">
        <f t="shared" si="339"/>
        <v>0.99999999999999534</v>
      </c>
      <c r="L2755">
        <f t="shared" si="340"/>
        <v>-0.99999999999998979</v>
      </c>
      <c r="M2755">
        <f t="shared" si="341"/>
        <v>-4.0000000000000036</v>
      </c>
      <c r="N2755">
        <f t="shared" si="342"/>
        <v>-5.0000000000000044</v>
      </c>
      <c r="O2755">
        <f t="shared" si="343"/>
        <v>-5.0000000000000044</v>
      </c>
      <c r="P2755">
        <f t="shared" si="344"/>
        <v>-4.0000000000000036</v>
      </c>
      <c r="Q2755">
        <f t="shared" si="345"/>
        <v>-2.0000000000000018</v>
      </c>
      <c r="R2755">
        <f t="shared" si="346"/>
        <v>-0.99999999999997868</v>
      </c>
    </row>
    <row r="2756" spans="1:18">
      <c r="A2756" s="9">
        <v>40731</v>
      </c>
      <c r="B2756">
        <v>0.41</v>
      </c>
      <c r="C2756">
        <v>0.72</v>
      </c>
      <c r="D2756">
        <v>1.1399999999999999</v>
      </c>
      <c r="E2756">
        <v>1.61</v>
      </c>
      <c r="F2756">
        <v>2.0299999999999998</v>
      </c>
      <c r="G2756">
        <v>2.7</v>
      </c>
      <c r="H2756">
        <v>3.3</v>
      </c>
      <c r="I2756">
        <v>4.1100000000000003</v>
      </c>
      <c r="K2756">
        <f t="shared" si="339"/>
        <v>0</v>
      </c>
      <c r="L2756">
        <f t="shared" si="340"/>
        <v>3.9999999999999925</v>
      </c>
      <c r="M2756">
        <f t="shared" si="341"/>
        <v>5.9999999999999831</v>
      </c>
      <c r="N2756">
        <f t="shared" si="342"/>
        <v>9.0000000000000071</v>
      </c>
      <c r="O2756">
        <f t="shared" si="343"/>
        <v>8.9999999999999858</v>
      </c>
      <c r="P2756">
        <f t="shared" si="344"/>
        <v>9.0000000000000302</v>
      </c>
      <c r="Q2756">
        <f t="shared" si="345"/>
        <v>6.999999999999984</v>
      </c>
      <c r="R2756">
        <f t="shared" si="346"/>
        <v>6.0000000000000497</v>
      </c>
    </row>
    <row r="2757" spans="1:18">
      <c r="A2757" s="9">
        <v>40732</v>
      </c>
      <c r="B2757">
        <v>0.4</v>
      </c>
      <c r="C2757">
        <v>0.64</v>
      </c>
      <c r="D2757">
        <v>1.02</v>
      </c>
      <c r="E2757">
        <v>1.45</v>
      </c>
      <c r="F2757">
        <v>1.87</v>
      </c>
      <c r="G2757">
        <v>2.5499999999999998</v>
      </c>
      <c r="H2757">
        <v>3.17</v>
      </c>
      <c r="I2757">
        <v>4.0199999999999996</v>
      </c>
      <c r="K2757">
        <f t="shared" ref="K2757:K2782" si="347">(B2757-B2756)*100</f>
        <v>-0.99999999999999534</v>
      </c>
      <c r="L2757">
        <f t="shared" ref="L2757:L2782" si="348">(C2757-C2756)*100</f>
        <v>-7.9999999999999964</v>
      </c>
      <c r="M2757">
        <f t="shared" ref="M2757:M2782" si="349">(D2757-D2756)*100</f>
        <v>-11.999999999999989</v>
      </c>
      <c r="N2757">
        <f t="shared" ref="N2757:N2782" si="350">(E2757-E2756)*100</f>
        <v>-16.000000000000014</v>
      </c>
      <c r="O2757">
        <f t="shared" ref="O2757:O2782" si="351">(F2757-F2756)*100</f>
        <v>-15.99999999999997</v>
      </c>
      <c r="P2757">
        <f t="shared" ref="P2757:P2782" si="352">(G2757-G2756)*100</f>
        <v>-15.000000000000036</v>
      </c>
      <c r="Q2757">
        <f t="shared" ref="Q2757:Q2782" si="353">(H2757-H2756)*100</f>
        <v>-12.999999999999989</v>
      </c>
      <c r="R2757">
        <f t="shared" ref="R2757:R2782" si="354">(I2757-I2756)*100</f>
        <v>-9.0000000000000746</v>
      </c>
    </row>
    <row r="2758" spans="1:18">
      <c r="A2758" s="9">
        <v>40735</v>
      </c>
      <c r="B2758">
        <v>0.44</v>
      </c>
      <c r="C2758">
        <v>0.65</v>
      </c>
      <c r="D2758">
        <v>0.99</v>
      </c>
      <c r="E2758">
        <v>1.4</v>
      </c>
      <c r="F2758">
        <v>1.81</v>
      </c>
      <c r="G2758">
        <v>2.4700000000000002</v>
      </c>
      <c r="H2758">
        <v>3.09</v>
      </c>
      <c r="I2758">
        <v>3.94</v>
      </c>
      <c r="K2758">
        <f t="shared" si="347"/>
        <v>3.9999999999999982</v>
      </c>
      <c r="L2758">
        <f t="shared" si="348"/>
        <v>1.0000000000000009</v>
      </c>
      <c r="M2758">
        <f t="shared" si="349"/>
        <v>-3.0000000000000027</v>
      </c>
      <c r="N2758">
        <f t="shared" si="350"/>
        <v>-5.0000000000000044</v>
      </c>
      <c r="O2758">
        <f t="shared" si="351"/>
        <v>-6.0000000000000053</v>
      </c>
      <c r="P2758">
        <f t="shared" si="352"/>
        <v>-7.9999999999999627</v>
      </c>
      <c r="Q2758">
        <f t="shared" si="353"/>
        <v>-8.0000000000000071</v>
      </c>
      <c r="R2758">
        <f t="shared" si="354"/>
        <v>-7.9999999999999627</v>
      </c>
    </row>
    <row r="2759" spans="1:18">
      <c r="A2759" s="9">
        <v>40736</v>
      </c>
      <c r="B2759">
        <v>0.44</v>
      </c>
      <c r="C2759">
        <v>0.66</v>
      </c>
      <c r="D2759">
        <v>1.01</v>
      </c>
      <c r="E2759">
        <v>1.43</v>
      </c>
      <c r="F2759">
        <v>1.83</v>
      </c>
      <c r="G2759">
        <v>2.4700000000000002</v>
      </c>
      <c r="H2759">
        <v>3.07</v>
      </c>
      <c r="I2759">
        <v>3.9</v>
      </c>
      <c r="K2759">
        <f t="shared" si="347"/>
        <v>0</v>
      </c>
      <c r="L2759">
        <f t="shared" si="348"/>
        <v>1.0000000000000009</v>
      </c>
      <c r="M2759">
        <f t="shared" si="349"/>
        <v>2.0000000000000018</v>
      </c>
      <c r="N2759">
        <f t="shared" si="350"/>
        <v>3.0000000000000027</v>
      </c>
      <c r="O2759">
        <f t="shared" si="351"/>
        <v>2.0000000000000018</v>
      </c>
      <c r="P2759">
        <f t="shared" si="352"/>
        <v>0</v>
      </c>
      <c r="Q2759">
        <f t="shared" si="353"/>
        <v>-2.0000000000000018</v>
      </c>
      <c r="R2759">
        <f t="shared" si="354"/>
        <v>-4.0000000000000036</v>
      </c>
    </row>
    <row r="2760" spans="1:18">
      <c r="A2760" s="9">
        <v>40737</v>
      </c>
      <c r="B2760">
        <v>0.43</v>
      </c>
      <c r="C2760">
        <v>0.62</v>
      </c>
      <c r="D2760">
        <v>0.98</v>
      </c>
      <c r="E2760">
        <v>1.4</v>
      </c>
      <c r="F2760">
        <v>1.81</v>
      </c>
      <c r="G2760">
        <v>2.48</v>
      </c>
      <c r="H2760">
        <v>3.08</v>
      </c>
      <c r="I2760">
        <v>3.93</v>
      </c>
      <c r="K2760">
        <f t="shared" si="347"/>
        <v>-1.0000000000000009</v>
      </c>
      <c r="L2760">
        <f t="shared" si="348"/>
        <v>-4.0000000000000036</v>
      </c>
      <c r="M2760">
        <f t="shared" si="349"/>
        <v>-3.0000000000000027</v>
      </c>
      <c r="N2760">
        <f t="shared" si="350"/>
        <v>-3.0000000000000027</v>
      </c>
      <c r="O2760">
        <f t="shared" si="351"/>
        <v>-2.0000000000000018</v>
      </c>
      <c r="P2760">
        <f t="shared" si="352"/>
        <v>0.99999999999997868</v>
      </c>
      <c r="Q2760">
        <f t="shared" si="353"/>
        <v>1.0000000000000231</v>
      </c>
      <c r="R2760">
        <f t="shared" si="354"/>
        <v>3.0000000000000249</v>
      </c>
    </row>
    <row r="2761" spans="1:18">
      <c r="A2761" s="9">
        <v>40738</v>
      </c>
      <c r="B2761">
        <v>0.43</v>
      </c>
      <c r="C2761">
        <v>0.62</v>
      </c>
      <c r="D2761">
        <v>0.97</v>
      </c>
      <c r="E2761">
        <v>1.39</v>
      </c>
      <c r="F2761">
        <v>1.8</v>
      </c>
      <c r="G2761">
        <v>2.4500000000000002</v>
      </c>
      <c r="H2761">
        <v>3.05</v>
      </c>
      <c r="I2761">
        <v>3.89</v>
      </c>
      <c r="K2761">
        <f t="shared" si="347"/>
        <v>0</v>
      </c>
      <c r="L2761">
        <f t="shared" si="348"/>
        <v>0</v>
      </c>
      <c r="M2761">
        <f t="shared" si="349"/>
        <v>-1.0000000000000009</v>
      </c>
      <c r="N2761">
        <f t="shared" si="350"/>
        <v>-1.0000000000000009</v>
      </c>
      <c r="O2761">
        <f t="shared" si="351"/>
        <v>-1.0000000000000009</v>
      </c>
      <c r="P2761">
        <f t="shared" si="352"/>
        <v>-2.9999999999999805</v>
      </c>
      <c r="Q2761">
        <f t="shared" si="353"/>
        <v>-3.0000000000000249</v>
      </c>
      <c r="R2761">
        <f t="shared" si="354"/>
        <v>-4.0000000000000036</v>
      </c>
    </row>
    <row r="2762" spans="1:18">
      <c r="A2762" s="9">
        <v>40739</v>
      </c>
      <c r="B2762">
        <v>0.45</v>
      </c>
      <c r="C2762">
        <v>0.63</v>
      </c>
      <c r="D2762">
        <v>0.97</v>
      </c>
      <c r="E2762">
        <v>1.37</v>
      </c>
      <c r="F2762">
        <v>1.78</v>
      </c>
      <c r="G2762">
        <v>2.44</v>
      </c>
      <c r="H2762">
        <v>3.06</v>
      </c>
      <c r="I2762">
        <v>3.94</v>
      </c>
      <c r="K2762">
        <f t="shared" si="347"/>
        <v>2.0000000000000018</v>
      </c>
      <c r="L2762">
        <f t="shared" si="348"/>
        <v>1.0000000000000009</v>
      </c>
      <c r="M2762">
        <f t="shared" si="349"/>
        <v>0</v>
      </c>
      <c r="N2762">
        <f t="shared" si="350"/>
        <v>-1.9999999999999796</v>
      </c>
      <c r="O2762">
        <f t="shared" si="351"/>
        <v>-2.0000000000000018</v>
      </c>
      <c r="P2762">
        <f t="shared" si="352"/>
        <v>-1.0000000000000231</v>
      </c>
      <c r="Q2762">
        <f t="shared" si="353"/>
        <v>1.0000000000000231</v>
      </c>
      <c r="R2762">
        <f t="shared" si="354"/>
        <v>4.9999999999999822</v>
      </c>
    </row>
    <row r="2763" spans="1:18">
      <c r="A2763" s="9">
        <v>40742</v>
      </c>
      <c r="B2763">
        <v>0.48</v>
      </c>
      <c r="C2763">
        <v>0.66</v>
      </c>
      <c r="D2763">
        <v>0.98</v>
      </c>
      <c r="E2763">
        <v>1.38</v>
      </c>
      <c r="F2763">
        <v>1.78</v>
      </c>
      <c r="G2763">
        <v>2.42</v>
      </c>
      <c r="H2763">
        <v>3.03</v>
      </c>
      <c r="I2763">
        <v>3.91</v>
      </c>
      <c r="K2763">
        <f t="shared" si="347"/>
        <v>2.9999999999999973</v>
      </c>
      <c r="L2763">
        <f t="shared" si="348"/>
        <v>3.0000000000000027</v>
      </c>
      <c r="M2763">
        <f t="shared" si="349"/>
        <v>1.0000000000000009</v>
      </c>
      <c r="N2763">
        <f t="shared" si="350"/>
        <v>0.99999999999997868</v>
      </c>
      <c r="O2763">
        <f t="shared" si="351"/>
        <v>0</v>
      </c>
      <c r="P2763">
        <f t="shared" si="352"/>
        <v>-2.0000000000000018</v>
      </c>
      <c r="Q2763">
        <f t="shared" si="353"/>
        <v>-3.0000000000000249</v>
      </c>
      <c r="R2763">
        <f t="shared" si="354"/>
        <v>-2.9999999999999805</v>
      </c>
    </row>
    <row r="2764" spans="1:18">
      <c r="A2764" s="9">
        <v>40743</v>
      </c>
      <c r="B2764">
        <v>0.46</v>
      </c>
      <c r="C2764">
        <v>0.65</v>
      </c>
      <c r="D2764">
        <v>0.98</v>
      </c>
      <c r="E2764">
        <v>1.39</v>
      </c>
      <c r="F2764">
        <v>1.79</v>
      </c>
      <c r="G2764">
        <v>2.4500000000000002</v>
      </c>
      <c r="H2764">
        <v>3.07</v>
      </c>
      <c r="I2764">
        <v>3.94</v>
      </c>
      <c r="K2764">
        <f t="shared" si="347"/>
        <v>-1.9999999999999962</v>
      </c>
      <c r="L2764">
        <f t="shared" si="348"/>
        <v>-1.0000000000000009</v>
      </c>
      <c r="M2764">
        <f t="shared" si="349"/>
        <v>0</v>
      </c>
      <c r="N2764">
        <f t="shared" si="350"/>
        <v>1.0000000000000009</v>
      </c>
      <c r="O2764">
        <f t="shared" si="351"/>
        <v>1.0000000000000009</v>
      </c>
      <c r="P2764">
        <f t="shared" si="352"/>
        <v>3.0000000000000249</v>
      </c>
      <c r="Q2764">
        <f t="shared" si="353"/>
        <v>4.0000000000000036</v>
      </c>
      <c r="R2764">
        <f t="shared" si="354"/>
        <v>2.9999999999999805</v>
      </c>
    </row>
    <row r="2765" spans="1:18">
      <c r="A2765" s="9">
        <v>40744</v>
      </c>
      <c r="B2765">
        <v>0.45</v>
      </c>
      <c r="C2765">
        <v>0.66</v>
      </c>
      <c r="D2765">
        <v>0.99</v>
      </c>
      <c r="E2765">
        <v>1.4</v>
      </c>
      <c r="F2765">
        <v>1.8</v>
      </c>
      <c r="G2765">
        <v>2.46</v>
      </c>
      <c r="H2765">
        <v>3.06</v>
      </c>
      <c r="I2765">
        <v>3.92</v>
      </c>
      <c r="K2765">
        <f t="shared" si="347"/>
        <v>-1.0000000000000009</v>
      </c>
      <c r="L2765">
        <f t="shared" si="348"/>
        <v>1.0000000000000009</v>
      </c>
      <c r="M2765">
        <f t="shared" si="349"/>
        <v>1.0000000000000009</v>
      </c>
      <c r="N2765">
        <f t="shared" si="350"/>
        <v>1.0000000000000009</v>
      </c>
      <c r="O2765">
        <f t="shared" si="351"/>
        <v>1.0000000000000009</v>
      </c>
      <c r="P2765">
        <f t="shared" si="352"/>
        <v>0.99999999999997868</v>
      </c>
      <c r="Q2765">
        <f t="shared" si="353"/>
        <v>-0.99999999999997868</v>
      </c>
      <c r="R2765">
        <f t="shared" si="354"/>
        <v>-2.0000000000000018</v>
      </c>
    </row>
    <row r="2766" spans="1:18">
      <c r="A2766" s="9">
        <v>40745</v>
      </c>
      <c r="B2766">
        <v>0.42</v>
      </c>
      <c r="C2766">
        <v>0.65</v>
      </c>
      <c r="D2766">
        <v>1</v>
      </c>
      <c r="E2766">
        <v>1.42</v>
      </c>
      <c r="F2766">
        <v>1.84</v>
      </c>
      <c r="G2766">
        <v>2.5</v>
      </c>
      <c r="H2766">
        <v>3.12</v>
      </c>
      <c r="I2766">
        <v>3.96</v>
      </c>
      <c r="K2766">
        <f t="shared" si="347"/>
        <v>-3.0000000000000027</v>
      </c>
      <c r="L2766">
        <f t="shared" si="348"/>
        <v>-1.0000000000000009</v>
      </c>
      <c r="M2766">
        <f t="shared" si="349"/>
        <v>1.0000000000000009</v>
      </c>
      <c r="N2766">
        <f t="shared" si="350"/>
        <v>2.0000000000000018</v>
      </c>
      <c r="O2766">
        <f t="shared" si="351"/>
        <v>4.0000000000000036</v>
      </c>
      <c r="P2766">
        <f t="shared" si="352"/>
        <v>4.0000000000000036</v>
      </c>
      <c r="Q2766">
        <f t="shared" si="353"/>
        <v>6.0000000000000053</v>
      </c>
      <c r="R2766">
        <f t="shared" si="354"/>
        <v>4.0000000000000036</v>
      </c>
    </row>
    <row r="2767" spans="1:18">
      <c r="A2767" s="9">
        <v>40746</v>
      </c>
      <c r="B2767">
        <v>0.42</v>
      </c>
      <c r="C2767">
        <v>0.63</v>
      </c>
      <c r="D2767">
        <v>0.98</v>
      </c>
      <c r="E2767">
        <v>1.4</v>
      </c>
      <c r="F2767">
        <v>1.81</v>
      </c>
      <c r="G2767">
        <v>2.4700000000000002</v>
      </c>
      <c r="H2767">
        <v>3.09</v>
      </c>
      <c r="I2767">
        <v>3.94</v>
      </c>
      <c r="K2767">
        <f t="shared" si="347"/>
        <v>0</v>
      </c>
      <c r="L2767">
        <f t="shared" si="348"/>
        <v>-2.0000000000000018</v>
      </c>
      <c r="M2767">
        <f t="shared" si="349"/>
        <v>-2.0000000000000018</v>
      </c>
      <c r="N2767">
        <f t="shared" si="350"/>
        <v>-2.0000000000000018</v>
      </c>
      <c r="O2767">
        <f t="shared" si="351"/>
        <v>-3.0000000000000027</v>
      </c>
      <c r="P2767">
        <f t="shared" si="352"/>
        <v>-2.9999999999999805</v>
      </c>
      <c r="Q2767">
        <f t="shared" si="353"/>
        <v>-3.0000000000000249</v>
      </c>
      <c r="R2767">
        <f t="shared" si="354"/>
        <v>-2.0000000000000018</v>
      </c>
    </row>
    <row r="2768" spans="1:18">
      <c r="A2768" s="9">
        <v>40749</v>
      </c>
      <c r="B2768">
        <v>0.43</v>
      </c>
      <c r="C2768">
        <v>0.64</v>
      </c>
      <c r="D2768">
        <v>0.96</v>
      </c>
      <c r="E2768">
        <v>1.36</v>
      </c>
      <c r="F2768">
        <v>1.78</v>
      </c>
      <c r="G2768">
        <v>2.44</v>
      </c>
      <c r="H2768">
        <v>3.07</v>
      </c>
      <c r="I2768">
        <v>3.95</v>
      </c>
      <c r="K2768">
        <f t="shared" si="347"/>
        <v>1.0000000000000009</v>
      </c>
      <c r="L2768">
        <f t="shared" si="348"/>
        <v>1.0000000000000009</v>
      </c>
      <c r="M2768">
        <f t="shared" si="349"/>
        <v>-2.0000000000000018</v>
      </c>
      <c r="N2768">
        <f t="shared" si="350"/>
        <v>-3.9999999999999813</v>
      </c>
      <c r="O2768">
        <f t="shared" si="351"/>
        <v>-3.0000000000000027</v>
      </c>
      <c r="P2768">
        <f t="shared" si="352"/>
        <v>-3.0000000000000249</v>
      </c>
      <c r="Q2768">
        <f t="shared" si="353"/>
        <v>-2.0000000000000018</v>
      </c>
      <c r="R2768">
        <f t="shared" si="354"/>
        <v>1.0000000000000231</v>
      </c>
    </row>
    <row r="2769" spans="1:18">
      <c r="A2769" s="9">
        <v>40750</v>
      </c>
      <c r="B2769">
        <v>0.43</v>
      </c>
      <c r="C2769">
        <v>0.62</v>
      </c>
      <c r="D2769">
        <v>0.95</v>
      </c>
      <c r="E2769">
        <v>1.35</v>
      </c>
      <c r="F2769">
        <v>1.77</v>
      </c>
      <c r="G2769">
        <v>2.4300000000000002</v>
      </c>
      <c r="H2769">
        <v>3.05</v>
      </c>
      <c r="I2769">
        <v>3.94</v>
      </c>
      <c r="K2769">
        <f t="shared" si="347"/>
        <v>0</v>
      </c>
      <c r="L2769">
        <f t="shared" si="348"/>
        <v>-2.0000000000000018</v>
      </c>
      <c r="M2769">
        <f t="shared" si="349"/>
        <v>-1.0000000000000009</v>
      </c>
      <c r="N2769">
        <f t="shared" si="350"/>
        <v>-1.0000000000000009</v>
      </c>
      <c r="O2769">
        <f t="shared" si="351"/>
        <v>-1.0000000000000009</v>
      </c>
      <c r="P2769">
        <f t="shared" si="352"/>
        <v>-0.99999999999997868</v>
      </c>
      <c r="Q2769">
        <f t="shared" si="353"/>
        <v>-2.0000000000000018</v>
      </c>
      <c r="R2769">
        <f t="shared" si="354"/>
        <v>-1.0000000000000231</v>
      </c>
    </row>
    <row r="2770" spans="1:18">
      <c r="A2770" s="9">
        <v>40751</v>
      </c>
      <c r="B2770">
        <v>0.45</v>
      </c>
      <c r="C2770">
        <v>0.63</v>
      </c>
      <c r="D2770">
        <v>0.95</v>
      </c>
      <c r="E2770">
        <v>1.34</v>
      </c>
      <c r="F2770">
        <v>1.76</v>
      </c>
      <c r="G2770">
        <v>2.42</v>
      </c>
      <c r="H2770">
        <v>3.06</v>
      </c>
      <c r="I2770">
        <v>3.95</v>
      </c>
      <c r="K2770">
        <f t="shared" si="347"/>
        <v>2.0000000000000018</v>
      </c>
      <c r="L2770">
        <f t="shared" si="348"/>
        <v>1.0000000000000009</v>
      </c>
      <c r="M2770">
        <f t="shared" si="349"/>
        <v>0</v>
      </c>
      <c r="N2770">
        <f t="shared" si="350"/>
        <v>-1.0000000000000009</v>
      </c>
      <c r="O2770">
        <f t="shared" si="351"/>
        <v>-1.0000000000000009</v>
      </c>
      <c r="P2770">
        <f t="shared" si="352"/>
        <v>-1.0000000000000231</v>
      </c>
      <c r="Q2770">
        <f t="shared" si="353"/>
        <v>1.0000000000000231</v>
      </c>
      <c r="R2770">
        <f t="shared" si="354"/>
        <v>1.0000000000000231</v>
      </c>
    </row>
    <row r="2771" spans="1:18">
      <c r="A2771" s="9">
        <v>40752</v>
      </c>
      <c r="B2771">
        <v>0.45</v>
      </c>
      <c r="C2771">
        <v>0.63</v>
      </c>
      <c r="D2771">
        <v>0.94</v>
      </c>
      <c r="E2771">
        <v>1.35</v>
      </c>
      <c r="F2771">
        <v>1.76</v>
      </c>
      <c r="G2771">
        <v>2.4300000000000002</v>
      </c>
      <c r="H2771">
        <v>3.07</v>
      </c>
      <c r="I2771">
        <v>3.94</v>
      </c>
      <c r="K2771">
        <f t="shared" si="347"/>
        <v>0</v>
      </c>
      <c r="L2771">
        <f t="shared" si="348"/>
        <v>0</v>
      </c>
      <c r="M2771">
        <f t="shared" si="349"/>
        <v>-1.0000000000000009</v>
      </c>
      <c r="N2771">
        <f t="shared" si="350"/>
        <v>1.0000000000000009</v>
      </c>
      <c r="O2771">
        <f t="shared" si="351"/>
        <v>0</v>
      </c>
      <c r="P2771">
        <f t="shared" si="352"/>
        <v>1.0000000000000231</v>
      </c>
      <c r="Q2771">
        <f t="shared" si="353"/>
        <v>0.99999999999997868</v>
      </c>
      <c r="R2771">
        <f t="shared" si="354"/>
        <v>-1.0000000000000231</v>
      </c>
    </row>
    <row r="2772" spans="1:18">
      <c r="A2772" s="9">
        <v>40753</v>
      </c>
      <c r="B2772">
        <v>0.44</v>
      </c>
      <c r="C2772">
        <v>0.6</v>
      </c>
      <c r="D2772">
        <v>0.88</v>
      </c>
      <c r="E2772">
        <v>1.26</v>
      </c>
      <c r="F2772">
        <v>1.67</v>
      </c>
      <c r="G2772">
        <v>2.34</v>
      </c>
      <c r="H2772">
        <v>2.96</v>
      </c>
      <c r="I2772">
        <v>3.84</v>
      </c>
      <c r="K2772">
        <f t="shared" si="347"/>
        <v>-1.0000000000000009</v>
      </c>
      <c r="L2772">
        <f t="shared" si="348"/>
        <v>-3.0000000000000027</v>
      </c>
      <c r="M2772">
        <f t="shared" si="349"/>
        <v>-5.9999999999999947</v>
      </c>
      <c r="N2772">
        <f t="shared" si="350"/>
        <v>-9.0000000000000071</v>
      </c>
      <c r="O2772">
        <f t="shared" si="351"/>
        <v>-9.0000000000000071</v>
      </c>
      <c r="P2772">
        <f t="shared" si="352"/>
        <v>-9.0000000000000302</v>
      </c>
      <c r="Q2772">
        <f t="shared" si="353"/>
        <v>-10.999999999999988</v>
      </c>
      <c r="R2772">
        <f t="shared" si="354"/>
        <v>-10.000000000000009</v>
      </c>
    </row>
    <row r="2773" spans="1:18">
      <c r="A2773" s="9">
        <v>40756</v>
      </c>
      <c r="B2773">
        <v>0.43</v>
      </c>
      <c r="C2773">
        <v>0.56999999999999995</v>
      </c>
      <c r="D2773">
        <v>0.82</v>
      </c>
      <c r="E2773">
        <v>1.17</v>
      </c>
      <c r="F2773">
        <v>1.55</v>
      </c>
      <c r="G2773">
        <v>2.21</v>
      </c>
      <c r="H2773">
        <v>2.85</v>
      </c>
      <c r="I2773">
        <v>3.75</v>
      </c>
      <c r="K2773">
        <f t="shared" si="347"/>
        <v>-1.0000000000000009</v>
      </c>
      <c r="L2773">
        <f t="shared" si="348"/>
        <v>-3.0000000000000027</v>
      </c>
      <c r="M2773">
        <f t="shared" si="349"/>
        <v>-6.0000000000000053</v>
      </c>
      <c r="N2773">
        <f t="shared" si="350"/>
        <v>-9.0000000000000071</v>
      </c>
      <c r="O2773">
        <f t="shared" si="351"/>
        <v>-11.999999999999989</v>
      </c>
      <c r="P2773">
        <f t="shared" si="352"/>
        <v>-12.999999999999989</v>
      </c>
      <c r="Q2773">
        <f t="shared" si="353"/>
        <v>-10.999999999999988</v>
      </c>
      <c r="R2773">
        <f t="shared" si="354"/>
        <v>-8.9999999999999858</v>
      </c>
    </row>
    <row r="2774" spans="1:18">
      <c r="A2774" s="9">
        <v>40757</v>
      </c>
      <c r="B2774">
        <v>0.46</v>
      </c>
      <c r="C2774">
        <v>0.59</v>
      </c>
      <c r="D2774">
        <v>0.83</v>
      </c>
      <c r="E2774">
        <v>1.17</v>
      </c>
      <c r="F2774">
        <v>1.54</v>
      </c>
      <c r="G2774">
        <v>2.19</v>
      </c>
      <c r="H2774">
        <v>2.81</v>
      </c>
      <c r="I2774">
        <v>3.71</v>
      </c>
      <c r="K2774">
        <f t="shared" si="347"/>
        <v>3.0000000000000027</v>
      </c>
      <c r="L2774">
        <f t="shared" si="348"/>
        <v>2.0000000000000018</v>
      </c>
      <c r="M2774">
        <f t="shared" si="349"/>
        <v>1.0000000000000009</v>
      </c>
      <c r="N2774">
        <f t="shared" si="350"/>
        <v>0</v>
      </c>
      <c r="O2774">
        <f t="shared" si="351"/>
        <v>-1.0000000000000009</v>
      </c>
      <c r="P2774">
        <f t="shared" si="352"/>
        <v>-2.0000000000000018</v>
      </c>
      <c r="Q2774">
        <f t="shared" si="353"/>
        <v>-4.0000000000000036</v>
      </c>
      <c r="R2774">
        <f t="shared" si="354"/>
        <v>-4.0000000000000036</v>
      </c>
    </row>
    <row r="2775" spans="1:18">
      <c r="A2775" s="9">
        <v>40758</v>
      </c>
      <c r="B2775">
        <v>0.46</v>
      </c>
      <c r="C2775">
        <v>0.59</v>
      </c>
      <c r="D2775">
        <v>0.82</v>
      </c>
      <c r="E2775">
        <v>1.1499999999999999</v>
      </c>
      <c r="F2775">
        <v>1.51</v>
      </c>
      <c r="G2775">
        <v>2.12</v>
      </c>
      <c r="H2775">
        <v>2.69</v>
      </c>
      <c r="I2775">
        <v>3.53</v>
      </c>
      <c r="K2775">
        <f t="shared" si="347"/>
        <v>0</v>
      </c>
      <c r="L2775">
        <f t="shared" si="348"/>
        <v>0</v>
      </c>
      <c r="M2775">
        <f t="shared" si="349"/>
        <v>-1.0000000000000009</v>
      </c>
      <c r="N2775">
        <f t="shared" si="350"/>
        <v>-2.0000000000000018</v>
      </c>
      <c r="O2775">
        <f t="shared" si="351"/>
        <v>-3.0000000000000027</v>
      </c>
      <c r="P2775">
        <f t="shared" si="352"/>
        <v>-6.999999999999984</v>
      </c>
      <c r="Q2775">
        <f t="shared" si="353"/>
        <v>-12.000000000000011</v>
      </c>
      <c r="R2775">
        <f t="shared" si="354"/>
        <v>-18.000000000000014</v>
      </c>
    </row>
    <row r="2776" spans="1:18">
      <c r="A2776" s="9">
        <v>40759</v>
      </c>
      <c r="B2776">
        <v>0.4</v>
      </c>
      <c r="C2776">
        <v>0.52</v>
      </c>
      <c r="D2776">
        <v>0.74</v>
      </c>
      <c r="E2776">
        <v>1.07</v>
      </c>
      <c r="F2776">
        <v>1.44</v>
      </c>
      <c r="G2776">
        <v>2.06</v>
      </c>
      <c r="H2776">
        <v>2.65</v>
      </c>
      <c r="I2776">
        <v>3.52</v>
      </c>
      <c r="K2776">
        <f t="shared" si="347"/>
        <v>-6</v>
      </c>
      <c r="L2776">
        <f t="shared" si="348"/>
        <v>-6.9999999999999947</v>
      </c>
      <c r="M2776">
        <f t="shared" si="349"/>
        <v>-7.9999999999999964</v>
      </c>
      <c r="N2776">
        <f t="shared" si="350"/>
        <v>-7.9999999999999849</v>
      </c>
      <c r="O2776">
        <f t="shared" si="351"/>
        <v>-7.0000000000000062</v>
      </c>
      <c r="P2776">
        <f t="shared" si="352"/>
        <v>-6.0000000000000053</v>
      </c>
      <c r="Q2776">
        <f t="shared" si="353"/>
        <v>-4.0000000000000036</v>
      </c>
      <c r="R2776">
        <f t="shared" si="354"/>
        <v>-0.99999999999997868</v>
      </c>
    </row>
    <row r="2777" spans="1:18">
      <c r="A2777" s="9">
        <v>40760</v>
      </c>
      <c r="B2777">
        <v>0.4</v>
      </c>
      <c r="C2777">
        <v>0.55000000000000004</v>
      </c>
      <c r="D2777">
        <v>0.78</v>
      </c>
      <c r="E2777">
        <v>1.1100000000000001</v>
      </c>
      <c r="F2777">
        <v>1.48</v>
      </c>
      <c r="G2777">
        <v>2.08</v>
      </c>
      <c r="H2777">
        <v>2.64</v>
      </c>
      <c r="I2777">
        <v>3.5</v>
      </c>
      <c r="K2777">
        <f t="shared" si="347"/>
        <v>0</v>
      </c>
      <c r="L2777">
        <f t="shared" si="348"/>
        <v>3.0000000000000027</v>
      </c>
      <c r="M2777">
        <f t="shared" si="349"/>
        <v>4.0000000000000036</v>
      </c>
      <c r="N2777">
        <f t="shared" si="350"/>
        <v>4.0000000000000036</v>
      </c>
      <c r="O2777">
        <f t="shared" si="351"/>
        <v>4.0000000000000036</v>
      </c>
      <c r="P2777">
        <f t="shared" si="352"/>
        <v>2.0000000000000018</v>
      </c>
      <c r="Q2777">
        <f t="shared" si="353"/>
        <v>-0.99999999999997868</v>
      </c>
      <c r="R2777">
        <f t="shared" si="354"/>
        <v>-2.0000000000000018</v>
      </c>
    </row>
    <row r="2778" spans="1:18">
      <c r="A2778" s="9">
        <v>40763</v>
      </c>
      <c r="B2778">
        <v>0.39</v>
      </c>
      <c r="C2778">
        <v>0.5</v>
      </c>
      <c r="D2778">
        <v>0.73</v>
      </c>
      <c r="E2778">
        <v>1.05</v>
      </c>
      <c r="F2778">
        <v>1.41</v>
      </c>
      <c r="G2778">
        <v>2.0099999999999998</v>
      </c>
      <c r="H2778">
        <v>2.58</v>
      </c>
      <c r="I2778">
        <v>3.44</v>
      </c>
      <c r="K2778">
        <f t="shared" si="347"/>
        <v>-1.0000000000000009</v>
      </c>
      <c r="L2778">
        <f t="shared" si="348"/>
        <v>-5.0000000000000044</v>
      </c>
      <c r="M2778">
        <f t="shared" si="349"/>
        <v>-5.0000000000000044</v>
      </c>
      <c r="N2778">
        <f t="shared" si="350"/>
        <v>-6.0000000000000053</v>
      </c>
      <c r="O2778">
        <f t="shared" si="351"/>
        <v>-7.0000000000000062</v>
      </c>
      <c r="P2778">
        <f t="shared" si="352"/>
        <v>-7.0000000000000284</v>
      </c>
      <c r="Q2778">
        <f t="shared" si="353"/>
        <v>-6.0000000000000053</v>
      </c>
      <c r="R2778">
        <f t="shared" si="354"/>
        <v>-6.0000000000000053</v>
      </c>
    </row>
    <row r="2779" spans="1:18">
      <c r="A2779" s="9">
        <v>40764</v>
      </c>
      <c r="B2779">
        <v>0.42</v>
      </c>
      <c r="C2779">
        <v>0.54</v>
      </c>
      <c r="D2779">
        <v>0.79</v>
      </c>
      <c r="E2779">
        <v>1.1299999999999999</v>
      </c>
      <c r="F2779">
        <v>1.48</v>
      </c>
      <c r="G2779">
        <v>2.06</v>
      </c>
      <c r="H2779">
        <v>2.6</v>
      </c>
      <c r="I2779">
        <v>3.41</v>
      </c>
      <c r="K2779">
        <f t="shared" si="347"/>
        <v>2.9999999999999973</v>
      </c>
      <c r="L2779">
        <f t="shared" si="348"/>
        <v>4.0000000000000036</v>
      </c>
      <c r="M2779">
        <f t="shared" si="349"/>
        <v>6.0000000000000053</v>
      </c>
      <c r="N2779">
        <f t="shared" si="350"/>
        <v>7.9999999999999849</v>
      </c>
      <c r="O2779">
        <f t="shared" si="351"/>
        <v>7.0000000000000062</v>
      </c>
      <c r="P2779">
        <f t="shared" si="352"/>
        <v>5.0000000000000266</v>
      </c>
      <c r="Q2779">
        <f t="shared" si="353"/>
        <v>2.0000000000000018</v>
      </c>
      <c r="R2779">
        <f t="shared" si="354"/>
        <v>-2.9999999999999805</v>
      </c>
    </row>
    <row r="2780" spans="1:18">
      <c r="A2780" s="9">
        <v>40765</v>
      </c>
      <c r="B2780">
        <v>0.39</v>
      </c>
      <c r="C2780">
        <v>0.42</v>
      </c>
      <c r="D2780">
        <v>0.57999999999999996</v>
      </c>
      <c r="E2780">
        <v>0.88</v>
      </c>
      <c r="F2780">
        <v>1.22</v>
      </c>
      <c r="G2780">
        <v>1.8</v>
      </c>
      <c r="H2780">
        <v>2.37</v>
      </c>
      <c r="I2780">
        <v>3.25</v>
      </c>
      <c r="K2780">
        <f t="shared" si="347"/>
        <v>-2.9999999999999973</v>
      </c>
      <c r="L2780">
        <f t="shared" si="348"/>
        <v>-12.000000000000005</v>
      </c>
      <c r="M2780">
        <f t="shared" si="349"/>
        <v>-21.000000000000007</v>
      </c>
      <c r="N2780">
        <f t="shared" si="350"/>
        <v>-24.999999999999989</v>
      </c>
      <c r="O2780">
        <f t="shared" si="351"/>
        <v>-26</v>
      </c>
      <c r="P2780">
        <f t="shared" si="352"/>
        <v>-26</v>
      </c>
      <c r="Q2780">
        <f t="shared" si="353"/>
        <v>-23</v>
      </c>
      <c r="R2780">
        <f t="shared" si="354"/>
        <v>-16.000000000000014</v>
      </c>
    </row>
    <row r="2781" spans="1:18">
      <c r="A2781" s="9">
        <v>40766</v>
      </c>
      <c r="B2781">
        <v>0.44</v>
      </c>
      <c r="C2781">
        <v>0.46</v>
      </c>
      <c r="D2781">
        <v>0.62</v>
      </c>
      <c r="E2781">
        <v>0.93</v>
      </c>
      <c r="F2781">
        <v>1.25</v>
      </c>
      <c r="G2781">
        <v>1.83</v>
      </c>
      <c r="H2781">
        <v>2.38</v>
      </c>
      <c r="I2781">
        <v>3.26</v>
      </c>
      <c r="K2781">
        <f t="shared" si="347"/>
        <v>4.9999999999999991</v>
      </c>
      <c r="L2781">
        <f t="shared" si="348"/>
        <v>4.0000000000000036</v>
      </c>
      <c r="M2781">
        <f t="shared" si="349"/>
        <v>4.0000000000000036</v>
      </c>
      <c r="N2781">
        <f t="shared" si="350"/>
        <v>5.0000000000000044</v>
      </c>
      <c r="O2781">
        <f t="shared" si="351"/>
        <v>3.0000000000000027</v>
      </c>
      <c r="P2781">
        <f t="shared" si="352"/>
        <v>3.0000000000000027</v>
      </c>
      <c r="Q2781">
        <f t="shared" si="353"/>
        <v>0.99999999999997868</v>
      </c>
      <c r="R2781">
        <f t="shared" si="354"/>
        <v>0.99999999999997868</v>
      </c>
    </row>
    <row r="2782" spans="1:18">
      <c r="A2782" s="9">
        <v>40767</v>
      </c>
      <c r="B2782">
        <v>0.43</v>
      </c>
      <c r="C2782">
        <v>0.44</v>
      </c>
      <c r="D2782">
        <v>0.59</v>
      </c>
      <c r="E2782">
        <v>0.88</v>
      </c>
      <c r="F2782">
        <v>1.22</v>
      </c>
      <c r="G2782">
        <v>1.82</v>
      </c>
      <c r="H2782">
        <v>2.42</v>
      </c>
      <c r="I2782">
        <v>3.35</v>
      </c>
      <c r="K2782">
        <f t="shared" si="347"/>
        <v>-1.0000000000000009</v>
      </c>
      <c r="L2782">
        <f t="shared" si="348"/>
        <v>-2.0000000000000018</v>
      </c>
      <c r="M2782">
        <f t="shared" si="349"/>
        <v>-3.0000000000000027</v>
      </c>
      <c r="N2782">
        <f t="shared" si="350"/>
        <v>-5.0000000000000044</v>
      </c>
      <c r="O2782">
        <f t="shared" si="351"/>
        <v>-3.0000000000000027</v>
      </c>
      <c r="P2782">
        <f t="shared" si="352"/>
        <v>-1.0000000000000009</v>
      </c>
      <c r="Q2782">
        <f t="shared" si="353"/>
        <v>4.0000000000000036</v>
      </c>
      <c r="R2782">
        <f t="shared" si="354"/>
        <v>9.0000000000000302</v>
      </c>
    </row>
  </sheetData>
  <phoneticPr fontId="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BEF</vt:lpstr>
      <vt:lpstr>Eigen test</vt:lpstr>
      <vt:lpstr>Intro</vt:lpstr>
      <vt:lpstr>PCA</vt:lpstr>
      <vt:lpstr>Daily swap data</vt:lpstr>
      <vt:lpstr>Lambda</vt:lpstr>
      <vt:lpstr>M</vt:lpstr>
      <vt:lpstr>Vec</vt:lpstr>
      <vt:lpstr>VecTrans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White</dc:creator>
  <cp:lastModifiedBy>Microsoft Office User</cp:lastModifiedBy>
  <cp:lastPrinted>2011-10-04T19:23:43Z</cp:lastPrinted>
  <dcterms:created xsi:type="dcterms:W3CDTF">1999-10-06T23:05:41Z</dcterms:created>
  <dcterms:modified xsi:type="dcterms:W3CDTF">2018-11-25T21:25:23Z</dcterms:modified>
</cp:coreProperties>
</file>